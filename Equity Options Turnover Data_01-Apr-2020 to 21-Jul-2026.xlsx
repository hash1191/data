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4" fontId="2" fillId="5" borderId="1" pivotButton="0" quotePrefix="0" xfId="0"/>
    <xf numFmtId="164" fontId="2" fillId="5" borderId="0" pivotButton="0" quotePrefix="0" xfId="0"/>
    <xf numFmtId="3" fontId="2" fillId="7" borderId="1" pivotButton="0" quotePrefix="0" xfId="0"/>
    <xf numFmtId="164" fontId="2" fillId="7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4" customWidth="1" min="10" max="10"/>
    <col width="24" customWidth="1" min="11" max="11"/>
    <col width="24" customWidth="1" min="12" max="12"/>
    <col width="16" customWidth="1" min="13" max="13"/>
    <col width="16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Market Share</t>
        </is>
      </c>
      <c r="N1" s="3" t="inlineStr">
        <is>
          <t>BSE Notional Market Share</t>
        </is>
      </c>
      <c r="O1" s="17" t="inlineStr">
        <is>
          <t>NSE No. of Contracts</t>
        </is>
      </c>
      <c r="P1" s="4" t="inlineStr">
        <is>
          <t>BSE No. of Contracts</t>
        </is>
      </c>
      <c r="Q1" s="4" t="inlineStr">
        <is>
          <t>Total No. of Contracts</t>
        </is>
      </c>
      <c r="R1" s="4" t="inlineStr">
        <is>
          <t>NSE Contracts Market Share</t>
        </is>
      </c>
      <c r="S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2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3">
        <f>IF(L2="","",J2/L2)</f>
        <v/>
      </c>
      <c r="N2" s="23">
        <f>IF(L2="","",K2/L2)</f>
        <v/>
      </c>
      <c r="O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P2" s="9">
        <f>IF(SUMIFS('Year BSE Equity Options'!$J:$J,'Year BSE Equity Options'!$A:$A,$A2)=0,"",SUMIFS('Year BSE Equity Options'!$J:$J,'Year BSE Equity Options'!$A:$A,$A2))</f>
        <v/>
      </c>
      <c r="Q2" s="9">
        <f>IF(OR(O2="",P2=""),"",O2+P2)</f>
        <v/>
      </c>
      <c r="R2" s="25">
        <f>IF(Q2="","",O2/Q2)</f>
        <v/>
      </c>
      <c r="S2" s="25">
        <f>IF(Q2="","",P2/Q2)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6">
        <f>IF(OR(B3="",B2=""),"",B3/B2-1)</f>
        <v/>
      </c>
      <c r="H3" s="19">
        <f>IF(OR(C3="",C2=""),"",C3/C2-1)</f>
        <v/>
      </c>
      <c r="I3" s="19">
        <f>IF(OR(D3="",D2=""),"",D3/D2-1)</f>
        <v/>
      </c>
      <c r="J3" s="22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IF(L3="","",J3/L3)</f>
        <v/>
      </c>
      <c r="N3" s="23">
        <f>IF(L3="","",K3/L3)</f>
        <v/>
      </c>
      <c r="O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P3" s="9">
        <f>IF(SUMIFS('Year BSE Equity Options'!$J:$J,'Year BSE Equity Options'!$A:$A,$A3)=0,"",SUMIFS('Year BSE Equity Options'!$J:$J,'Year BSE Equity Options'!$A:$A,$A3))</f>
        <v/>
      </c>
      <c r="Q3" s="9">
        <f>IF(OR(O3="",P3=""),"",O3+P3)</f>
        <v/>
      </c>
      <c r="R3" s="25">
        <f>IF(Q3="","",O3/Q3)</f>
        <v/>
      </c>
      <c r="S3" s="25">
        <f>IF(Q3="","",P3/Q3)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6">
        <f>IF(OR(B4="",B3=""),"",B4/B3-1)</f>
        <v/>
      </c>
      <c r="H4" s="19">
        <f>IF(OR(C4="",C3=""),"",C4/C3-1)</f>
        <v/>
      </c>
      <c r="I4" s="19">
        <f>IF(OR(D4="",D3=""),"",D4/D3-1)</f>
        <v/>
      </c>
      <c r="J4" s="22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IF(L4="","",J4/L4)</f>
        <v/>
      </c>
      <c r="N4" s="23">
        <f>IF(L4="","",K4/L4)</f>
        <v/>
      </c>
      <c r="O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P4" s="9">
        <f>IF(SUMIFS('Year BSE Equity Options'!$J:$J,'Year BSE Equity Options'!$A:$A,$A4)=0,"",SUMIFS('Year BSE Equity Options'!$J:$J,'Year BSE Equity Options'!$A:$A,$A4))</f>
        <v/>
      </c>
      <c r="Q4" s="9">
        <f>IF(OR(O4="",P4=""),"",O4+P4)</f>
        <v/>
      </c>
      <c r="R4" s="25">
        <f>IF(Q4="","",O4/Q4)</f>
        <v/>
      </c>
      <c r="S4" s="25">
        <f>IF(Q4="","",P4/Q4)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6">
        <f>IF(OR(B5="",B4=""),"",B5/B4-1)</f>
        <v/>
      </c>
      <c r="H5" s="19">
        <f>IF(OR(C5="",C4=""),"",C5/C4-1)</f>
        <v/>
      </c>
      <c r="I5" s="19">
        <f>IF(OR(D5="",D4=""),"",D5/D4-1)</f>
        <v/>
      </c>
      <c r="J5" s="22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IF(L5="","",J5/L5)</f>
        <v/>
      </c>
      <c r="N5" s="23">
        <f>IF(L5="","",K5/L5)</f>
        <v/>
      </c>
      <c r="O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P5" s="9">
        <f>IF(SUMIFS('Year BSE Equity Options'!$J:$J,'Year BSE Equity Options'!$A:$A,$A5)=0,"",SUMIFS('Year BSE Equity Options'!$J:$J,'Year BSE Equity Options'!$A:$A,$A5))</f>
        <v/>
      </c>
      <c r="Q5" s="9">
        <f>IF(OR(O5="",P5=""),"",O5+P5)</f>
        <v/>
      </c>
      <c r="R5" s="25">
        <f>IF(Q5="","",O5/Q5)</f>
        <v/>
      </c>
      <c r="S5" s="25">
        <f>IF(Q5="","",P5/Q5)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IF(OR(B6="",B5=""),"",B6/B5-1)</f>
        <v/>
      </c>
      <c r="H6" s="19">
        <f>IF(OR(C6="",C5=""),"",C6/C5-1)</f>
        <v/>
      </c>
      <c r="I6" s="19">
        <f>IF(OR(D6="",D5=""),"",D6/D5-1)</f>
        <v/>
      </c>
      <c r="J6" s="22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IF(L6="","",J6/L6)</f>
        <v/>
      </c>
      <c r="N6" s="23">
        <f>IF(L6="","",K6/L6)</f>
        <v/>
      </c>
      <c r="O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P6" s="9">
        <f>IF(SUMIFS('Year BSE Equity Options'!$J:$J,'Year BSE Equity Options'!$A:$A,$A6)=0,"",SUMIFS('Year BSE Equity Options'!$J:$J,'Year BSE Equity Options'!$A:$A,$A6))</f>
        <v/>
      </c>
      <c r="Q6" s="9">
        <f>IF(OR(O6="",P6=""),"",O6+P6)</f>
        <v/>
      </c>
      <c r="R6" s="25">
        <f>IF(Q6="","",O6/Q6)</f>
        <v/>
      </c>
      <c r="S6" s="25">
        <f>IF(Q6="","",P6/Q6)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IF(OR(B7="",B6=""),"",B7/B6-1)</f>
        <v/>
      </c>
      <c r="H7" s="19">
        <f>IF(OR(C7="",C6=""),"",C7/C6-1)</f>
        <v/>
      </c>
      <c r="I7" s="19">
        <f>IF(OR(D7="",D6=""),"",D7/D6-1)</f>
        <v/>
      </c>
      <c r="J7" s="22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IF(L7="","",J7/L7)</f>
        <v/>
      </c>
      <c r="N7" s="23">
        <f>IF(L7="","",K7/L7)</f>
        <v/>
      </c>
      <c r="O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P7" s="9">
        <f>IF(SUMIFS('Year BSE Equity Options'!$J:$J,'Year BSE Equity Options'!$A:$A,$A7)=0,"",SUMIFS('Year BSE Equity Options'!$J:$J,'Year BSE Equity Options'!$A:$A,$A7))</f>
        <v/>
      </c>
      <c r="Q7" s="9">
        <f>IF(OR(O7="",P7=""),"",O7+P7)</f>
        <v/>
      </c>
      <c r="R7" s="25">
        <f>IF(Q7="","",O7/Q7)</f>
        <v/>
      </c>
      <c r="S7" s="25">
        <f>IF(Q7="","",P7/Q7)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IF(OR(B8="",B7=""),"",B8/B7-1)</f>
        <v/>
      </c>
      <c r="H8" s="19">
        <f>IF(OR(C8="",C7=""),"",C8/C7-1)</f>
        <v/>
      </c>
      <c r="I8" s="19">
        <f>IF(OR(D8="",D7=""),"",D8/D7-1)</f>
        <v/>
      </c>
      <c r="J8" s="22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IF(L8="","",J8/L8)</f>
        <v/>
      </c>
      <c r="N8" s="23">
        <f>IF(L8="","",K8/L8)</f>
        <v/>
      </c>
      <c r="O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P8" s="9">
        <f>IF(SUMIFS('Year BSE Equity Options'!$J:$J,'Year BSE Equity Options'!$A:$A,$A8)=0,"",SUMIFS('Year BSE Equity Options'!$J:$J,'Year BSE Equity Options'!$A:$A,$A8))</f>
        <v/>
      </c>
      <c r="Q8" s="9">
        <f>IF(OR(O8="",P8=""),"",O8+P8)</f>
        <v/>
      </c>
      <c r="R8" s="25">
        <f>IF(Q8="","",O8/Q8)</f>
        <v/>
      </c>
      <c r="S8" s="25">
        <f>IF(Q8="","",P8/Q8)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IF(OR(B9="",B8=""),"",B9/B8-1)</f>
        <v/>
      </c>
      <c r="H9" s="19">
        <f>IF(OR(C9="",C8=""),"",C9/C8-1)</f>
        <v/>
      </c>
      <c r="I9" s="19">
        <f>IF(OR(D9="",D8=""),"",D9/D8-1)</f>
        <v/>
      </c>
      <c r="J9" s="22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IF(L9="","",J9/L9)</f>
        <v/>
      </c>
      <c r="N9" s="23">
        <f>IF(L9="","",K9/L9)</f>
        <v/>
      </c>
      <c r="O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P9" s="9">
        <f>IF(SUMIFS('Year BSE Equity Options'!$J:$J,'Year BSE Equity Options'!$A:$A,$A9)=0,"",SUMIFS('Year BSE Equity Options'!$J:$J,'Year BSE Equity Options'!$A:$A,$A9))</f>
        <v/>
      </c>
      <c r="Q9" s="9">
        <f>IF(OR(O9="",P9=""),"",O9+P9)</f>
        <v/>
      </c>
      <c r="R9" s="25">
        <f>IF(Q9="","",O9/Q9)</f>
        <v/>
      </c>
      <c r="S9" s="25">
        <f>IF(Q9="","",P9/Q9)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IF(OR(B10="",B9=""),"",B10/B9-1)</f>
        <v/>
      </c>
      <c r="H10" s="19">
        <f>IF(OR(C10="",C9=""),"",C10/C9-1)</f>
        <v/>
      </c>
      <c r="I10" s="19">
        <f>IF(OR(D10="",D9=""),"",D10/D9-1)</f>
        <v/>
      </c>
      <c r="J10" s="22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IF(L10="","",J10/L10)</f>
        <v/>
      </c>
      <c r="N10" s="23">
        <f>IF(L10="","",K10/L10)</f>
        <v/>
      </c>
      <c r="O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P10" s="9">
        <f>IF(SUMIFS('Year BSE Equity Options'!$J:$J,'Year BSE Equity Options'!$A:$A,$A10)=0,"",SUMIFS('Year BSE Equity Options'!$J:$J,'Year BSE Equity Options'!$A:$A,$A10))</f>
        <v/>
      </c>
      <c r="Q10" s="9">
        <f>IF(OR(O10="",P10=""),"",O10+P10)</f>
        <v/>
      </c>
      <c r="R10" s="25">
        <f>IF(Q10="","",O10/Q10)</f>
        <v/>
      </c>
      <c r="S10" s="25">
        <f>IF(Q10="","",P10/Q10)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IF(OR(B11="",B10=""),"",B11/B10-1)</f>
        <v/>
      </c>
      <c r="H11" s="19">
        <f>IF(OR(C11="",C10=""),"",C11/C10-1)</f>
        <v/>
      </c>
      <c r="I11" s="19">
        <f>IF(OR(D11="",D10=""),"",D11/D10-1)</f>
        <v/>
      </c>
      <c r="J11" s="22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IF(L11="","",J11/L11)</f>
        <v/>
      </c>
      <c r="N11" s="23">
        <f>IF(L11="","",K11/L11)</f>
        <v/>
      </c>
      <c r="O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P11" s="9">
        <f>IF(SUMIFS('Year BSE Equity Options'!$J:$J,'Year BSE Equity Options'!$A:$A,$A11)=0,"",SUMIFS('Year BSE Equity Options'!$J:$J,'Year BSE Equity Options'!$A:$A,$A11))</f>
        <v/>
      </c>
      <c r="Q11" s="9">
        <f>IF(OR(O11="",P11=""),"",O11+P11)</f>
        <v/>
      </c>
      <c r="R11" s="25">
        <f>IF(Q11="","",O11/Q11)</f>
        <v/>
      </c>
      <c r="S11" s="25">
        <f>IF(Q11="","",P11/Q11)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IF(OR(B12="",B11=""),"",B12/B11-1)</f>
        <v/>
      </c>
      <c r="H12" s="19">
        <f>IF(OR(C12="",C11=""),"",C12/C11-1)</f>
        <v/>
      </c>
      <c r="I12" s="19">
        <f>IF(OR(D12="",D11=""),"",D12/D11-1)</f>
        <v/>
      </c>
      <c r="J12" s="22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IF(L12="","",J12/L12)</f>
        <v/>
      </c>
      <c r="N12" s="23">
        <f>IF(L12="","",K12/L12)</f>
        <v/>
      </c>
      <c r="O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P12" s="9">
        <f>IF(SUMIFS('Year BSE Equity Options'!$J:$J,'Year BSE Equity Options'!$A:$A,$A12)=0,"",SUMIFS('Year BSE Equity Options'!$J:$J,'Year BSE Equity Options'!$A:$A,$A12))</f>
        <v/>
      </c>
      <c r="Q12" s="9">
        <f>IF(OR(O12="",P12=""),"",O12+P12)</f>
        <v/>
      </c>
      <c r="R12" s="25">
        <f>IF(Q12="","",O12/Q12)</f>
        <v/>
      </c>
      <c r="S12" s="25">
        <f>IF(Q12="","",P12/Q12)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IF(OR(B13="",B12=""),"",B13/B12-1)</f>
        <v/>
      </c>
      <c r="H13" s="19">
        <f>IF(OR(C13="",C12=""),"",C13/C12-1)</f>
        <v/>
      </c>
      <c r="I13" s="19">
        <f>IF(OR(D13="",D12=""),"",D13/D12-1)</f>
        <v/>
      </c>
      <c r="J13" s="22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IF(L13="","",J13/L13)</f>
        <v/>
      </c>
      <c r="N13" s="23">
        <f>IF(L13="","",K13/L13)</f>
        <v/>
      </c>
      <c r="O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P13" s="9">
        <f>IF(SUMIFS('Year BSE Equity Options'!$J:$J,'Year BSE Equity Options'!$A:$A,$A13)=0,"",SUMIFS('Year BSE Equity Options'!$J:$J,'Year BSE Equity Options'!$A:$A,$A13))</f>
        <v/>
      </c>
      <c r="Q13" s="9">
        <f>IF(OR(O13="",P13=""),"",O13+P13)</f>
        <v/>
      </c>
      <c r="R13" s="25">
        <f>IF(Q13="","",O13/Q13)</f>
        <v/>
      </c>
      <c r="S13" s="25">
        <f>IF(Q13="","",P13/Q13)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IF(OR(B14="",B13=""),"",B14/B13-1)</f>
        <v/>
      </c>
      <c r="H14" s="19">
        <f>IF(OR(C14="",C13=""),"",C14/C13-1)</f>
        <v/>
      </c>
      <c r="I14" s="19">
        <f>IF(OR(D14="",D13=""),"",D14/D13-1)</f>
        <v/>
      </c>
      <c r="J14" s="22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IF(L14="","",J14/L14)</f>
        <v/>
      </c>
      <c r="N14" s="23">
        <f>IF(L14="","",K14/L14)</f>
        <v/>
      </c>
      <c r="O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P14" s="9">
        <f>IF(SUMIFS('Year BSE Equity Options'!$J:$J,'Year BSE Equity Options'!$A:$A,$A14)=0,"",SUMIFS('Year BSE Equity Options'!$J:$J,'Year BSE Equity Options'!$A:$A,$A14))</f>
        <v/>
      </c>
      <c r="Q14" s="9">
        <f>IF(OR(O14="",P14=""),"",O14+P14)</f>
        <v/>
      </c>
      <c r="R14" s="25">
        <f>IF(Q14="","",O14/Q14)</f>
        <v/>
      </c>
      <c r="S14" s="25">
        <f>IF(Q14="","",P14/Q14)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IF(OR(B15="",B14=""),"",B15/B14-1)</f>
        <v/>
      </c>
      <c r="H15" s="19">
        <f>IF(OR(C15="",C14=""),"",C15/C14-1)</f>
        <v/>
      </c>
      <c r="I15" s="19">
        <f>IF(OR(D15="",D14=""),"",D15/D14-1)</f>
        <v/>
      </c>
      <c r="J15" s="22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IF(L15="","",J15/L15)</f>
        <v/>
      </c>
      <c r="N15" s="23">
        <f>IF(L15="","",K15/L15)</f>
        <v/>
      </c>
      <c r="O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P15" s="9">
        <f>IF(SUMIFS('Year BSE Equity Options'!$J:$J,'Year BSE Equity Options'!$A:$A,$A15)=0,"",SUMIFS('Year BSE Equity Options'!$J:$J,'Year BSE Equity Options'!$A:$A,$A15))</f>
        <v/>
      </c>
      <c r="Q15" s="9">
        <f>IF(OR(O15="",P15=""),"",O15+P15)</f>
        <v/>
      </c>
      <c r="R15" s="25">
        <f>IF(Q15="","",O15/Q15)</f>
        <v/>
      </c>
      <c r="S15" s="25">
        <f>IF(Q15="","",P15/Q15)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IF(OR(B16="",B15=""),"",B16/B15-1)</f>
        <v/>
      </c>
      <c r="H16" s="19">
        <f>IF(OR(C16="",C15=""),"",C16/C15-1)</f>
        <v/>
      </c>
      <c r="I16" s="19">
        <f>IF(OR(D16="",D15=""),"",D16/D15-1)</f>
        <v/>
      </c>
      <c r="J16" s="22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IF(L16="","",J16/L16)</f>
        <v/>
      </c>
      <c r="N16" s="23">
        <f>IF(L16="","",K16/L16)</f>
        <v/>
      </c>
      <c r="O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P16" s="9">
        <f>IF(SUMIFS('Year BSE Equity Options'!$J:$J,'Year BSE Equity Options'!$A:$A,$A16)=0,"",SUMIFS('Year BSE Equity Options'!$J:$J,'Year BSE Equity Options'!$A:$A,$A16))</f>
        <v/>
      </c>
      <c r="Q16" s="9">
        <f>IF(OR(O16="",P16=""),"",O16+P16)</f>
        <v/>
      </c>
      <c r="R16" s="25">
        <f>IF(Q16="","",O16/Q16)</f>
        <v/>
      </c>
      <c r="S16" s="25">
        <f>IF(Q16="","",P16/Q16)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IF(OR(B17="",B16=""),"",B17/B16-1)</f>
        <v/>
      </c>
      <c r="H17" s="19">
        <f>IF(OR(C17="",C16=""),"",C17/C16-1)</f>
        <v/>
      </c>
      <c r="I17" s="19">
        <f>IF(OR(D17="",D16=""),"",D17/D16-1)</f>
        <v/>
      </c>
      <c r="J17" s="22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IF(L17="","",J17/L17)</f>
        <v/>
      </c>
      <c r="N17" s="23">
        <f>IF(L17="","",K17/L17)</f>
        <v/>
      </c>
      <c r="O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P17" s="9">
        <f>IF(SUMIFS('Year BSE Equity Options'!$J:$J,'Year BSE Equity Options'!$A:$A,$A17)=0,"",SUMIFS('Year BSE Equity Options'!$J:$J,'Year BSE Equity Options'!$A:$A,$A17))</f>
        <v/>
      </c>
      <c r="Q17" s="9">
        <f>IF(OR(O17="",P17=""),"",O17+P17)</f>
        <v/>
      </c>
      <c r="R17" s="25">
        <f>IF(Q17="","",O17/Q17)</f>
        <v/>
      </c>
      <c r="S17" s="25">
        <f>IF(Q17="","",P17/Q17)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IF(OR(B18="",B17=""),"",B18/B17-1)</f>
        <v/>
      </c>
      <c r="H18" s="19">
        <f>IF(OR(C18="",C17=""),"",C18/C17-1)</f>
        <v/>
      </c>
      <c r="I18" s="19">
        <f>IF(OR(D18="",D17=""),"",D18/D17-1)</f>
        <v/>
      </c>
      <c r="J18" s="22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IF(L18="","",J18/L18)</f>
        <v/>
      </c>
      <c r="N18" s="23">
        <f>IF(L18="","",K18/L18)</f>
        <v/>
      </c>
      <c r="O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P18" s="9">
        <f>IF(SUMIFS('Year BSE Equity Options'!$J:$J,'Year BSE Equity Options'!$A:$A,$A18)=0,"",SUMIFS('Year BSE Equity Options'!$J:$J,'Year BSE Equity Options'!$A:$A,$A18))</f>
        <v/>
      </c>
      <c r="Q18" s="9">
        <f>IF(OR(O18="",P18=""),"",O18+P18)</f>
        <v/>
      </c>
      <c r="R18" s="25">
        <f>IF(Q18="","",O18/Q18)</f>
        <v/>
      </c>
      <c r="S18" s="25">
        <f>IF(Q18="","",P18/Q18)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IF(OR(B19="",B18=""),"",B19/B18-1)</f>
        <v/>
      </c>
      <c r="H19" s="19">
        <f>IF(OR(C19="",C18=""),"",C19/C18-1)</f>
        <v/>
      </c>
      <c r="I19" s="19">
        <f>IF(OR(D19="",D18=""),"",D19/D18-1)</f>
        <v/>
      </c>
      <c r="J19" s="22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IF(L19="","",J19/L19)</f>
        <v/>
      </c>
      <c r="N19" s="23">
        <f>IF(L19="","",K19/L19)</f>
        <v/>
      </c>
      <c r="O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P19" s="9">
        <f>IF(SUMIFS('Year BSE Equity Options'!$J:$J,'Year BSE Equity Options'!$A:$A,$A19)=0,"",SUMIFS('Year BSE Equity Options'!$J:$J,'Year BSE Equity Options'!$A:$A,$A19))</f>
        <v/>
      </c>
      <c r="Q19" s="9">
        <f>IF(OR(O19="",P19=""),"",O19+P19)</f>
        <v/>
      </c>
      <c r="R19" s="25">
        <f>IF(Q19="","",O19/Q19)</f>
        <v/>
      </c>
      <c r="S19" s="25">
        <f>IF(Q19="","",P19/Q19)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IF(OR(B20="",B19=""),"",B20/B19-1)</f>
        <v/>
      </c>
      <c r="H20" s="19">
        <f>IF(OR(C20="",C19=""),"",C20/C19-1)</f>
        <v/>
      </c>
      <c r="I20" s="19">
        <f>IF(OR(D20="",D19=""),"",D20/D19-1)</f>
        <v/>
      </c>
      <c r="J20" s="22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IF(L20="","",J20/L20)</f>
        <v/>
      </c>
      <c r="N20" s="23">
        <f>IF(L20="","",K20/L20)</f>
        <v/>
      </c>
      <c r="O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P20" s="9">
        <f>IF(SUMIFS('Year BSE Equity Options'!$J:$J,'Year BSE Equity Options'!$A:$A,$A20)=0,"",SUMIFS('Year BSE Equity Options'!$J:$J,'Year BSE Equity Options'!$A:$A,$A20))</f>
        <v/>
      </c>
      <c r="Q20" s="9">
        <f>IF(OR(O20="",P20=""),"",O20+P20)</f>
        <v/>
      </c>
      <c r="R20" s="25">
        <f>IF(Q20="","",O20/Q20)</f>
        <v/>
      </c>
      <c r="S20" s="25">
        <f>IF(Q20="","",P20/Q20)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IF(OR(B21="",B20=""),"",B21/B20-1)</f>
        <v/>
      </c>
      <c r="H21" s="19">
        <f>IF(OR(C21="",C20=""),"",C21/C20-1)</f>
        <v/>
      </c>
      <c r="I21" s="19">
        <f>IF(OR(D21="",D20=""),"",D21/D20-1)</f>
        <v/>
      </c>
      <c r="J21" s="22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IF(L21="","",J21/L21)</f>
        <v/>
      </c>
      <c r="N21" s="23">
        <f>IF(L21="","",K21/L21)</f>
        <v/>
      </c>
      <c r="O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P21" s="9">
        <f>IF(SUMIFS('Year BSE Equity Options'!$J:$J,'Year BSE Equity Options'!$A:$A,$A21)=0,"",SUMIFS('Year BSE Equity Options'!$J:$J,'Year BSE Equity Options'!$A:$A,$A21))</f>
        <v/>
      </c>
      <c r="Q21" s="9">
        <f>IF(OR(O21="",P21=""),"",O21+P21)</f>
        <v/>
      </c>
      <c r="R21" s="25">
        <f>IF(Q21="","",O21/Q21)</f>
        <v/>
      </c>
      <c r="S21" s="25">
        <f>IF(Q21="","",P21/Q21)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IF(OR(B22="",B21=""),"",B22/B21-1)</f>
        <v/>
      </c>
      <c r="H22" s="19">
        <f>IF(OR(C22="",C21=""),"",C22/C21-1)</f>
        <v/>
      </c>
      <c r="I22" s="19">
        <f>IF(OR(D22="",D21=""),"",D22/D21-1)</f>
        <v/>
      </c>
      <c r="J22" s="22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IF(L22="","",J22/L22)</f>
        <v/>
      </c>
      <c r="N22" s="23">
        <f>IF(L22="","",K22/L22)</f>
        <v/>
      </c>
      <c r="O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P22" s="9">
        <f>IF(SUMIFS('Year BSE Equity Options'!$J:$J,'Year BSE Equity Options'!$A:$A,$A22)=0,"",SUMIFS('Year BSE Equity Options'!$J:$J,'Year BSE Equity Options'!$A:$A,$A22))</f>
        <v/>
      </c>
      <c r="Q22" s="9">
        <f>IF(OR(O22="",P22=""),"",O22+P22)</f>
        <v/>
      </c>
      <c r="R22" s="25">
        <f>IF(Q22="","",O22/Q22)</f>
        <v/>
      </c>
      <c r="S22" s="25">
        <f>IF(Q22="","",P22/Q22)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IF(OR(B23="",B22=""),"",B23/B22-1)</f>
        <v/>
      </c>
      <c r="H23" s="19">
        <f>IF(OR(C23="",C22=""),"",C23/C22-1)</f>
        <v/>
      </c>
      <c r="I23" s="19">
        <f>IF(OR(D23="",D22=""),"",D23/D22-1)</f>
        <v/>
      </c>
      <c r="J23" s="22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IF(L23="","",J23/L23)</f>
        <v/>
      </c>
      <c r="N23" s="23">
        <f>IF(L23="","",K23/L23)</f>
        <v/>
      </c>
      <c r="O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P23" s="9">
        <f>IF(SUMIFS('Year BSE Equity Options'!$J:$J,'Year BSE Equity Options'!$A:$A,$A23)=0,"",SUMIFS('Year BSE Equity Options'!$J:$J,'Year BSE Equity Options'!$A:$A,$A23))</f>
        <v/>
      </c>
      <c r="Q23" s="9">
        <f>IF(OR(O23="",P23=""),"",O23+P23)</f>
        <v/>
      </c>
      <c r="R23" s="25">
        <f>IF(Q23="","",O23/Q23)</f>
        <v/>
      </c>
      <c r="S23" s="25">
        <f>IF(Q23="","",P23/Q23)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IF(OR(B24="",B23=""),"",B24/B23-1)</f>
        <v/>
      </c>
      <c r="H24" s="19">
        <f>IF(OR(C24="",C23=""),"",C24/C23-1)</f>
        <v/>
      </c>
      <c r="I24" s="19">
        <f>IF(OR(D24="",D23=""),"",D24/D23-1)</f>
        <v/>
      </c>
      <c r="J24" s="22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IF(L24="","",J24/L24)</f>
        <v/>
      </c>
      <c r="N24" s="23">
        <f>IF(L24="","",K24/L24)</f>
        <v/>
      </c>
      <c r="O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P24" s="9">
        <f>IF(SUMIFS('Year BSE Equity Options'!$J:$J,'Year BSE Equity Options'!$A:$A,$A24)=0,"",SUMIFS('Year BSE Equity Options'!$J:$J,'Year BSE Equity Options'!$A:$A,$A24))</f>
        <v/>
      </c>
      <c r="Q24" s="9">
        <f>IF(OR(O24="",P24=""),"",O24+P24)</f>
        <v/>
      </c>
      <c r="R24" s="25">
        <f>IF(Q24="","",O24/Q24)</f>
        <v/>
      </c>
      <c r="S24" s="25">
        <f>IF(Q24="","",P24/Q24)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IF(OR(B25="",B24=""),"",B25/B24-1)</f>
        <v/>
      </c>
      <c r="H25" s="19">
        <f>IF(OR(C25="",C24=""),"",C25/C24-1)</f>
        <v/>
      </c>
      <c r="I25" s="19">
        <f>IF(OR(D25="",D24=""),"",D25/D24-1)</f>
        <v/>
      </c>
      <c r="J25" s="22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IF(L25="","",J25/L25)</f>
        <v/>
      </c>
      <c r="N25" s="23">
        <f>IF(L25="","",K25/L25)</f>
        <v/>
      </c>
      <c r="O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P25" s="9">
        <f>IF(SUMIFS('Year BSE Equity Options'!$J:$J,'Year BSE Equity Options'!$A:$A,$A25)=0,"",SUMIFS('Year BSE Equity Options'!$J:$J,'Year BSE Equity Options'!$A:$A,$A25))</f>
        <v/>
      </c>
      <c r="Q25" s="9">
        <f>IF(OR(O25="",P25=""),"",O25+P25)</f>
        <v/>
      </c>
      <c r="R25" s="25">
        <f>IF(Q25="","",O25/Q25)</f>
        <v/>
      </c>
      <c r="S25" s="25">
        <f>IF(Q25="","",P25/Q25)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E30" s="2" t="inlineStr">
        <is>
          <t>NSE Premium Market Share</t>
        </is>
      </c>
      <c r="F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M30" s="3" t="inlineStr">
        <is>
          <t>NSE Notional Market Share</t>
        </is>
      </c>
      <c r="N30" s="3" t="inlineStr">
        <is>
          <t>BSE Notional Market Share</t>
        </is>
      </c>
      <c r="O30" s="4" t="inlineStr">
        <is>
          <t>NSE No. of Contracts</t>
        </is>
      </c>
      <c r="P30" s="4" t="inlineStr">
        <is>
          <t>BSE No. of Contracts</t>
        </is>
      </c>
      <c r="Q30" s="4" t="inlineStr">
        <is>
          <t>Total No. of Contracts</t>
        </is>
      </c>
      <c r="R30" s="4" t="inlineStr">
        <is>
          <t>NSE Contracts Market Share</t>
        </is>
      </c>
      <c r="S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E31" s="19">
        <f>IF(D31=0,"",B31/D31)</f>
        <v/>
      </c>
      <c r="F31" s="19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M31" s="23">
        <f>IF(L31=0,"",J31/L31)</f>
        <v/>
      </c>
      <c r="N31" s="23">
        <f>IF(L31=0,"",K31/L31)</f>
        <v/>
      </c>
      <c r="O31" s="9">
        <f>SUMIFS('Daily NSE Equity Options'!$M:$M,'Daily NSE Equity Options'!$A:$A,"&gt;="&amp;$B$29,'Daily NSE Equity Options'!$A:$A,"&lt;="&amp;$C$29)</f>
        <v/>
      </c>
      <c r="P31" s="9">
        <f>SUMIFS('Daily BSE Equity Options'!$M:$M,'Daily BSE Equity Options'!$A:$A,"&gt;="&amp;$B$29,'Daily BSE Equity Options'!$A:$A,"&lt;="&amp;$C$29)</f>
        <v/>
      </c>
      <c r="Q31" s="9">
        <f>O31+P31</f>
        <v/>
      </c>
      <c r="R31" s="25">
        <f>IF(Q31=0,"",O31/Q31)</f>
        <v/>
      </c>
      <c r="S31" s="25">
        <f>IF(Q31=0,"",P31/Q31)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E32" s="19">
        <f>IF(D32=0,"",B32/D32)</f>
        <v/>
      </c>
      <c r="F32" s="19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M32" s="23">
        <f>IF(L32=0,"",J32/L32)</f>
        <v/>
      </c>
      <c r="N32" s="23">
        <f>IF(L32=0,"",K32/L32)</f>
        <v/>
      </c>
      <c r="O32" s="9">
        <f>SUMIFS('Daily NSE Equity Options'!$M:$M,'Daily NSE Equity Options'!$A:$A,"&gt;="&amp;DATE(2026,4,1))</f>
        <v/>
      </c>
      <c r="P32" s="9">
        <f>SUMIFS('Daily BSE Equity Options'!$M:$M,'Daily BSE Equity Options'!$A:$A,"&gt;="&amp;DATE(2026,4,1))</f>
        <v/>
      </c>
      <c r="Q32" s="9">
        <f>O32+P32</f>
        <v/>
      </c>
      <c r="R32" s="25">
        <f>IF(Q32=0,"",O32/Q32)</f>
        <v/>
      </c>
      <c r="S32" s="25">
        <f>IF(Q32=0,"",P32/Q32)</f>
        <v/>
      </c>
    </row>
    <row r="33">
      <c r="A33" s="1" t="inlineStr">
        <is>
          <t>YTD Growth (FY2026-2027 vs FY2025-2026)</t>
        </is>
      </c>
      <c r="B33" s="19">
        <f>IF(OR(B31=0,B31=""),"",B32/B31-1)</f>
        <v/>
      </c>
      <c r="C33" s="19">
        <f>IF(OR(C31=0,C31=""),"",C32/C31-1)</f>
        <v/>
      </c>
      <c r="D33" s="19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O33" s="25">
        <f>IF(OR(O31=0,O31=""),"",O32/O31-1)</f>
        <v/>
      </c>
      <c r="P33" s="25">
        <f>IF(OR(P31=0,P31=""),"",P32/P31-1)</f>
        <v/>
      </c>
      <c r="Q33" s="25">
        <f>IF(OR(Q31=0,Q31=""),"",Q32/Q31-1)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16" customWidth="1" min="16" max="16"/>
    <col width="16" customWidth="1" min="17" max="17"/>
    <col width="24" customWidth="1" min="18" max="18"/>
    <col width="24" customWidth="1" min="19" max="19"/>
    <col width="24" customWidth="1" min="20" max="20"/>
    <col width="16" customWidth="1" min="21" max="21"/>
    <col width="16" customWidth="1" min="22" max="22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Market Share</t>
        </is>
      </c>
      <c r="F1" s="2" t="inlineStr">
        <is>
          <t>BSE Premium Market Share</t>
        </is>
      </c>
      <c r="G1" s="15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QoQ Growth</t>
        </is>
      </c>
      <c r="K1" s="2" t="inlineStr">
        <is>
          <t>BSE Premium QoQ Growth</t>
        </is>
      </c>
      <c r="L1" s="2" t="inlineStr">
        <is>
          <t>Total Premium QoQ Growth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Market Share</t>
        </is>
      </c>
      <c r="V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>
        <f>IF(D2="","",B2/D2)</f>
        <v/>
      </c>
      <c r="F2" s="19">
        <f>IF(D2="","",C2/D2)</f>
        <v/>
      </c>
      <c r="G2" s="20" t="n"/>
      <c r="H2" s="21" t="n"/>
      <c r="I2" s="21" t="n"/>
      <c r="J2" s="21" t="n"/>
      <c r="K2" s="21" t="n"/>
      <c r="L2" s="21" t="n"/>
      <c r="M2" s="22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3">
        <f>IF(O2="","",M2/O2)</f>
        <v/>
      </c>
      <c r="Q2" s="23">
        <f>IF(O2="","",N2/O2)</f>
        <v/>
      </c>
      <c r="R2" s="24">
        <f>IF(SUMIFS('Monthly NSE Equity Options'!$L:$L,'Monthly NSE Equity Options'!$C:$C,$A2)=0,"",SUMIFS('Monthly NSE Equity Options'!$L:$L,'Monthly NSE Equity Options'!$C:$C,$A2))</f>
        <v/>
      </c>
      <c r="S2" s="9">
        <f>IF(SUMIFS('Monthly BSE Equity Options'!$L:$L,'Monthly BSE Equity Options'!$C:$C,$A2)=0,"",SUMIFS('Monthly BSE Equity Options'!$L:$L,'Monthly BSE Equity Options'!$C:$C,$A2))</f>
        <v/>
      </c>
      <c r="T2" s="9">
        <f>IF(OR(R2="",S2=""),"",R2+S2)</f>
        <v/>
      </c>
      <c r="U2" s="25">
        <f>IF(T2="","",R2/T2)</f>
        <v/>
      </c>
      <c r="V2" s="25">
        <f>IF(T2="","",S2/T2)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>
        <f>IF(D3="","",B3/D3)</f>
        <v/>
      </c>
      <c r="F3" s="19">
        <f>IF(D3="","",C3/D3)</f>
        <v/>
      </c>
      <c r="G3" s="20" t="n"/>
      <c r="H3" s="21" t="n"/>
      <c r="I3" s="21" t="n"/>
      <c r="J3" s="19">
        <f>IF(OR(B3="",B2=""),"",B3/B2-1)</f>
        <v/>
      </c>
      <c r="K3" s="19">
        <f>IF(OR(C3="",C2=""),"",C3/C2-1)</f>
        <v/>
      </c>
      <c r="L3" s="19">
        <f>IF(OR(D3="",D2=""),"",D3/D2-1)</f>
        <v/>
      </c>
      <c r="M3" s="22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3">
        <f>IF(O3="","",M3/O3)</f>
        <v/>
      </c>
      <c r="Q3" s="23">
        <f>IF(O3="","",N3/O3)</f>
        <v/>
      </c>
      <c r="R3" s="24">
        <f>IF(SUMIFS('Monthly NSE Equity Options'!$L:$L,'Monthly NSE Equity Options'!$C:$C,$A3)=0,"",SUMIFS('Monthly NSE Equity Options'!$L:$L,'Monthly NSE Equity Options'!$C:$C,$A3))</f>
        <v/>
      </c>
      <c r="S3" s="9">
        <f>IF(SUMIFS('Monthly BSE Equity Options'!$L:$L,'Monthly BSE Equity Options'!$C:$C,$A3)=0,"",SUMIFS('Monthly BSE Equity Options'!$L:$L,'Monthly BSE Equity Options'!$C:$C,$A3))</f>
        <v/>
      </c>
      <c r="T3" s="9">
        <f>IF(OR(R3="",S3=""),"",R3+S3)</f>
        <v/>
      </c>
      <c r="U3" s="25">
        <f>IF(T3="","",R3/T3)</f>
        <v/>
      </c>
      <c r="V3" s="25">
        <f>IF(T3="","",S3/T3)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>
        <f>IF(D4="","",B4/D4)</f>
        <v/>
      </c>
      <c r="F4" s="19">
        <f>IF(D4="","",C4/D4)</f>
        <v/>
      </c>
      <c r="G4" s="20" t="n"/>
      <c r="H4" s="21" t="n"/>
      <c r="I4" s="21" t="n"/>
      <c r="J4" s="19">
        <f>IF(OR(B4="",B3=""),"",B4/B3-1)</f>
        <v/>
      </c>
      <c r="K4" s="19">
        <f>IF(OR(C4="",C3=""),"",C4/C3-1)</f>
        <v/>
      </c>
      <c r="L4" s="19">
        <f>IF(OR(D4="",D3=""),"",D4/D3-1)</f>
        <v/>
      </c>
      <c r="M4" s="22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3">
        <f>IF(O4="","",M4/O4)</f>
        <v/>
      </c>
      <c r="Q4" s="23">
        <f>IF(O4="","",N4/O4)</f>
        <v/>
      </c>
      <c r="R4" s="24">
        <f>IF(SUMIFS('Monthly NSE Equity Options'!$L:$L,'Monthly NSE Equity Options'!$C:$C,$A4)=0,"",SUMIFS('Monthly NSE Equity Options'!$L:$L,'Monthly NSE Equity Options'!$C:$C,$A4))</f>
        <v/>
      </c>
      <c r="S4" s="9">
        <f>IF(SUMIFS('Monthly BSE Equity Options'!$L:$L,'Monthly BSE Equity Options'!$C:$C,$A4)=0,"",SUMIFS('Monthly BSE Equity Options'!$L:$L,'Monthly BSE Equity Options'!$C:$C,$A4))</f>
        <v/>
      </c>
      <c r="T4" s="9">
        <f>IF(OR(R4="",S4=""),"",R4+S4)</f>
        <v/>
      </c>
      <c r="U4" s="25">
        <f>IF(T4="","",R4/T4)</f>
        <v/>
      </c>
      <c r="V4" s="25">
        <f>IF(T4="","",S4/T4)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>
        <f>IF(D5="","",B5/D5)</f>
        <v/>
      </c>
      <c r="F5" s="19">
        <f>IF(D5="","",C5/D5)</f>
        <v/>
      </c>
      <c r="G5" s="20" t="n"/>
      <c r="H5" s="21" t="n"/>
      <c r="I5" s="21" t="n"/>
      <c r="J5" s="19">
        <f>IF(OR(B5="",B4=""),"",B5/B4-1)</f>
        <v/>
      </c>
      <c r="K5" s="19">
        <f>IF(OR(C5="",C4=""),"",C5/C4-1)</f>
        <v/>
      </c>
      <c r="L5" s="19">
        <f>IF(OR(D5="",D4=""),"",D5/D4-1)</f>
        <v/>
      </c>
      <c r="M5" s="22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3">
        <f>IF(O5="","",M5/O5)</f>
        <v/>
      </c>
      <c r="Q5" s="23">
        <f>IF(O5="","",N5/O5)</f>
        <v/>
      </c>
      <c r="R5" s="24">
        <f>IF(SUMIFS('Monthly NSE Equity Options'!$L:$L,'Monthly NSE Equity Options'!$C:$C,$A5)=0,"",SUMIFS('Monthly NSE Equity Options'!$L:$L,'Monthly NSE Equity Options'!$C:$C,$A5))</f>
        <v/>
      </c>
      <c r="S5" s="9">
        <f>IF(SUMIFS('Monthly BSE Equity Options'!$L:$L,'Monthly BSE Equity Options'!$C:$C,$A5)=0,"",SUMIFS('Monthly BSE Equity Options'!$L:$L,'Monthly BSE Equity Options'!$C:$C,$A5))</f>
        <v/>
      </c>
      <c r="T5" s="9">
        <f>IF(OR(R5="",S5=""),"",R5+S5)</f>
        <v/>
      </c>
      <c r="U5" s="25">
        <f>IF(T5="","",R5/T5)</f>
        <v/>
      </c>
      <c r="V5" s="25">
        <f>IF(T5="","",S5/T5)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19">
        <f>IF(D6="","",B6/D6)</f>
        <v/>
      </c>
      <c r="F6" s="19">
        <f>IF(D6="","",C6/D6)</f>
        <v/>
      </c>
      <c r="G6" s="26">
        <f>IF(OR(B6="",B2=""),"",B6/B2-1)</f>
        <v/>
      </c>
      <c r="H6" s="19">
        <f>IF(OR(C6="",C2=""),"",C6/C2-1)</f>
        <v/>
      </c>
      <c r="I6" s="19">
        <f>IF(OR(D6="",D2=""),"",D6/D2-1)</f>
        <v/>
      </c>
      <c r="J6" s="19">
        <f>IF(OR(B6="",B5=""),"",B6/B5-1)</f>
        <v/>
      </c>
      <c r="K6" s="19">
        <f>IF(OR(C6="",C5=""),"",C6/C5-1)</f>
        <v/>
      </c>
      <c r="L6" s="19">
        <f>IF(OR(D6="",D5=""),"",D6/D5-1)</f>
        <v/>
      </c>
      <c r="M6" s="22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IF(O6="","",M6/O6)</f>
        <v/>
      </c>
      <c r="Q6" s="23">
        <f>IF(O6="","",N6/O6)</f>
        <v/>
      </c>
      <c r="R6" s="24">
        <f>IF(SUMIFS('Monthly NSE Equity Options'!$L:$L,'Monthly NSE Equity Options'!$C:$C,$A6)=0,"",SUMIFS('Monthly NSE Equity Options'!$L:$L,'Monthly NSE Equity Options'!$C:$C,$A6))</f>
        <v/>
      </c>
      <c r="S6" s="9">
        <f>IF(SUMIFS('Monthly BSE Equity Options'!$L:$L,'Monthly BSE Equity Options'!$C:$C,$A6)=0,"",SUMIFS('Monthly BSE Equity Options'!$L:$L,'Monthly BSE Equity Options'!$C:$C,$A6))</f>
        <v/>
      </c>
      <c r="T6" s="9">
        <f>IF(OR(R6="",S6=""),"",R6+S6)</f>
        <v/>
      </c>
      <c r="U6" s="25">
        <f>IF(T6="","",R6/T6)</f>
        <v/>
      </c>
      <c r="V6" s="25">
        <f>IF(T6="","",S6/T6)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19">
        <f>IF(D7="","",B7/D7)</f>
        <v/>
      </c>
      <c r="F7" s="19">
        <f>IF(D7="","",C7/D7)</f>
        <v/>
      </c>
      <c r="G7" s="26">
        <f>IF(OR(B7="",B3=""),"",B7/B3-1)</f>
        <v/>
      </c>
      <c r="H7" s="19">
        <f>IF(OR(C7="",C3=""),"",C7/C3-1)</f>
        <v/>
      </c>
      <c r="I7" s="19">
        <f>IF(OR(D7="",D3=""),"",D7/D3-1)</f>
        <v/>
      </c>
      <c r="J7" s="19">
        <f>IF(OR(B7="",B6=""),"",B7/B6-1)</f>
        <v/>
      </c>
      <c r="K7" s="19">
        <f>IF(OR(C7="",C6=""),"",C7/C6-1)</f>
        <v/>
      </c>
      <c r="L7" s="19">
        <f>IF(OR(D7="",D6=""),"",D7/D6-1)</f>
        <v/>
      </c>
      <c r="M7" s="22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IF(O7="","",M7/O7)</f>
        <v/>
      </c>
      <c r="Q7" s="23">
        <f>IF(O7="","",N7/O7)</f>
        <v/>
      </c>
      <c r="R7" s="24">
        <f>IF(SUMIFS('Monthly NSE Equity Options'!$L:$L,'Monthly NSE Equity Options'!$C:$C,$A7)=0,"",SUMIFS('Monthly NSE Equity Options'!$L:$L,'Monthly NSE Equity Options'!$C:$C,$A7))</f>
        <v/>
      </c>
      <c r="S7" s="9">
        <f>IF(SUMIFS('Monthly BSE Equity Options'!$L:$L,'Monthly BSE Equity Options'!$C:$C,$A7)=0,"",SUMIFS('Monthly BSE Equity Options'!$L:$L,'Monthly BSE Equity Options'!$C:$C,$A7))</f>
        <v/>
      </c>
      <c r="T7" s="9">
        <f>IF(OR(R7="",S7=""),"",R7+S7)</f>
        <v/>
      </c>
      <c r="U7" s="25">
        <f>IF(T7="","",R7/T7)</f>
        <v/>
      </c>
      <c r="V7" s="25">
        <f>IF(T7="","",S7/T7)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19">
        <f>IF(D8="","",B8/D8)</f>
        <v/>
      </c>
      <c r="F8" s="19">
        <f>IF(D8="","",C8/D8)</f>
        <v/>
      </c>
      <c r="G8" s="26">
        <f>IF(OR(B8="",B4=""),"",B8/B4-1)</f>
        <v/>
      </c>
      <c r="H8" s="19">
        <f>IF(OR(C8="",C4=""),"",C8/C4-1)</f>
        <v/>
      </c>
      <c r="I8" s="19">
        <f>IF(OR(D8="",D4=""),"",D8/D4-1)</f>
        <v/>
      </c>
      <c r="J8" s="19">
        <f>IF(OR(B8="",B7=""),"",B8/B7-1)</f>
        <v/>
      </c>
      <c r="K8" s="19">
        <f>IF(OR(C8="",C7=""),"",C8/C7-1)</f>
        <v/>
      </c>
      <c r="L8" s="19">
        <f>IF(OR(D8="",D7=""),"",D8/D7-1)</f>
        <v/>
      </c>
      <c r="M8" s="22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IF(O8="","",M8/O8)</f>
        <v/>
      </c>
      <c r="Q8" s="23">
        <f>IF(O8="","",N8/O8)</f>
        <v/>
      </c>
      <c r="R8" s="24">
        <f>IF(SUMIFS('Monthly NSE Equity Options'!$L:$L,'Monthly NSE Equity Options'!$C:$C,$A8)=0,"",SUMIFS('Monthly NSE Equity Options'!$L:$L,'Monthly NSE Equity Options'!$C:$C,$A8))</f>
        <v/>
      </c>
      <c r="S8" s="9">
        <f>IF(SUMIFS('Monthly BSE Equity Options'!$L:$L,'Monthly BSE Equity Options'!$C:$C,$A8)=0,"",SUMIFS('Monthly BSE Equity Options'!$L:$L,'Monthly BSE Equity Options'!$C:$C,$A8))</f>
        <v/>
      </c>
      <c r="T8" s="9">
        <f>IF(OR(R8="",S8=""),"",R8+S8)</f>
        <v/>
      </c>
      <c r="U8" s="25">
        <f>IF(T8="","",R8/T8)</f>
        <v/>
      </c>
      <c r="V8" s="25">
        <f>IF(T8="","",S8/T8)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19">
        <f>IF(D9="","",B9/D9)</f>
        <v/>
      </c>
      <c r="F9" s="19">
        <f>IF(D9="","",C9/D9)</f>
        <v/>
      </c>
      <c r="G9" s="26">
        <f>IF(OR(B9="",B5=""),"",B9/B5-1)</f>
        <v/>
      </c>
      <c r="H9" s="19">
        <f>IF(OR(C9="",C5=""),"",C9/C5-1)</f>
        <v/>
      </c>
      <c r="I9" s="19">
        <f>IF(OR(D9="",D5=""),"",D9/D5-1)</f>
        <v/>
      </c>
      <c r="J9" s="19">
        <f>IF(OR(B9="",B8=""),"",B9/B8-1)</f>
        <v/>
      </c>
      <c r="K9" s="19">
        <f>IF(OR(C9="",C8=""),"",C9/C8-1)</f>
        <v/>
      </c>
      <c r="L9" s="19">
        <f>IF(OR(D9="",D8=""),"",D9/D8-1)</f>
        <v/>
      </c>
      <c r="M9" s="22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IF(O9="","",M9/O9)</f>
        <v/>
      </c>
      <c r="Q9" s="23">
        <f>IF(O9="","",N9/O9)</f>
        <v/>
      </c>
      <c r="R9" s="24">
        <f>IF(SUMIFS('Monthly NSE Equity Options'!$L:$L,'Monthly NSE Equity Options'!$C:$C,$A9)=0,"",SUMIFS('Monthly NSE Equity Options'!$L:$L,'Monthly NSE Equity Options'!$C:$C,$A9))</f>
        <v/>
      </c>
      <c r="S9" s="9">
        <f>IF(SUMIFS('Monthly BSE Equity Options'!$L:$L,'Monthly BSE Equity Options'!$C:$C,$A9)=0,"",SUMIFS('Monthly BSE Equity Options'!$L:$L,'Monthly BSE Equity Options'!$C:$C,$A9))</f>
        <v/>
      </c>
      <c r="T9" s="9">
        <f>IF(OR(R9="",S9=""),"",R9+S9)</f>
        <v/>
      </c>
      <c r="U9" s="25">
        <f>IF(T9="","",R9/T9)</f>
        <v/>
      </c>
      <c r="V9" s="25">
        <f>IF(T9="","",S9/T9)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19">
        <f>IF(D10="","",B10/D10)</f>
        <v/>
      </c>
      <c r="F10" s="19">
        <f>IF(D10="","",C10/D10)</f>
        <v/>
      </c>
      <c r="G10" s="26">
        <f>IF(OR(B10="",B6=""),"",B10/B6-1)</f>
        <v/>
      </c>
      <c r="H10" s="19">
        <f>IF(OR(C10="",C6=""),"",C10/C6-1)</f>
        <v/>
      </c>
      <c r="I10" s="19">
        <f>IF(OR(D10="",D6=""),"",D10/D6-1)</f>
        <v/>
      </c>
      <c r="J10" s="19">
        <f>IF(OR(B10="",B9=""),"",B10/B9-1)</f>
        <v/>
      </c>
      <c r="K10" s="19">
        <f>IF(OR(C10="",C9=""),"",C10/C9-1)</f>
        <v/>
      </c>
      <c r="L10" s="19">
        <f>IF(OR(D10="",D9=""),"",D10/D9-1)</f>
        <v/>
      </c>
      <c r="M10" s="22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IF(O10="","",M10/O10)</f>
        <v/>
      </c>
      <c r="Q10" s="23">
        <f>IF(O10="","",N10/O10)</f>
        <v/>
      </c>
      <c r="R10" s="24">
        <f>IF(SUMIFS('Monthly NSE Equity Options'!$L:$L,'Monthly NSE Equity Options'!$C:$C,$A10)=0,"",SUMIFS('Monthly NSE Equity Options'!$L:$L,'Monthly NSE Equity Options'!$C:$C,$A10))</f>
        <v/>
      </c>
      <c r="S10" s="9">
        <f>IF(SUMIFS('Monthly BSE Equity Options'!$L:$L,'Monthly BSE Equity Options'!$C:$C,$A10)=0,"",SUMIFS('Monthly BSE Equity Options'!$L:$L,'Monthly BSE Equity Options'!$C:$C,$A10))</f>
        <v/>
      </c>
      <c r="T10" s="9">
        <f>IF(OR(R10="",S10=""),"",R10+S10)</f>
        <v/>
      </c>
      <c r="U10" s="25">
        <f>IF(T10="","",R10/T10)</f>
        <v/>
      </c>
      <c r="V10" s="25">
        <f>IF(T10="","",S10/T10)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19">
        <f>IF(D11="","",B11/D11)</f>
        <v/>
      </c>
      <c r="F11" s="19">
        <f>IF(D11="","",C11/D11)</f>
        <v/>
      </c>
      <c r="G11" s="26">
        <f>IF(OR(B11="",B7=""),"",B11/B7-1)</f>
        <v/>
      </c>
      <c r="H11" s="19">
        <f>IF(OR(C11="",C7=""),"",C11/C7-1)</f>
        <v/>
      </c>
      <c r="I11" s="19">
        <f>IF(OR(D11="",D7=""),"",D11/D7-1)</f>
        <v/>
      </c>
      <c r="J11" s="19">
        <f>IF(OR(B11="",B10=""),"",B11/B10-1)</f>
        <v/>
      </c>
      <c r="K11" s="19">
        <f>IF(OR(C11="",C10=""),"",C11/C10-1)</f>
        <v/>
      </c>
      <c r="L11" s="19">
        <f>IF(OR(D11="",D10=""),"",D11/D10-1)</f>
        <v/>
      </c>
      <c r="M11" s="22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IF(O11="","",M11/O11)</f>
        <v/>
      </c>
      <c r="Q11" s="23">
        <f>IF(O11="","",N11/O11)</f>
        <v/>
      </c>
      <c r="R11" s="24">
        <f>IF(SUMIFS('Monthly NSE Equity Options'!$L:$L,'Monthly NSE Equity Options'!$C:$C,$A11)=0,"",SUMIFS('Monthly NSE Equity Options'!$L:$L,'Monthly NSE Equity Options'!$C:$C,$A11))</f>
        <v/>
      </c>
      <c r="S11" s="9">
        <f>IF(SUMIFS('Monthly BSE Equity Options'!$L:$L,'Monthly BSE Equity Options'!$C:$C,$A11)=0,"",SUMIFS('Monthly BSE Equity Options'!$L:$L,'Monthly BSE Equity Options'!$C:$C,$A11))</f>
        <v/>
      </c>
      <c r="T11" s="9">
        <f>IF(OR(R11="",S11=""),"",R11+S11)</f>
        <v/>
      </c>
      <c r="U11" s="25">
        <f>IF(T11="","",R11/T11)</f>
        <v/>
      </c>
      <c r="V11" s="25">
        <f>IF(T11="","",S11/T11)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19">
        <f>IF(D12="","",B12/D12)</f>
        <v/>
      </c>
      <c r="F12" s="19">
        <f>IF(D12="","",C12/D12)</f>
        <v/>
      </c>
      <c r="G12" s="26">
        <f>IF(OR(B12="",B8=""),"",B12/B8-1)</f>
        <v/>
      </c>
      <c r="H12" s="19">
        <f>IF(OR(C12="",C8=""),"",C12/C8-1)</f>
        <v/>
      </c>
      <c r="I12" s="19">
        <f>IF(OR(D12="",D8=""),"",D12/D8-1)</f>
        <v/>
      </c>
      <c r="J12" s="19">
        <f>IF(OR(B12="",B11=""),"",B12/B11-1)</f>
        <v/>
      </c>
      <c r="K12" s="19">
        <f>IF(OR(C12="",C11=""),"",C12/C11-1)</f>
        <v/>
      </c>
      <c r="L12" s="19">
        <f>IF(OR(D12="",D11=""),"",D12/D11-1)</f>
        <v/>
      </c>
      <c r="M12" s="22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IF(O12="","",M12/O12)</f>
        <v/>
      </c>
      <c r="Q12" s="23">
        <f>IF(O12="","",N12/O12)</f>
        <v/>
      </c>
      <c r="R12" s="24">
        <f>IF(SUMIFS('Monthly NSE Equity Options'!$L:$L,'Monthly NSE Equity Options'!$C:$C,$A12)=0,"",SUMIFS('Monthly NSE Equity Options'!$L:$L,'Monthly NSE Equity Options'!$C:$C,$A12))</f>
        <v/>
      </c>
      <c r="S12" s="9">
        <f>IF(SUMIFS('Monthly BSE Equity Options'!$L:$L,'Monthly BSE Equity Options'!$C:$C,$A12)=0,"",SUMIFS('Monthly BSE Equity Options'!$L:$L,'Monthly BSE Equity Options'!$C:$C,$A12))</f>
        <v/>
      </c>
      <c r="T12" s="9">
        <f>IF(OR(R12="",S12=""),"",R12+S12)</f>
        <v/>
      </c>
      <c r="U12" s="25">
        <f>IF(T12="","",R12/T12)</f>
        <v/>
      </c>
      <c r="V12" s="25">
        <f>IF(T12="","",S12/T12)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19">
        <f>IF(D13="","",B13/D13)</f>
        <v/>
      </c>
      <c r="F13" s="19">
        <f>IF(D13="","",C13/D13)</f>
        <v/>
      </c>
      <c r="G13" s="26">
        <f>IF(OR(B13="",B9=""),"",B13/B9-1)</f>
        <v/>
      </c>
      <c r="H13" s="19">
        <f>IF(OR(C13="",C9=""),"",C13/C9-1)</f>
        <v/>
      </c>
      <c r="I13" s="19">
        <f>IF(OR(D13="",D9=""),"",D13/D9-1)</f>
        <v/>
      </c>
      <c r="J13" s="19">
        <f>IF(OR(B13="",B12=""),"",B13/B12-1)</f>
        <v/>
      </c>
      <c r="K13" s="19">
        <f>IF(OR(C13="",C12=""),"",C13/C12-1)</f>
        <v/>
      </c>
      <c r="L13" s="19">
        <f>IF(OR(D13="",D12=""),"",D13/D12-1)</f>
        <v/>
      </c>
      <c r="M13" s="22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IF(O13="","",M13/O13)</f>
        <v/>
      </c>
      <c r="Q13" s="23">
        <f>IF(O13="","",N13/O13)</f>
        <v/>
      </c>
      <c r="R13" s="24">
        <f>IF(SUMIFS('Monthly NSE Equity Options'!$L:$L,'Monthly NSE Equity Options'!$C:$C,$A13)=0,"",SUMIFS('Monthly NSE Equity Options'!$L:$L,'Monthly NSE Equity Options'!$C:$C,$A13))</f>
        <v/>
      </c>
      <c r="S13" s="9">
        <f>IF(SUMIFS('Monthly BSE Equity Options'!$L:$L,'Monthly BSE Equity Options'!$C:$C,$A13)=0,"",SUMIFS('Monthly BSE Equity Options'!$L:$L,'Monthly BSE Equity Options'!$C:$C,$A13))</f>
        <v/>
      </c>
      <c r="T13" s="9">
        <f>IF(OR(R13="",S13=""),"",R13+S13)</f>
        <v/>
      </c>
      <c r="U13" s="25">
        <f>IF(T13="","",R13/T13)</f>
        <v/>
      </c>
      <c r="V13" s="25">
        <f>IF(T13="","",S13/T13)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19">
        <f>IF(D14="","",B14/D14)</f>
        <v/>
      </c>
      <c r="F14" s="19">
        <f>IF(D14="","",C14/D14)</f>
        <v/>
      </c>
      <c r="G14" s="26">
        <f>IF(OR(B14="",B10=""),"",B14/B10-1)</f>
        <v/>
      </c>
      <c r="H14" s="19">
        <f>IF(OR(C14="",C10=""),"",C14/C10-1)</f>
        <v/>
      </c>
      <c r="I14" s="19">
        <f>IF(OR(D14="",D10=""),"",D14/D10-1)</f>
        <v/>
      </c>
      <c r="J14" s="19">
        <f>IF(OR(B14="",B13=""),"",B14/B13-1)</f>
        <v/>
      </c>
      <c r="K14" s="19">
        <f>IF(OR(C14="",C13=""),"",C14/C13-1)</f>
        <v/>
      </c>
      <c r="L14" s="19">
        <f>IF(OR(D14="",D13=""),"",D14/D13-1)</f>
        <v/>
      </c>
      <c r="M14" s="22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IF(O14="","",M14/O14)</f>
        <v/>
      </c>
      <c r="Q14" s="23">
        <f>IF(O14="","",N14/O14)</f>
        <v/>
      </c>
      <c r="R14" s="24">
        <f>IF(SUMIFS('Monthly NSE Equity Options'!$L:$L,'Monthly NSE Equity Options'!$C:$C,$A14)=0,"",SUMIFS('Monthly NSE Equity Options'!$L:$L,'Monthly NSE Equity Options'!$C:$C,$A14))</f>
        <v/>
      </c>
      <c r="S14" s="9">
        <f>IF(SUMIFS('Monthly BSE Equity Options'!$L:$L,'Monthly BSE Equity Options'!$C:$C,$A14)=0,"",SUMIFS('Monthly BSE Equity Options'!$L:$L,'Monthly BSE Equity Options'!$C:$C,$A14))</f>
        <v/>
      </c>
      <c r="T14" s="9">
        <f>IF(OR(R14="",S14=""),"",R14+S14)</f>
        <v/>
      </c>
      <c r="U14" s="25">
        <f>IF(T14="","",R14/T14)</f>
        <v/>
      </c>
      <c r="V14" s="25">
        <f>IF(T14="","",S14/T14)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19">
        <f>IF(D15="","",B15/D15)</f>
        <v/>
      </c>
      <c r="F15" s="19">
        <f>IF(D15="","",C15/D15)</f>
        <v/>
      </c>
      <c r="G15" s="26">
        <f>IF(OR(B15="",B11=""),"",B15/B11-1)</f>
        <v/>
      </c>
      <c r="H15" s="19">
        <f>IF(OR(C15="",C11=""),"",C15/C11-1)</f>
        <v/>
      </c>
      <c r="I15" s="19">
        <f>IF(OR(D15="",D11=""),"",D15/D11-1)</f>
        <v/>
      </c>
      <c r="J15" s="19">
        <f>IF(OR(B15="",B14=""),"",B15/B14-1)</f>
        <v/>
      </c>
      <c r="K15" s="19">
        <f>IF(OR(C15="",C14=""),"",C15/C14-1)</f>
        <v/>
      </c>
      <c r="L15" s="19">
        <f>IF(OR(D15="",D14=""),"",D15/D14-1)</f>
        <v/>
      </c>
      <c r="M15" s="22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IF(O15="","",M15/O15)</f>
        <v/>
      </c>
      <c r="Q15" s="23">
        <f>IF(O15="","",N15/O15)</f>
        <v/>
      </c>
      <c r="R15" s="24">
        <f>IF(SUMIFS('Monthly NSE Equity Options'!$L:$L,'Monthly NSE Equity Options'!$C:$C,$A15)=0,"",SUMIFS('Monthly NSE Equity Options'!$L:$L,'Monthly NSE Equity Options'!$C:$C,$A15))</f>
        <v/>
      </c>
      <c r="S15" s="9">
        <f>IF(SUMIFS('Monthly BSE Equity Options'!$L:$L,'Monthly BSE Equity Options'!$C:$C,$A15)=0,"",SUMIFS('Monthly BSE Equity Options'!$L:$L,'Monthly BSE Equity Options'!$C:$C,$A15))</f>
        <v/>
      </c>
      <c r="T15" s="9">
        <f>IF(OR(R15="",S15=""),"",R15+S15)</f>
        <v/>
      </c>
      <c r="U15" s="25">
        <f>IF(T15="","",R15/T15)</f>
        <v/>
      </c>
      <c r="V15" s="25">
        <f>IF(T15="","",S15/T15)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19">
        <f>IF(D16="","",B16/D16)</f>
        <v/>
      </c>
      <c r="F16" s="19">
        <f>IF(D16="","",C16/D16)</f>
        <v/>
      </c>
      <c r="G16" s="26">
        <f>IF(OR(B16="",B12=""),"",B16/B12-1)</f>
        <v/>
      </c>
      <c r="H16" s="19">
        <f>IF(OR(C16="",C12=""),"",C16/C12-1)</f>
        <v/>
      </c>
      <c r="I16" s="19">
        <f>IF(OR(D16="",D12=""),"",D16/D12-1)</f>
        <v/>
      </c>
      <c r="J16" s="19">
        <f>IF(OR(B16="",B15=""),"",B16/B15-1)</f>
        <v/>
      </c>
      <c r="K16" s="19">
        <f>IF(OR(C16="",C15=""),"",C16/C15-1)</f>
        <v/>
      </c>
      <c r="L16" s="19">
        <f>IF(OR(D16="",D15=""),"",D16/D15-1)</f>
        <v/>
      </c>
      <c r="M16" s="22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IF(O16="","",M16/O16)</f>
        <v/>
      </c>
      <c r="Q16" s="23">
        <f>IF(O16="","",N16/O16)</f>
        <v/>
      </c>
      <c r="R16" s="24">
        <f>IF(SUMIFS('Monthly NSE Equity Options'!$L:$L,'Monthly NSE Equity Options'!$C:$C,$A16)=0,"",SUMIFS('Monthly NSE Equity Options'!$L:$L,'Monthly NSE Equity Options'!$C:$C,$A16))</f>
        <v/>
      </c>
      <c r="S16" s="9">
        <f>IF(SUMIFS('Monthly BSE Equity Options'!$L:$L,'Monthly BSE Equity Options'!$C:$C,$A16)=0,"",SUMIFS('Monthly BSE Equity Options'!$L:$L,'Monthly BSE Equity Options'!$C:$C,$A16))</f>
        <v/>
      </c>
      <c r="T16" s="9">
        <f>IF(OR(R16="",S16=""),"",R16+S16)</f>
        <v/>
      </c>
      <c r="U16" s="25">
        <f>IF(T16="","",R16/T16)</f>
        <v/>
      </c>
      <c r="V16" s="25">
        <f>IF(T16="","",S16/T16)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19">
        <f>IF(D17="","",B17/D17)</f>
        <v/>
      </c>
      <c r="F17" s="19">
        <f>IF(D17="","",C17/D17)</f>
        <v/>
      </c>
      <c r="G17" s="26">
        <f>IF(OR(B17="",B13=""),"",B17/B13-1)</f>
        <v/>
      </c>
      <c r="H17" s="19">
        <f>IF(OR(C17="",C13=""),"",C17/C13-1)</f>
        <v/>
      </c>
      <c r="I17" s="19">
        <f>IF(OR(D17="",D13=""),"",D17/D13-1)</f>
        <v/>
      </c>
      <c r="J17" s="19">
        <f>IF(OR(B17="",B16=""),"",B17/B16-1)</f>
        <v/>
      </c>
      <c r="K17" s="19">
        <f>IF(OR(C17="",C16=""),"",C17/C16-1)</f>
        <v/>
      </c>
      <c r="L17" s="19">
        <f>IF(OR(D17="",D16=""),"",D17/D16-1)</f>
        <v/>
      </c>
      <c r="M17" s="22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IF(O17="","",M17/O17)</f>
        <v/>
      </c>
      <c r="Q17" s="23">
        <f>IF(O17="","",N17/O17)</f>
        <v/>
      </c>
      <c r="R17" s="24">
        <f>IF(SUMIFS('Monthly NSE Equity Options'!$L:$L,'Monthly NSE Equity Options'!$C:$C,$A17)=0,"",SUMIFS('Monthly NSE Equity Options'!$L:$L,'Monthly NSE Equity Options'!$C:$C,$A17))</f>
        <v/>
      </c>
      <c r="S17" s="9">
        <f>IF(SUMIFS('Monthly BSE Equity Options'!$L:$L,'Monthly BSE Equity Options'!$C:$C,$A17)=0,"",SUMIFS('Monthly BSE Equity Options'!$L:$L,'Monthly BSE Equity Options'!$C:$C,$A17))</f>
        <v/>
      </c>
      <c r="T17" s="9">
        <f>IF(OR(R17="",S17=""),"",R17+S17)</f>
        <v/>
      </c>
      <c r="U17" s="25">
        <f>IF(T17="","",R17/T17)</f>
        <v/>
      </c>
      <c r="V17" s="25">
        <f>IF(T17="","",S17/T17)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19">
        <f>IF(D18="","",B18/D18)</f>
        <v/>
      </c>
      <c r="F18" s="19">
        <f>IF(D18="","",C18/D18)</f>
        <v/>
      </c>
      <c r="G18" s="26">
        <f>IF(OR(B18="",B14=""),"",B18/B14-1)</f>
        <v/>
      </c>
      <c r="H18" s="19">
        <f>IF(OR(C18="",C14=""),"",C18/C14-1)</f>
        <v/>
      </c>
      <c r="I18" s="19">
        <f>IF(OR(D18="",D14=""),"",D18/D14-1)</f>
        <v/>
      </c>
      <c r="J18" s="19">
        <f>IF(OR(B18="",B17=""),"",B18/B17-1)</f>
        <v/>
      </c>
      <c r="K18" s="19">
        <f>IF(OR(C18="",C17=""),"",C18/C17-1)</f>
        <v/>
      </c>
      <c r="L18" s="19">
        <f>IF(OR(D18="",D17=""),"",D18/D17-1)</f>
        <v/>
      </c>
      <c r="M18" s="22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IF(O18="","",M18/O18)</f>
        <v/>
      </c>
      <c r="Q18" s="23">
        <f>IF(O18="","",N18/O18)</f>
        <v/>
      </c>
      <c r="R18" s="24">
        <f>IF(SUMIFS('Monthly NSE Equity Options'!$L:$L,'Monthly NSE Equity Options'!$C:$C,$A18)=0,"",SUMIFS('Monthly NSE Equity Options'!$L:$L,'Monthly NSE Equity Options'!$C:$C,$A18))</f>
        <v/>
      </c>
      <c r="S18" s="9">
        <f>IF(SUMIFS('Monthly BSE Equity Options'!$L:$L,'Monthly BSE Equity Options'!$C:$C,$A18)=0,"",SUMIFS('Monthly BSE Equity Options'!$L:$L,'Monthly BSE Equity Options'!$C:$C,$A18))</f>
        <v/>
      </c>
      <c r="T18" s="9">
        <f>IF(OR(R18="",S18=""),"",R18+S18)</f>
        <v/>
      </c>
      <c r="U18" s="25">
        <f>IF(T18="","",R18/T18)</f>
        <v/>
      </c>
      <c r="V18" s="25">
        <f>IF(T18="","",S18/T18)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19">
        <f>IF(D19="","",B19/D19)</f>
        <v/>
      </c>
      <c r="F19" s="19">
        <f>IF(D19="","",C19/D19)</f>
        <v/>
      </c>
      <c r="G19" s="26">
        <f>IF(OR(B19="",B15=""),"",B19/B15-1)</f>
        <v/>
      </c>
      <c r="H19" s="19">
        <f>IF(OR(C19="",C15=""),"",C19/C15-1)</f>
        <v/>
      </c>
      <c r="I19" s="19">
        <f>IF(OR(D19="",D15=""),"",D19/D15-1)</f>
        <v/>
      </c>
      <c r="J19" s="19">
        <f>IF(OR(B19="",B18=""),"",B19/B18-1)</f>
        <v/>
      </c>
      <c r="K19" s="19">
        <f>IF(OR(C19="",C18=""),"",C19/C18-1)</f>
        <v/>
      </c>
      <c r="L19" s="19">
        <f>IF(OR(D19="",D18=""),"",D19/D18-1)</f>
        <v/>
      </c>
      <c r="M19" s="22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IF(O19="","",M19/O19)</f>
        <v/>
      </c>
      <c r="Q19" s="23">
        <f>IF(O19="","",N19/O19)</f>
        <v/>
      </c>
      <c r="R19" s="24">
        <f>IF(SUMIFS('Monthly NSE Equity Options'!$L:$L,'Monthly NSE Equity Options'!$C:$C,$A19)=0,"",SUMIFS('Monthly NSE Equity Options'!$L:$L,'Monthly NSE Equity Options'!$C:$C,$A19))</f>
        <v/>
      </c>
      <c r="S19" s="9">
        <f>IF(SUMIFS('Monthly BSE Equity Options'!$L:$L,'Monthly BSE Equity Options'!$C:$C,$A19)=0,"",SUMIFS('Monthly BSE Equity Options'!$L:$L,'Monthly BSE Equity Options'!$C:$C,$A19))</f>
        <v/>
      </c>
      <c r="T19" s="9">
        <f>IF(OR(R19="",S19=""),"",R19+S19)</f>
        <v/>
      </c>
      <c r="U19" s="25">
        <f>IF(T19="","",R19/T19)</f>
        <v/>
      </c>
      <c r="V19" s="25">
        <f>IF(T19="","",S19/T19)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19">
        <f>IF(D20="","",B20/D20)</f>
        <v/>
      </c>
      <c r="F20" s="19">
        <f>IF(D20="","",C20/D20)</f>
        <v/>
      </c>
      <c r="G20" s="26">
        <f>IF(OR(B20="",B16=""),"",B20/B16-1)</f>
        <v/>
      </c>
      <c r="H20" s="19">
        <f>IF(OR(C20="",C16=""),"",C20/C16-1)</f>
        <v/>
      </c>
      <c r="I20" s="19">
        <f>IF(OR(D20="",D16=""),"",D20/D16-1)</f>
        <v/>
      </c>
      <c r="J20" s="19">
        <f>IF(OR(B20="",B19=""),"",B20/B19-1)</f>
        <v/>
      </c>
      <c r="K20" s="19">
        <f>IF(OR(C20="",C19=""),"",C20/C19-1)</f>
        <v/>
      </c>
      <c r="L20" s="19">
        <f>IF(OR(D20="",D19=""),"",D20/D19-1)</f>
        <v/>
      </c>
      <c r="M20" s="22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IF(O20="","",M20/O20)</f>
        <v/>
      </c>
      <c r="Q20" s="23">
        <f>IF(O20="","",N20/O20)</f>
        <v/>
      </c>
      <c r="R20" s="24">
        <f>IF(SUMIFS('Monthly NSE Equity Options'!$L:$L,'Monthly NSE Equity Options'!$C:$C,$A20)=0,"",SUMIFS('Monthly NSE Equity Options'!$L:$L,'Monthly NSE Equity Options'!$C:$C,$A20))</f>
        <v/>
      </c>
      <c r="S20" s="9">
        <f>IF(SUMIFS('Monthly BSE Equity Options'!$L:$L,'Monthly BSE Equity Options'!$C:$C,$A20)=0,"",SUMIFS('Monthly BSE Equity Options'!$L:$L,'Monthly BSE Equity Options'!$C:$C,$A20))</f>
        <v/>
      </c>
      <c r="T20" s="9">
        <f>IF(OR(R20="",S20=""),"",R20+S20)</f>
        <v/>
      </c>
      <c r="U20" s="25">
        <f>IF(T20="","",R20/T20)</f>
        <v/>
      </c>
      <c r="V20" s="25">
        <f>IF(T20="","",S20/T20)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19">
        <f>IF(D21="","",B21/D21)</f>
        <v/>
      </c>
      <c r="F21" s="19">
        <f>IF(D21="","",C21/D21)</f>
        <v/>
      </c>
      <c r="G21" s="26">
        <f>IF(OR(B21="",B17=""),"",B21/B17-1)</f>
        <v/>
      </c>
      <c r="H21" s="19">
        <f>IF(OR(C21="",C17=""),"",C21/C17-1)</f>
        <v/>
      </c>
      <c r="I21" s="19">
        <f>IF(OR(D21="",D17=""),"",D21/D17-1)</f>
        <v/>
      </c>
      <c r="J21" s="19">
        <f>IF(OR(B21="",B20=""),"",B21/B20-1)</f>
        <v/>
      </c>
      <c r="K21" s="19">
        <f>IF(OR(C21="",C20=""),"",C21/C20-1)</f>
        <v/>
      </c>
      <c r="L21" s="19">
        <f>IF(OR(D21="",D20=""),"",D21/D20-1)</f>
        <v/>
      </c>
      <c r="M21" s="22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IF(O21="","",M21/O21)</f>
        <v/>
      </c>
      <c r="Q21" s="23">
        <f>IF(O21="","",N21/O21)</f>
        <v/>
      </c>
      <c r="R21" s="24">
        <f>IF(SUMIFS('Monthly NSE Equity Options'!$L:$L,'Monthly NSE Equity Options'!$C:$C,$A21)=0,"",SUMIFS('Monthly NSE Equity Options'!$L:$L,'Monthly NSE Equity Options'!$C:$C,$A21))</f>
        <v/>
      </c>
      <c r="S21" s="9">
        <f>IF(SUMIFS('Monthly BSE Equity Options'!$L:$L,'Monthly BSE Equity Options'!$C:$C,$A21)=0,"",SUMIFS('Monthly BSE Equity Options'!$L:$L,'Monthly BSE Equity Options'!$C:$C,$A21))</f>
        <v/>
      </c>
      <c r="T21" s="9">
        <f>IF(OR(R21="",S21=""),"",R21+S21)</f>
        <v/>
      </c>
      <c r="U21" s="25">
        <f>IF(T21="","",R21/T21)</f>
        <v/>
      </c>
      <c r="V21" s="25">
        <f>IF(T21="","",S21/T21)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19">
        <f>IF(D22="","",B22/D22)</f>
        <v/>
      </c>
      <c r="F22" s="19">
        <f>IF(D22="","",C22/D22)</f>
        <v/>
      </c>
      <c r="G22" s="26">
        <f>IF(OR(B22="",B18=""),"",B22/B18-1)</f>
        <v/>
      </c>
      <c r="H22" s="19">
        <f>IF(OR(C22="",C18=""),"",C22/C18-1)</f>
        <v/>
      </c>
      <c r="I22" s="19">
        <f>IF(OR(D22="",D18=""),"",D22/D18-1)</f>
        <v/>
      </c>
      <c r="J22" s="19">
        <f>IF(OR(B22="",B21=""),"",B22/B21-1)</f>
        <v/>
      </c>
      <c r="K22" s="19">
        <f>IF(OR(C22="",C21=""),"",C22/C21-1)</f>
        <v/>
      </c>
      <c r="L22" s="19">
        <f>IF(OR(D22="",D21=""),"",D22/D21-1)</f>
        <v/>
      </c>
      <c r="M22" s="22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IF(O22="","",M22/O22)</f>
        <v/>
      </c>
      <c r="Q22" s="23">
        <f>IF(O22="","",N22/O22)</f>
        <v/>
      </c>
      <c r="R22" s="24">
        <f>IF(SUMIFS('Monthly NSE Equity Options'!$L:$L,'Monthly NSE Equity Options'!$C:$C,$A22)=0,"",SUMIFS('Monthly NSE Equity Options'!$L:$L,'Monthly NSE Equity Options'!$C:$C,$A22))</f>
        <v/>
      </c>
      <c r="S22" s="9">
        <f>IF(SUMIFS('Monthly BSE Equity Options'!$L:$L,'Monthly BSE Equity Options'!$C:$C,$A22)=0,"",SUMIFS('Monthly BSE Equity Options'!$L:$L,'Monthly BSE Equity Options'!$C:$C,$A22))</f>
        <v/>
      </c>
      <c r="T22" s="9">
        <f>IF(OR(R22="",S22=""),"",R22+S22)</f>
        <v/>
      </c>
      <c r="U22" s="25">
        <f>IF(T22="","",R22/T22)</f>
        <v/>
      </c>
      <c r="V22" s="25">
        <f>IF(T22="","",S22/T22)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19">
        <f>IF(D23="","",B23/D23)</f>
        <v/>
      </c>
      <c r="F23" s="19">
        <f>IF(D23="","",C23/D23)</f>
        <v/>
      </c>
      <c r="G23" s="26">
        <f>IF(OR(B23="",B19=""),"",B23/B19-1)</f>
        <v/>
      </c>
      <c r="H23" s="19">
        <f>IF(OR(C23="",C19=""),"",C23/C19-1)</f>
        <v/>
      </c>
      <c r="I23" s="19">
        <f>IF(OR(D23="",D19=""),"",D23/D19-1)</f>
        <v/>
      </c>
      <c r="J23" s="19">
        <f>IF(OR(B23="",B22=""),"",B23/B22-1)</f>
        <v/>
      </c>
      <c r="K23" s="19">
        <f>IF(OR(C23="",C22=""),"",C23/C22-1)</f>
        <v/>
      </c>
      <c r="L23" s="19">
        <f>IF(OR(D23="",D22=""),"",D23/D22-1)</f>
        <v/>
      </c>
      <c r="M23" s="22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IF(O23="","",M23/O23)</f>
        <v/>
      </c>
      <c r="Q23" s="23">
        <f>IF(O23="","",N23/O23)</f>
        <v/>
      </c>
      <c r="R23" s="24">
        <f>IF(SUMIFS('Monthly NSE Equity Options'!$L:$L,'Monthly NSE Equity Options'!$C:$C,$A23)=0,"",SUMIFS('Monthly NSE Equity Options'!$L:$L,'Monthly NSE Equity Options'!$C:$C,$A23))</f>
        <v/>
      </c>
      <c r="S23" s="9">
        <f>IF(SUMIFS('Monthly BSE Equity Options'!$L:$L,'Monthly BSE Equity Options'!$C:$C,$A23)=0,"",SUMIFS('Monthly BSE Equity Options'!$L:$L,'Monthly BSE Equity Options'!$C:$C,$A23))</f>
        <v/>
      </c>
      <c r="T23" s="9">
        <f>IF(OR(R23="",S23=""),"",R23+S23)</f>
        <v/>
      </c>
      <c r="U23" s="25">
        <f>IF(T23="","",R23/T23)</f>
        <v/>
      </c>
      <c r="V23" s="25">
        <f>IF(T23="","",S23/T23)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19">
        <f>IF(D24="","",B24/D24)</f>
        <v/>
      </c>
      <c r="F24" s="19">
        <f>IF(D24="","",C24/D24)</f>
        <v/>
      </c>
      <c r="G24" s="26">
        <f>IF(OR(B24="",B20=""),"",B24/B20-1)</f>
        <v/>
      </c>
      <c r="H24" s="19">
        <f>IF(OR(C24="",C20=""),"",C24/C20-1)</f>
        <v/>
      </c>
      <c r="I24" s="19">
        <f>IF(OR(D24="",D20=""),"",D24/D20-1)</f>
        <v/>
      </c>
      <c r="J24" s="19">
        <f>IF(OR(B24="",B23=""),"",B24/B23-1)</f>
        <v/>
      </c>
      <c r="K24" s="19">
        <f>IF(OR(C24="",C23=""),"",C24/C23-1)</f>
        <v/>
      </c>
      <c r="L24" s="19">
        <f>IF(OR(D24="",D23=""),"",D24/D23-1)</f>
        <v/>
      </c>
      <c r="M24" s="22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IF(O24="","",M24/O24)</f>
        <v/>
      </c>
      <c r="Q24" s="23">
        <f>IF(O24="","",N24/O24)</f>
        <v/>
      </c>
      <c r="R24" s="24">
        <f>IF(SUMIFS('Monthly NSE Equity Options'!$L:$L,'Monthly NSE Equity Options'!$C:$C,$A24)=0,"",SUMIFS('Monthly NSE Equity Options'!$L:$L,'Monthly NSE Equity Options'!$C:$C,$A24))</f>
        <v/>
      </c>
      <c r="S24" s="9">
        <f>IF(SUMIFS('Monthly BSE Equity Options'!$L:$L,'Monthly BSE Equity Options'!$C:$C,$A24)=0,"",SUMIFS('Monthly BSE Equity Options'!$L:$L,'Monthly BSE Equity Options'!$C:$C,$A24))</f>
        <v/>
      </c>
      <c r="T24" s="9">
        <f>IF(OR(R24="",S24=""),"",R24+S24)</f>
        <v/>
      </c>
      <c r="U24" s="25">
        <f>IF(T24="","",R24/T24)</f>
        <v/>
      </c>
      <c r="V24" s="25">
        <f>IF(T24="","",S24/T24)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19">
        <f>IF(D25="","",B25/D25)</f>
        <v/>
      </c>
      <c r="F25" s="19">
        <f>IF(D25="","",C25/D25)</f>
        <v/>
      </c>
      <c r="G25" s="26">
        <f>IF(OR(B25="",B21=""),"",B25/B21-1)</f>
        <v/>
      </c>
      <c r="H25" s="19">
        <f>IF(OR(C25="",C21=""),"",C25/C21-1)</f>
        <v/>
      </c>
      <c r="I25" s="19">
        <f>IF(OR(D25="",D21=""),"",D25/D21-1)</f>
        <v/>
      </c>
      <c r="J25" s="19">
        <f>IF(OR(B25="",B24=""),"",B25/B24-1)</f>
        <v/>
      </c>
      <c r="K25" s="19">
        <f>IF(OR(C25="",C24=""),"",C25/C24-1)</f>
        <v/>
      </c>
      <c r="L25" s="19">
        <f>IF(OR(D25="",D24=""),"",D25/D24-1)</f>
        <v/>
      </c>
      <c r="M25" s="22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IF(O25="","",M25/O25)</f>
        <v/>
      </c>
      <c r="Q25" s="23">
        <f>IF(O25="","",N25/O25)</f>
        <v/>
      </c>
      <c r="R25" s="24">
        <f>IF(SUMIFS('Monthly NSE Equity Options'!$L:$L,'Monthly NSE Equity Options'!$C:$C,$A25)=0,"",SUMIFS('Monthly NSE Equity Options'!$L:$L,'Monthly NSE Equity Options'!$C:$C,$A25))</f>
        <v/>
      </c>
      <c r="S25" s="9">
        <f>IF(SUMIFS('Monthly BSE Equity Options'!$L:$L,'Monthly BSE Equity Options'!$C:$C,$A25)=0,"",SUMIFS('Monthly BSE Equity Options'!$L:$L,'Monthly BSE Equity Options'!$C:$C,$A25))</f>
        <v/>
      </c>
      <c r="T25" s="9">
        <f>IF(OR(R25="",S25=""),"",R25+S25)</f>
        <v/>
      </c>
      <c r="U25" s="25">
        <f>IF(T25="","",R25/T25)</f>
        <v/>
      </c>
      <c r="V25" s="25">
        <f>IF(T25="","",S25/T25)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19">
        <f>IF(D26="","",B26/D26)</f>
        <v/>
      </c>
      <c r="F26" s="19">
        <f>IF(D26="","",C26/D26)</f>
        <v/>
      </c>
      <c r="G26" s="26">
        <f>IF(OR(B26="",B22=""),"",B26/B22-1)</f>
        <v/>
      </c>
      <c r="H26" s="19">
        <f>IF(OR(C26="",C22=""),"",C26/C22-1)</f>
        <v/>
      </c>
      <c r="I26" s="19">
        <f>IF(OR(D26="",D22=""),"",D26/D22-1)</f>
        <v/>
      </c>
      <c r="J26" s="19">
        <f>IF(OR(B26="",B25=""),"",B26/B25-1)</f>
        <v/>
      </c>
      <c r="K26" s="19">
        <f>IF(OR(C26="",C25=""),"",C26/C25-1)</f>
        <v/>
      </c>
      <c r="L26" s="19">
        <f>IF(OR(D26="",D25=""),"",D26/D25-1)</f>
        <v/>
      </c>
      <c r="M26" s="22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IF(O26="","",M26/O26)</f>
        <v/>
      </c>
      <c r="Q26" s="23">
        <f>IF(O26="","",N26/O26)</f>
        <v/>
      </c>
      <c r="R26" s="24">
        <f>IF(SUMIFS('Monthly NSE Equity Options'!$L:$L,'Monthly NSE Equity Options'!$C:$C,$A26)=0,"",SUMIFS('Monthly NSE Equity Options'!$L:$L,'Monthly NSE Equity Options'!$C:$C,$A26))</f>
        <v/>
      </c>
      <c r="S26" s="9">
        <f>IF(SUMIFS('Monthly BSE Equity Options'!$L:$L,'Monthly BSE Equity Options'!$C:$C,$A26)=0,"",SUMIFS('Monthly BSE Equity Options'!$L:$L,'Monthly BSE Equity Options'!$C:$C,$A26))</f>
        <v/>
      </c>
      <c r="T26" s="9">
        <f>IF(OR(R26="",S26=""),"",R26+S26)</f>
        <v/>
      </c>
      <c r="U26" s="25">
        <f>IF(T26="","",R26/T26)</f>
        <v/>
      </c>
      <c r="V26" s="25">
        <f>IF(T26="","",S26/T26)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19">
        <f>IF(D27="","",B27/D27)</f>
        <v/>
      </c>
      <c r="F27" s="19">
        <f>IF(D27="","",C27/D27)</f>
        <v/>
      </c>
      <c r="G27" s="26">
        <f>IF(OR(B27="",B23=""),"",B27/B23-1)</f>
        <v/>
      </c>
      <c r="H27" s="19">
        <f>IF(OR(C27="",C23=""),"",C27/C23-1)</f>
        <v/>
      </c>
      <c r="I27" s="19">
        <f>IF(OR(D27="",D23=""),"",D27/D23-1)</f>
        <v/>
      </c>
      <c r="J27" s="19">
        <f>IF(OR(B27="",B26=""),"",B27/B26-1)</f>
        <v/>
      </c>
      <c r="K27" s="19">
        <f>IF(OR(C27="",C26=""),"",C27/C26-1)</f>
        <v/>
      </c>
      <c r="L27" s="19">
        <f>IF(OR(D27="",D26=""),"",D27/D26-1)</f>
        <v/>
      </c>
      <c r="M27" s="22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IF(O27="","",M27/O27)</f>
        <v/>
      </c>
      <c r="Q27" s="23">
        <f>IF(O27="","",N27/O27)</f>
        <v/>
      </c>
      <c r="R27" s="24">
        <f>IF(SUMIFS('Monthly NSE Equity Options'!$L:$L,'Monthly NSE Equity Options'!$C:$C,$A27)=0,"",SUMIFS('Monthly NSE Equity Options'!$L:$L,'Monthly NSE Equity Options'!$C:$C,$A27))</f>
        <v/>
      </c>
      <c r="S27" s="9">
        <f>IF(SUMIFS('Monthly BSE Equity Options'!$L:$L,'Monthly BSE Equity Options'!$C:$C,$A27)=0,"",SUMIFS('Monthly BSE Equity Options'!$L:$L,'Monthly BSE Equity Options'!$C:$C,$A27))</f>
        <v/>
      </c>
      <c r="T27" s="9">
        <f>IF(OR(R27="",S27=""),"",R27+S27)</f>
        <v/>
      </c>
      <c r="U27" s="25">
        <f>IF(T27="","",R27/T27)</f>
        <v/>
      </c>
      <c r="V27" s="25">
        <f>IF(T27="","",S27/T27)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19">
        <f>IF(D28="","",B28/D28)</f>
        <v/>
      </c>
      <c r="F28" s="19">
        <f>IF(D28="","",C28/D28)</f>
        <v/>
      </c>
      <c r="G28" s="26">
        <f>IF(OR(B28="",B24=""),"",B28/B24-1)</f>
        <v/>
      </c>
      <c r="H28" s="19">
        <f>IF(OR(C28="",C24=""),"",C28/C24-1)</f>
        <v/>
      </c>
      <c r="I28" s="19">
        <f>IF(OR(D28="",D24=""),"",D28/D24-1)</f>
        <v/>
      </c>
      <c r="J28" s="19">
        <f>IF(OR(B28="",B27=""),"",B28/B27-1)</f>
        <v/>
      </c>
      <c r="K28" s="19">
        <f>IF(OR(C28="",C27=""),"",C28/C27-1)</f>
        <v/>
      </c>
      <c r="L28" s="19">
        <f>IF(OR(D28="",D27=""),"",D28/D27-1)</f>
        <v/>
      </c>
      <c r="M28" s="22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IF(O28="","",M28/O28)</f>
        <v/>
      </c>
      <c r="Q28" s="23">
        <f>IF(O28="","",N28/O28)</f>
        <v/>
      </c>
      <c r="R28" s="24">
        <f>IF(SUMIFS('Monthly NSE Equity Options'!$L:$L,'Monthly NSE Equity Options'!$C:$C,$A28)=0,"",SUMIFS('Monthly NSE Equity Options'!$L:$L,'Monthly NSE Equity Options'!$C:$C,$A28))</f>
        <v/>
      </c>
      <c r="S28" s="9">
        <f>IF(SUMIFS('Monthly BSE Equity Options'!$L:$L,'Monthly BSE Equity Options'!$C:$C,$A28)=0,"",SUMIFS('Monthly BSE Equity Options'!$L:$L,'Monthly BSE Equity Options'!$C:$C,$A28))</f>
        <v/>
      </c>
      <c r="T28" s="9">
        <f>IF(OR(R28="",S28=""),"",R28+S28)</f>
        <v/>
      </c>
      <c r="U28" s="25">
        <f>IF(T28="","",R28/T28)</f>
        <v/>
      </c>
      <c r="V28" s="25">
        <f>IF(T28="","",S28/T28)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19">
        <f>IF(D29="","",B29/D29)</f>
        <v/>
      </c>
      <c r="F29" s="19">
        <f>IF(D29="","",C29/D29)</f>
        <v/>
      </c>
      <c r="G29" s="26">
        <f>IF(OR(B29="",B25=""),"",B29/B25-1)</f>
        <v/>
      </c>
      <c r="H29" s="19">
        <f>IF(OR(C29="",C25=""),"",C29/C25-1)</f>
        <v/>
      </c>
      <c r="I29" s="19">
        <f>IF(OR(D29="",D25=""),"",D29/D25-1)</f>
        <v/>
      </c>
      <c r="J29" s="19">
        <f>IF(OR(B29="",B28=""),"",B29/B28-1)</f>
        <v/>
      </c>
      <c r="K29" s="19">
        <f>IF(OR(C29="",C28=""),"",C29/C28-1)</f>
        <v/>
      </c>
      <c r="L29" s="19">
        <f>IF(OR(D29="",D28=""),"",D29/D28-1)</f>
        <v/>
      </c>
      <c r="M29" s="22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IF(O29="","",M29/O29)</f>
        <v/>
      </c>
      <c r="Q29" s="23">
        <f>IF(O29="","",N29/O29)</f>
        <v/>
      </c>
      <c r="R29" s="24">
        <f>IF(SUMIFS('Monthly NSE Equity Options'!$L:$L,'Monthly NSE Equity Options'!$C:$C,$A29)=0,"",SUMIFS('Monthly NSE Equity Options'!$L:$L,'Monthly NSE Equity Options'!$C:$C,$A29))</f>
        <v/>
      </c>
      <c r="S29" s="9">
        <f>IF(SUMIFS('Monthly BSE Equity Options'!$L:$L,'Monthly BSE Equity Options'!$C:$C,$A29)=0,"",SUMIFS('Monthly BSE Equity Options'!$L:$L,'Monthly BSE Equity Options'!$C:$C,$A29))</f>
        <v/>
      </c>
      <c r="T29" s="9">
        <f>IF(OR(R29="",S29=""),"",R29+S29)</f>
        <v/>
      </c>
      <c r="U29" s="25">
        <f>IF(T29="","",R29/T29)</f>
        <v/>
      </c>
      <c r="V29" s="25">
        <f>IF(T29="","",S29/T29)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19">
        <f>IF(D30="","",B30/D30)</f>
        <v/>
      </c>
      <c r="F30" s="19">
        <f>IF(D30="","",C30/D30)</f>
        <v/>
      </c>
      <c r="G30" s="26">
        <f>IF(OR(B30="",B26=""),"",B30/B26-1)</f>
        <v/>
      </c>
      <c r="H30" s="19">
        <f>IF(OR(C30="",C26=""),"",C30/C26-1)</f>
        <v/>
      </c>
      <c r="I30" s="19">
        <f>IF(OR(D30="",D26=""),"",D30/D26-1)</f>
        <v/>
      </c>
      <c r="J30" s="19">
        <f>IF(OR(B30="",B29=""),"",B30/B29-1)</f>
        <v/>
      </c>
      <c r="K30" s="19">
        <f>IF(OR(C30="",C29=""),"",C30/C29-1)</f>
        <v/>
      </c>
      <c r="L30" s="19">
        <f>IF(OR(D30="",D29=""),"",D30/D29-1)</f>
        <v/>
      </c>
      <c r="M30" s="22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IF(O30="","",M30/O30)</f>
        <v/>
      </c>
      <c r="Q30" s="23">
        <f>IF(O30="","",N30/O30)</f>
        <v/>
      </c>
      <c r="R30" s="24">
        <f>IF(SUMIFS('Monthly NSE Equity Options'!$L:$L,'Monthly NSE Equity Options'!$C:$C,$A30)=0,"",SUMIFS('Monthly NSE Equity Options'!$L:$L,'Monthly NSE Equity Options'!$C:$C,$A30))</f>
        <v/>
      </c>
      <c r="S30" s="9">
        <f>IF(SUMIFS('Monthly BSE Equity Options'!$L:$L,'Monthly BSE Equity Options'!$C:$C,$A30)=0,"",SUMIFS('Monthly BSE Equity Options'!$L:$L,'Monthly BSE Equity Options'!$C:$C,$A30))</f>
        <v/>
      </c>
      <c r="T30" s="9">
        <f>IF(OR(R30="",S30=""),"",R30+S30)</f>
        <v/>
      </c>
      <c r="U30" s="25">
        <f>IF(T30="","",R30/T30)</f>
        <v/>
      </c>
      <c r="V30" s="25">
        <f>IF(T30="","",S30/T30)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19">
        <f>IF(D31="","",B31/D31)</f>
        <v/>
      </c>
      <c r="F31" s="19">
        <f>IF(D31="","",C31/D31)</f>
        <v/>
      </c>
      <c r="G31" s="26">
        <f>IF(OR(B31="",B27=""),"",B31/B27-1)</f>
        <v/>
      </c>
      <c r="H31" s="19">
        <f>IF(OR(C31="",C27=""),"",C31/C27-1)</f>
        <v/>
      </c>
      <c r="I31" s="19">
        <f>IF(OR(D31="",D27=""),"",D31/D27-1)</f>
        <v/>
      </c>
      <c r="J31" s="19">
        <f>IF(OR(B31="",B30=""),"",B31/B30-1)</f>
        <v/>
      </c>
      <c r="K31" s="19">
        <f>IF(OR(C31="",C30=""),"",C31/C30-1)</f>
        <v/>
      </c>
      <c r="L31" s="19">
        <f>IF(OR(D31="",D30=""),"",D31/D30-1)</f>
        <v/>
      </c>
      <c r="M31" s="22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IF(O31="","",M31/O31)</f>
        <v/>
      </c>
      <c r="Q31" s="23">
        <f>IF(O31="","",N31/O31)</f>
        <v/>
      </c>
      <c r="R31" s="24">
        <f>IF(SUMIFS('Monthly NSE Equity Options'!$L:$L,'Monthly NSE Equity Options'!$C:$C,$A31)=0,"",SUMIFS('Monthly NSE Equity Options'!$L:$L,'Monthly NSE Equity Options'!$C:$C,$A31))</f>
        <v/>
      </c>
      <c r="S31" s="9">
        <f>IF(SUMIFS('Monthly BSE Equity Options'!$L:$L,'Monthly BSE Equity Options'!$C:$C,$A31)=0,"",SUMIFS('Monthly BSE Equity Options'!$L:$L,'Monthly BSE Equity Options'!$C:$C,$A31))</f>
        <v/>
      </c>
      <c r="T31" s="9">
        <f>IF(OR(R31="",S31=""),"",R31+S31)</f>
        <v/>
      </c>
      <c r="U31" s="25">
        <f>IF(T31="","",R31/T31)</f>
        <v/>
      </c>
      <c r="V31" s="25">
        <f>IF(T31="","",S31/T31)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19">
        <f>IF(D32="","",B32/D32)</f>
        <v/>
      </c>
      <c r="F32" s="19">
        <f>IF(D32="","",C32/D32)</f>
        <v/>
      </c>
      <c r="G32" s="26">
        <f>IF(OR(B32="",B28=""),"",B32/B28-1)</f>
        <v/>
      </c>
      <c r="H32" s="19">
        <f>IF(OR(C32="",C28=""),"",C32/C28-1)</f>
        <v/>
      </c>
      <c r="I32" s="19">
        <f>IF(OR(D32="",D28=""),"",D32/D28-1)</f>
        <v/>
      </c>
      <c r="J32" s="19">
        <f>IF(OR(B32="",B31=""),"",B32/B31-1)</f>
        <v/>
      </c>
      <c r="K32" s="19">
        <f>IF(OR(C32="",C31=""),"",C32/C31-1)</f>
        <v/>
      </c>
      <c r="L32" s="19">
        <f>IF(OR(D32="",D31=""),"",D32/D31-1)</f>
        <v/>
      </c>
      <c r="M32" s="22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IF(O32="","",M32/O32)</f>
        <v/>
      </c>
      <c r="Q32" s="23">
        <f>IF(O32="","",N32/O32)</f>
        <v/>
      </c>
      <c r="R32" s="24">
        <f>IF(SUMIFS('Monthly NSE Equity Options'!$L:$L,'Monthly NSE Equity Options'!$C:$C,$A32)=0,"",SUMIFS('Monthly NSE Equity Options'!$L:$L,'Monthly NSE Equity Options'!$C:$C,$A32))</f>
        <v/>
      </c>
      <c r="S32" s="9">
        <f>IF(SUMIFS('Monthly BSE Equity Options'!$L:$L,'Monthly BSE Equity Options'!$C:$C,$A32)=0,"",SUMIFS('Monthly BSE Equity Options'!$L:$L,'Monthly BSE Equity Options'!$C:$C,$A32))</f>
        <v/>
      </c>
      <c r="T32" s="9">
        <f>IF(OR(R32="",S32=""),"",R32+S32)</f>
        <v/>
      </c>
      <c r="U32" s="25">
        <f>IF(T32="","",R32/T32)</f>
        <v/>
      </c>
      <c r="V32" s="25">
        <f>IF(T32="","",S32/T32)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19">
        <f>IF(D33="","",B33/D33)</f>
        <v/>
      </c>
      <c r="F33" s="19">
        <f>IF(D33="","",C33/D33)</f>
        <v/>
      </c>
      <c r="G33" s="26">
        <f>IF(OR(B33="",B29=""),"",B33/B29-1)</f>
        <v/>
      </c>
      <c r="H33" s="19">
        <f>IF(OR(C33="",C29=""),"",C33/C29-1)</f>
        <v/>
      </c>
      <c r="I33" s="19">
        <f>IF(OR(D33="",D29=""),"",D33/D29-1)</f>
        <v/>
      </c>
      <c r="J33" s="19">
        <f>IF(OR(B33="",B32=""),"",B33/B32-1)</f>
        <v/>
      </c>
      <c r="K33" s="19">
        <f>IF(OR(C33="",C32=""),"",C33/C32-1)</f>
        <v/>
      </c>
      <c r="L33" s="19">
        <f>IF(OR(D33="",D32=""),"",D33/D32-1)</f>
        <v/>
      </c>
      <c r="M33" s="22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IF(O33="","",M33/O33)</f>
        <v/>
      </c>
      <c r="Q33" s="23">
        <f>IF(O33="","",N33/O33)</f>
        <v/>
      </c>
      <c r="R33" s="24">
        <f>IF(SUMIFS('Monthly NSE Equity Options'!$L:$L,'Monthly NSE Equity Options'!$C:$C,$A33)=0,"",SUMIFS('Monthly NSE Equity Options'!$L:$L,'Monthly NSE Equity Options'!$C:$C,$A33))</f>
        <v/>
      </c>
      <c r="S33" s="9">
        <f>IF(SUMIFS('Monthly BSE Equity Options'!$L:$L,'Monthly BSE Equity Options'!$C:$C,$A33)=0,"",SUMIFS('Monthly BSE Equity Options'!$L:$L,'Monthly BSE Equity Options'!$C:$C,$A33))</f>
        <v/>
      </c>
      <c r="T33" s="9">
        <f>IF(OR(R33="",S33=""),"",R33+S33)</f>
        <v/>
      </c>
      <c r="U33" s="25">
        <f>IF(T33="","",R33/T33)</f>
        <v/>
      </c>
      <c r="V33" s="25">
        <f>IF(T33="","",S33/T33)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19">
        <f>IF(D34="","",B34/D34)</f>
        <v/>
      </c>
      <c r="F34" s="19">
        <f>IF(D34="","",C34/D34)</f>
        <v/>
      </c>
      <c r="G34" s="26">
        <f>IF(OR(B34="",B30=""),"",B34/B30-1)</f>
        <v/>
      </c>
      <c r="H34" s="19">
        <f>IF(OR(C34="",C30=""),"",C34/C30-1)</f>
        <v/>
      </c>
      <c r="I34" s="19">
        <f>IF(OR(D34="",D30=""),"",D34/D30-1)</f>
        <v/>
      </c>
      <c r="J34" s="19">
        <f>IF(OR(B34="",B33=""),"",B34/B33-1)</f>
        <v/>
      </c>
      <c r="K34" s="19">
        <f>IF(OR(C34="",C33=""),"",C34/C33-1)</f>
        <v/>
      </c>
      <c r="L34" s="19">
        <f>IF(OR(D34="",D33=""),"",D34/D33-1)</f>
        <v/>
      </c>
      <c r="M34" s="22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IF(O34="","",M34/O34)</f>
        <v/>
      </c>
      <c r="Q34" s="23">
        <f>IF(O34="","",N34/O34)</f>
        <v/>
      </c>
      <c r="R34" s="24">
        <f>IF(SUMIFS('Monthly NSE Equity Options'!$L:$L,'Monthly NSE Equity Options'!$C:$C,$A34)=0,"",SUMIFS('Monthly NSE Equity Options'!$L:$L,'Monthly NSE Equity Options'!$C:$C,$A34))</f>
        <v/>
      </c>
      <c r="S34" s="9">
        <f>IF(SUMIFS('Monthly BSE Equity Options'!$L:$L,'Monthly BSE Equity Options'!$C:$C,$A34)=0,"",SUMIFS('Monthly BSE Equity Options'!$L:$L,'Monthly BSE Equity Options'!$C:$C,$A34))</f>
        <v/>
      </c>
      <c r="T34" s="9">
        <f>IF(OR(R34="",S34=""),"",R34+S34)</f>
        <v/>
      </c>
      <c r="U34" s="25">
        <f>IF(T34="","",R34/T34)</f>
        <v/>
      </c>
      <c r="V34" s="25">
        <f>IF(T34="","",S34/T34)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19">
        <f>IF(D35="","",B35/D35)</f>
        <v/>
      </c>
      <c r="F35" s="19">
        <f>IF(D35="","",C35/D35)</f>
        <v/>
      </c>
      <c r="G35" s="26">
        <f>IF(OR(B35="",B31=""),"",B35/B31-1)</f>
        <v/>
      </c>
      <c r="H35" s="19">
        <f>IF(OR(C35="",C31=""),"",C35/C31-1)</f>
        <v/>
      </c>
      <c r="I35" s="19">
        <f>IF(OR(D35="",D31=""),"",D35/D31-1)</f>
        <v/>
      </c>
      <c r="J35" s="19">
        <f>IF(OR(B35="",B34=""),"",B35/B34-1)</f>
        <v/>
      </c>
      <c r="K35" s="19">
        <f>IF(OR(C35="",C34=""),"",C35/C34-1)</f>
        <v/>
      </c>
      <c r="L35" s="19">
        <f>IF(OR(D35="",D34=""),"",D35/D34-1)</f>
        <v/>
      </c>
      <c r="M35" s="22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IF(O35="","",M35/O35)</f>
        <v/>
      </c>
      <c r="Q35" s="23">
        <f>IF(O35="","",N35/O35)</f>
        <v/>
      </c>
      <c r="R35" s="24">
        <f>IF(SUMIFS('Monthly NSE Equity Options'!$L:$L,'Monthly NSE Equity Options'!$C:$C,$A35)=0,"",SUMIFS('Monthly NSE Equity Options'!$L:$L,'Monthly NSE Equity Options'!$C:$C,$A35))</f>
        <v/>
      </c>
      <c r="S35" s="9">
        <f>IF(SUMIFS('Monthly BSE Equity Options'!$L:$L,'Monthly BSE Equity Options'!$C:$C,$A35)=0,"",SUMIFS('Monthly BSE Equity Options'!$L:$L,'Monthly BSE Equity Options'!$C:$C,$A35))</f>
        <v/>
      </c>
      <c r="T35" s="9">
        <f>IF(OR(R35="",S35=""),"",R35+S35)</f>
        <v/>
      </c>
      <c r="U35" s="25">
        <f>IF(T35="","",R35/T35)</f>
        <v/>
      </c>
      <c r="V35" s="25">
        <f>IF(T35="","",S35/T35)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19">
        <f>IF(D36="","",B36/D36)</f>
        <v/>
      </c>
      <c r="F36" s="19">
        <f>IF(D36="","",C36/D36)</f>
        <v/>
      </c>
      <c r="G36" s="26">
        <f>IF(OR(B36="",B32=""),"",B36/B32-1)</f>
        <v/>
      </c>
      <c r="H36" s="19">
        <f>IF(OR(C36="",C32=""),"",C36/C32-1)</f>
        <v/>
      </c>
      <c r="I36" s="19">
        <f>IF(OR(D36="",D32=""),"",D36/D32-1)</f>
        <v/>
      </c>
      <c r="J36" s="19">
        <f>IF(OR(B36="",B35=""),"",B36/B35-1)</f>
        <v/>
      </c>
      <c r="K36" s="19">
        <f>IF(OR(C36="",C35=""),"",C36/C35-1)</f>
        <v/>
      </c>
      <c r="L36" s="19">
        <f>IF(OR(D36="",D35=""),"",D36/D35-1)</f>
        <v/>
      </c>
      <c r="M36" s="22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IF(O36="","",M36/O36)</f>
        <v/>
      </c>
      <c r="Q36" s="23">
        <f>IF(O36="","",N36/O36)</f>
        <v/>
      </c>
      <c r="R36" s="24">
        <f>IF(SUMIFS('Monthly NSE Equity Options'!$L:$L,'Monthly NSE Equity Options'!$C:$C,$A36)=0,"",SUMIFS('Monthly NSE Equity Options'!$L:$L,'Monthly NSE Equity Options'!$C:$C,$A36))</f>
        <v/>
      </c>
      <c r="S36" s="9">
        <f>IF(SUMIFS('Monthly BSE Equity Options'!$L:$L,'Monthly BSE Equity Options'!$C:$C,$A36)=0,"",SUMIFS('Monthly BSE Equity Options'!$L:$L,'Monthly BSE Equity Options'!$C:$C,$A36))</f>
        <v/>
      </c>
      <c r="T36" s="9">
        <f>IF(OR(R36="",S36=""),"",R36+S36)</f>
        <v/>
      </c>
      <c r="U36" s="25">
        <f>IF(T36="","",R36/T36)</f>
        <v/>
      </c>
      <c r="V36" s="25">
        <f>IF(T36="","",S36/T36)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19">
        <f>IF(D37="","",B37/D37)</f>
        <v/>
      </c>
      <c r="F37" s="19">
        <f>IF(D37="","",C37/D37)</f>
        <v/>
      </c>
      <c r="G37" s="26">
        <f>IF(OR(B37="",B33=""),"",B37/B33-1)</f>
        <v/>
      </c>
      <c r="H37" s="19">
        <f>IF(OR(C37="",C33=""),"",C37/C33-1)</f>
        <v/>
      </c>
      <c r="I37" s="19">
        <f>IF(OR(D37="",D33=""),"",D37/D33-1)</f>
        <v/>
      </c>
      <c r="J37" s="19">
        <f>IF(OR(B37="",B36=""),"",B37/B36-1)</f>
        <v/>
      </c>
      <c r="K37" s="19">
        <f>IF(OR(C37="",C36=""),"",C37/C36-1)</f>
        <v/>
      </c>
      <c r="L37" s="19">
        <f>IF(OR(D37="",D36=""),"",D37/D36-1)</f>
        <v/>
      </c>
      <c r="M37" s="22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IF(O37="","",M37/O37)</f>
        <v/>
      </c>
      <c r="Q37" s="23">
        <f>IF(O37="","",N37/O37)</f>
        <v/>
      </c>
      <c r="R37" s="24">
        <f>IF(SUMIFS('Monthly NSE Equity Options'!$L:$L,'Monthly NSE Equity Options'!$C:$C,$A37)=0,"",SUMIFS('Monthly NSE Equity Options'!$L:$L,'Monthly NSE Equity Options'!$C:$C,$A37))</f>
        <v/>
      </c>
      <c r="S37" s="9">
        <f>IF(SUMIFS('Monthly BSE Equity Options'!$L:$L,'Monthly BSE Equity Options'!$C:$C,$A37)=0,"",SUMIFS('Monthly BSE Equity Options'!$L:$L,'Monthly BSE Equity Options'!$C:$C,$A37))</f>
        <v/>
      </c>
      <c r="T37" s="9">
        <f>IF(OR(R37="",S37=""),"",R37+S37)</f>
        <v/>
      </c>
      <c r="U37" s="25">
        <f>IF(T37="","",R37/T37)</f>
        <v/>
      </c>
      <c r="V37" s="25">
        <f>IF(T37="","",S37/T37)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19">
        <f>IF(D38="","",B38/D38)</f>
        <v/>
      </c>
      <c r="F38" s="19">
        <f>IF(D38="","",C38/D38)</f>
        <v/>
      </c>
      <c r="G38" s="26">
        <f>IF(OR(B38="",B34=""),"",B38/B34-1)</f>
        <v/>
      </c>
      <c r="H38" s="19">
        <f>IF(OR(C38="",C34=""),"",C38/C34-1)</f>
        <v/>
      </c>
      <c r="I38" s="19">
        <f>IF(OR(D38="",D34=""),"",D38/D34-1)</f>
        <v/>
      </c>
      <c r="J38" s="19">
        <f>IF(OR(B38="",B37=""),"",B38/B37-1)</f>
        <v/>
      </c>
      <c r="K38" s="19">
        <f>IF(OR(C38="",C37=""),"",C38/C37-1)</f>
        <v/>
      </c>
      <c r="L38" s="19">
        <f>IF(OR(D38="",D37=""),"",D38/D37-1)</f>
        <v/>
      </c>
      <c r="M38" s="22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IF(O38="","",M38/O38)</f>
        <v/>
      </c>
      <c r="Q38" s="23">
        <f>IF(O38="","",N38/O38)</f>
        <v/>
      </c>
      <c r="R38" s="24">
        <f>IF(SUMIFS('Monthly NSE Equity Options'!$L:$L,'Monthly NSE Equity Options'!$C:$C,$A38)=0,"",SUMIFS('Monthly NSE Equity Options'!$L:$L,'Monthly NSE Equity Options'!$C:$C,$A38))</f>
        <v/>
      </c>
      <c r="S38" s="9">
        <f>IF(SUMIFS('Monthly BSE Equity Options'!$L:$L,'Monthly BSE Equity Options'!$C:$C,$A38)=0,"",SUMIFS('Monthly BSE Equity Options'!$L:$L,'Monthly BSE Equity Options'!$C:$C,$A38))</f>
        <v/>
      </c>
      <c r="T38" s="9">
        <f>IF(OR(R38="",S38=""),"",R38+S38)</f>
        <v/>
      </c>
      <c r="U38" s="25">
        <f>IF(T38="","",R38/T38)</f>
        <v/>
      </c>
      <c r="V38" s="25">
        <f>IF(T38="","",S38/T38)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19">
        <f>IF(D39="","",B39/D39)</f>
        <v/>
      </c>
      <c r="F39" s="19">
        <f>IF(D39="","",C39/D39)</f>
        <v/>
      </c>
      <c r="G39" s="26">
        <f>IF(OR(B39="",B35=""),"",B39/B35-1)</f>
        <v/>
      </c>
      <c r="H39" s="19">
        <f>IF(OR(C39="",C35=""),"",C39/C35-1)</f>
        <v/>
      </c>
      <c r="I39" s="19">
        <f>IF(OR(D39="",D35=""),"",D39/D35-1)</f>
        <v/>
      </c>
      <c r="J39" s="19">
        <f>IF(OR(B39="",B38=""),"",B39/B38-1)</f>
        <v/>
      </c>
      <c r="K39" s="19">
        <f>IF(OR(C39="",C38=""),"",C39/C38-1)</f>
        <v/>
      </c>
      <c r="L39" s="19">
        <f>IF(OR(D39="",D38=""),"",D39/D38-1)</f>
        <v/>
      </c>
      <c r="M39" s="22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IF(O39="","",M39/O39)</f>
        <v/>
      </c>
      <c r="Q39" s="23">
        <f>IF(O39="","",N39/O39)</f>
        <v/>
      </c>
      <c r="R39" s="24">
        <f>IF(SUMIFS('Monthly NSE Equity Options'!$L:$L,'Monthly NSE Equity Options'!$C:$C,$A39)=0,"",SUMIFS('Monthly NSE Equity Options'!$L:$L,'Monthly NSE Equity Options'!$C:$C,$A39))</f>
        <v/>
      </c>
      <c r="S39" s="9">
        <f>IF(SUMIFS('Monthly BSE Equity Options'!$L:$L,'Monthly BSE Equity Options'!$C:$C,$A39)=0,"",SUMIFS('Monthly BSE Equity Options'!$L:$L,'Monthly BSE Equity Options'!$C:$C,$A39))</f>
        <v/>
      </c>
      <c r="T39" s="9">
        <f>IF(OR(R39="",S39=""),"",R39+S39)</f>
        <v/>
      </c>
      <c r="U39" s="25">
        <f>IF(T39="","",R39/T39)</f>
        <v/>
      </c>
      <c r="V39" s="25">
        <f>IF(T39="","",S39/T39)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19">
        <f>IF(D40="","",B40/D40)</f>
        <v/>
      </c>
      <c r="F40" s="19">
        <f>IF(D40="","",C40/D40)</f>
        <v/>
      </c>
      <c r="G40" s="26">
        <f>IF(OR(B40="",B36=""),"",B40/B36-1)</f>
        <v/>
      </c>
      <c r="H40" s="19">
        <f>IF(OR(C40="",C36=""),"",C40/C36-1)</f>
        <v/>
      </c>
      <c r="I40" s="19">
        <f>IF(OR(D40="",D36=""),"",D40/D36-1)</f>
        <v/>
      </c>
      <c r="J40" s="19">
        <f>IF(OR(B40="",B39=""),"",B40/B39-1)</f>
        <v/>
      </c>
      <c r="K40" s="19">
        <f>IF(OR(C40="",C39=""),"",C40/C39-1)</f>
        <v/>
      </c>
      <c r="L40" s="19">
        <f>IF(OR(D40="",D39=""),"",D40/D39-1)</f>
        <v/>
      </c>
      <c r="M40" s="22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IF(O40="","",M40/O40)</f>
        <v/>
      </c>
      <c r="Q40" s="23">
        <f>IF(O40="","",N40/O40)</f>
        <v/>
      </c>
      <c r="R40" s="24">
        <f>IF(SUMIFS('Monthly NSE Equity Options'!$L:$L,'Monthly NSE Equity Options'!$C:$C,$A40)=0,"",SUMIFS('Monthly NSE Equity Options'!$L:$L,'Monthly NSE Equity Options'!$C:$C,$A40))</f>
        <v/>
      </c>
      <c r="S40" s="9">
        <f>IF(SUMIFS('Monthly BSE Equity Options'!$L:$L,'Monthly BSE Equity Options'!$C:$C,$A40)=0,"",SUMIFS('Monthly BSE Equity Options'!$L:$L,'Monthly BSE Equity Options'!$C:$C,$A40))</f>
        <v/>
      </c>
      <c r="T40" s="9">
        <f>IF(OR(R40="",S40=""),"",R40+S40)</f>
        <v/>
      </c>
      <c r="U40" s="25">
        <f>IF(T40="","",R40/T40)</f>
        <v/>
      </c>
      <c r="V40" s="25">
        <f>IF(T40="","",S40/T40)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19">
        <f>IF(D41="","",B41/D41)</f>
        <v/>
      </c>
      <c r="F41" s="19">
        <f>IF(D41="","",C41/D41)</f>
        <v/>
      </c>
      <c r="G41" s="26">
        <f>IF(OR(B41="",B37=""),"",B41/B37-1)</f>
        <v/>
      </c>
      <c r="H41" s="19">
        <f>IF(OR(C41="",C37=""),"",C41/C37-1)</f>
        <v/>
      </c>
      <c r="I41" s="19">
        <f>IF(OR(D41="",D37=""),"",D41/D37-1)</f>
        <v/>
      </c>
      <c r="J41" s="19">
        <f>IF(OR(B41="",B40=""),"",B41/B40-1)</f>
        <v/>
      </c>
      <c r="K41" s="19">
        <f>IF(OR(C41="",C40=""),"",C41/C40-1)</f>
        <v/>
      </c>
      <c r="L41" s="19">
        <f>IF(OR(D41="",D40=""),"",D41/D40-1)</f>
        <v/>
      </c>
      <c r="M41" s="22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IF(O41="","",M41/O41)</f>
        <v/>
      </c>
      <c r="Q41" s="23">
        <f>IF(O41="","",N41/O41)</f>
        <v/>
      </c>
      <c r="R41" s="24">
        <f>IF(SUMIFS('Monthly NSE Equity Options'!$L:$L,'Monthly NSE Equity Options'!$C:$C,$A41)=0,"",SUMIFS('Monthly NSE Equity Options'!$L:$L,'Monthly NSE Equity Options'!$C:$C,$A41))</f>
        <v/>
      </c>
      <c r="S41" s="9">
        <f>IF(SUMIFS('Monthly BSE Equity Options'!$L:$L,'Monthly BSE Equity Options'!$C:$C,$A41)=0,"",SUMIFS('Monthly BSE Equity Options'!$L:$L,'Monthly BSE Equity Options'!$C:$C,$A41))</f>
        <v/>
      </c>
      <c r="T41" s="9">
        <f>IF(OR(R41="",S41=""),"",R41+S41)</f>
        <v/>
      </c>
      <c r="U41" s="25">
        <f>IF(T41="","",R41/T41)</f>
        <v/>
      </c>
      <c r="V41" s="25">
        <f>IF(T41="","",S41/T41)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19">
        <f>IF(D42="","",B42/D42)</f>
        <v/>
      </c>
      <c r="F42" s="19">
        <f>IF(D42="","",C42/D42)</f>
        <v/>
      </c>
      <c r="G42" s="26">
        <f>IF(OR(B42="",B38=""),"",B42/B38-1)</f>
        <v/>
      </c>
      <c r="H42" s="19">
        <f>IF(OR(C42="",C38=""),"",C42/C38-1)</f>
        <v/>
      </c>
      <c r="I42" s="19">
        <f>IF(OR(D42="",D38=""),"",D42/D38-1)</f>
        <v/>
      </c>
      <c r="J42" s="19">
        <f>IF(OR(B42="",B41=""),"",B42/B41-1)</f>
        <v/>
      </c>
      <c r="K42" s="19">
        <f>IF(OR(C42="",C41=""),"",C42/C41-1)</f>
        <v/>
      </c>
      <c r="L42" s="19">
        <f>IF(OR(D42="",D41=""),"",D42/D41-1)</f>
        <v/>
      </c>
      <c r="M42" s="22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IF(O42="","",M42/O42)</f>
        <v/>
      </c>
      <c r="Q42" s="23">
        <f>IF(O42="","",N42/O42)</f>
        <v/>
      </c>
      <c r="R42" s="24">
        <f>IF(SUMIFS('Monthly NSE Equity Options'!$L:$L,'Monthly NSE Equity Options'!$C:$C,$A42)=0,"",SUMIFS('Monthly NSE Equity Options'!$L:$L,'Monthly NSE Equity Options'!$C:$C,$A42))</f>
        <v/>
      </c>
      <c r="S42" s="9">
        <f>IF(SUMIFS('Monthly BSE Equity Options'!$L:$L,'Monthly BSE Equity Options'!$C:$C,$A42)=0,"",SUMIFS('Monthly BSE Equity Options'!$L:$L,'Monthly BSE Equity Options'!$C:$C,$A42))</f>
        <v/>
      </c>
      <c r="T42" s="9">
        <f>IF(OR(R42="",S42=""),"",R42+S42)</f>
        <v/>
      </c>
      <c r="U42" s="25">
        <f>IF(T42="","",R42/T42)</f>
        <v/>
      </c>
      <c r="V42" s="25">
        <f>IF(T42="","",S42/T42)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19">
        <f>IF(D43="","",B43/D43)</f>
        <v/>
      </c>
      <c r="F43" s="19">
        <f>IF(D43="","",C43/D43)</f>
        <v/>
      </c>
      <c r="G43" s="26">
        <f>IF(OR(B43="",B39=""),"",B43/B39-1)</f>
        <v/>
      </c>
      <c r="H43" s="19">
        <f>IF(OR(C43="",C39=""),"",C43/C39-1)</f>
        <v/>
      </c>
      <c r="I43" s="19">
        <f>IF(OR(D43="",D39=""),"",D43/D39-1)</f>
        <v/>
      </c>
      <c r="J43" s="19">
        <f>IF(OR(B43="",B42=""),"",B43/B42-1)</f>
        <v/>
      </c>
      <c r="K43" s="19">
        <f>IF(OR(C43="",C42=""),"",C43/C42-1)</f>
        <v/>
      </c>
      <c r="L43" s="19">
        <f>IF(OR(D43="",D42=""),"",D43/D42-1)</f>
        <v/>
      </c>
      <c r="M43" s="22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IF(O43="","",M43/O43)</f>
        <v/>
      </c>
      <c r="Q43" s="23">
        <f>IF(O43="","",N43/O43)</f>
        <v/>
      </c>
      <c r="R43" s="24">
        <f>IF(SUMIFS('Monthly NSE Equity Options'!$L:$L,'Monthly NSE Equity Options'!$C:$C,$A43)=0,"",SUMIFS('Monthly NSE Equity Options'!$L:$L,'Monthly NSE Equity Options'!$C:$C,$A43))</f>
        <v/>
      </c>
      <c r="S43" s="9">
        <f>IF(SUMIFS('Monthly BSE Equity Options'!$L:$L,'Monthly BSE Equity Options'!$C:$C,$A43)=0,"",SUMIFS('Monthly BSE Equity Options'!$L:$L,'Monthly BSE Equity Options'!$C:$C,$A43))</f>
        <v/>
      </c>
      <c r="T43" s="9">
        <f>IF(OR(R43="",S43=""),"",R43+S43)</f>
        <v/>
      </c>
      <c r="U43" s="25">
        <f>IF(T43="","",R43/T43)</f>
        <v/>
      </c>
      <c r="V43" s="25">
        <f>IF(T43="","",S43/T43)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19">
        <f>IF(D44="","",B44/D44)</f>
        <v/>
      </c>
      <c r="F44" s="19">
        <f>IF(D44="","",C44/D44)</f>
        <v/>
      </c>
      <c r="G44" s="26">
        <f>IF(OR(B44="",B40=""),"",B44/B40-1)</f>
        <v/>
      </c>
      <c r="H44" s="19">
        <f>IF(OR(C44="",C40=""),"",C44/C40-1)</f>
        <v/>
      </c>
      <c r="I44" s="19">
        <f>IF(OR(D44="",D40=""),"",D44/D40-1)</f>
        <v/>
      </c>
      <c r="J44" s="19">
        <f>IF(OR(B44="",B43=""),"",B44/B43-1)</f>
        <v/>
      </c>
      <c r="K44" s="19">
        <f>IF(OR(C44="",C43=""),"",C44/C43-1)</f>
        <v/>
      </c>
      <c r="L44" s="19">
        <f>IF(OR(D44="",D43=""),"",D44/D43-1)</f>
        <v/>
      </c>
      <c r="M44" s="22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IF(O44="","",M44/O44)</f>
        <v/>
      </c>
      <c r="Q44" s="23">
        <f>IF(O44="","",N44/O44)</f>
        <v/>
      </c>
      <c r="R44" s="24">
        <f>IF(SUMIFS('Monthly NSE Equity Options'!$L:$L,'Monthly NSE Equity Options'!$C:$C,$A44)=0,"",SUMIFS('Monthly NSE Equity Options'!$L:$L,'Monthly NSE Equity Options'!$C:$C,$A44))</f>
        <v/>
      </c>
      <c r="S44" s="9">
        <f>IF(SUMIFS('Monthly BSE Equity Options'!$L:$L,'Monthly BSE Equity Options'!$C:$C,$A44)=0,"",SUMIFS('Monthly BSE Equity Options'!$L:$L,'Monthly BSE Equity Options'!$C:$C,$A44))</f>
        <v/>
      </c>
      <c r="T44" s="9">
        <f>IF(OR(R44="",S44=""),"",R44+S44)</f>
        <v/>
      </c>
      <c r="U44" s="25">
        <f>IF(T44="","",R44/T44)</f>
        <v/>
      </c>
      <c r="V44" s="25">
        <f>IF(T44="","",S44/T44)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19">
        <f>IF(D45="","",B45/D45)</f>
        <v/>
      </c>
      <c r="F45" s="19">
        <f>IF(D45="","",C45/D45)</f>
        <v/>
      </c>
      <c r="G45" s="26">
        <f>IF(OR(B45="",B41=""),"",B45/B41-1)</f>
        <v/>
      </c>
      <c r="H45" s="19">
        <f>IF(OR(C45="",C41=""),"",C45/C41-1)</f>
        <v/>
      </c>
      <c r="I45" s="19">
        <f>IF(OR(D45="",D41=""),"",D45/D41-1)</f>
        <v/>
      </c>
      <c r="J45" s="19">
        <f>IF(OR(B45="",B44=""),"",B45/B44-1)</f>
        <v/>
      </c>
      <c r="K45" s="19">
        <f>IF(OR(C45="",C44=""),"",C45/C44-1)</f>
        <v/>
      </c>
      <c r="L45" s="19">
        <f>IF(OR(D45="",D44=""),"",D45/D44-1)</f>
        <v/>
      </c>
      <c r="M45" s="22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IF(O45="","",M45/O45)</f>
        <v/>
      </c>
      <c r="Q45" s="23">
        <f>IF(O45="","",N45/O45)</f>
        <v/>
      </c>
      <c r="R45" s="24">
        <f>IF(SUMIFS('Monthly NSE Equity Options'!$L:$L,'Monthly NSE Equity Options'!$C:$C,$A45)=0,"",SUMIFS('Monthly NSE Equity Options'!$L:$L,'Monthly NSE Equity Options'!$C:$C,$A45))</f>
        <v/>
      </c>
      <c r="S45" s="9">
        <f>IF(SUMIFS('Monthly BSE Equity Options'!$L:$L,'Monthly BSE Equity Options'!$C:$C,$A45)=0,"",SUMIFS('Monthly BSE Equity Options'!$L:$L,'Monthly BSE Equity Options'!$C:$C,$A45))</f>
        <v/>
      </c>
      <c r="T45" s="9">
        <f>IF(OR(R45="",S45=""),"",R45+S45)</f>
        <v/>
      </c>
      <c r="U45" s="25">
        <f>IF(T45="","",R45/T45)</f>
        <v/>
      </c>
      <c r="V45" s="25">
        <f>IF(T45="","",S45/T45)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19">
        <f>IF(D46="","",B46/D46)</f>
        <v/>
      </c>
      <c r="F46" s="19">
        <f>IF(D46="","",C46/D46)</f>
        <v/>
      </c>
      <c r="G46" s="26">
        <f>IF(OR(B46="",B42=""),"",B46/B42-1)</f>
        <v/>
      </c>
      <c r="H46" s="19">
        <f>IF(OR(C46="",C42=""),"",C46/C42-1)</f>
        <v/>
      </c>
      <c r="I46" s="19">
        <f>IF(OR(D46="",D42=""),"",D46/D42-1)</f>
        <v/>
      </c>
      <c r="J46" s="19">
        <f>IF(OR(B46="",B45=""),"",B46/B45-1)</f>
        <v/>
      </c>
      <c r="K46" s="19">
        <f>IF(OR(C46="",C45=""),"",C46/C45-1)</f>
        <v/>
      </c>
      <c r="L46" s="19">
        <f>IF(OR(D46="",D45=""),"",D46/D45-1)</f>
        <v/>
      </c>
      <c r="M46" s="22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IF(O46="","",M46/O46)</f>
        <v/>
      </c>
      <c r="Q46" s="23">
        <f>IF(O46="","",N46/O46)</f>
        <v/>
      </c>
      <c r="R46" s="24">
        <f>IF(SUMIFS('Monthly NSE Equity Options'!$L:$L,'Monthly NSE Equity Options'!$C:$C,$A46)=0,"",SUMIFS('Monthly NSE Equity Options'!$L:$L,'Monthly NSE Equity Options'!$C:$C,$A46))</f>
        <v/>
      </c>
      <c r="S46" s="9">
        <f>IF(SUMIFS('Monthly BSE Equity Options'!$L:$L,'Monthly BSE Equity Options'!$C:$C,$A46)=0,"",SUMIFS('Monthly BSE Equity Options'!$L:$L,'Monthly BSE Equity Options'!$C:$C,$A46))</f>
        <v/>
      </c>
      <c r="T46" s="9">
        <f>IF(OR(R46="",S46=""),"",R46+S46)</f>
        <v/>
      </c>
      <c r="U46" s="25">
        <f>IF(T46="","",R46/T46)</f>
        <v/>
      </c>
      <c r="V46" s="25">
        <f>IF(T46="","",S46/T46)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19">
        <f>IF(D47="","",B47/D47)</f>
        <v/>
      </c>
      <c r="F47" s="19">
        <f>IF(D47="","",C47/D47)</f>
        <v/>
      </c>
      <c r="G47" s="26">
        <f>IF(OR(B47="",B43=""),"",B47/B43-1)</f>
        <v/>
      </c>
      <c r="H47" s="19">
        <f>IF(OR(C47="",C43=""),"",C47/C43-1)</f>
        <v/>
      </c>
      <c r="I47" s="19">
        <f>IF(OR(D47="",D43=""),"",D47/D43-1)</f>
        <v/>
      </c>
      <c r="J47" s="19">
        <f>IF(OR(B47="",B46=""),"",B47/B46-1)</f>
        <v/>
      </c>
      <c r="K47" s="19">
        <f>IF(OR(C47="",C46=""),"",C47/C46-1)</f>
        <v/>
      </c>
      <c r="L47" s="19">
        <f>IF(OR(D47="",D46=""),"",D47/D46-1)</f>
        <v/>
      </c>
      <c r="M47" s="22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IF(O47="","",M47/O47)</f>
        <v/>
      </c>
      <c r="Q47" s="23">
        <f>IF(O47="","",N47/O47)</f>
        <v/>
      </c>
      <c r="R47" s="24">
        <f>IF(SUMIFS('Monthly NSE Equity Options'!$L:$L,'Monthly NSE Equity Options'!$C:$C,$A47)=0,"",SUMIFS('Monthly NSE Equity Options'!$L:$L,'Monthly NSE Equity Options'!$C:$C,$A47))</f>
        <v/>
      </c>
      <c r="S47" s="9">
        <f>IF(SUMIFS('Monthly BSE Equity Options'!$L:$L,'Monthly BSE Equity Options'!$C:$C,$A47)=0,"",SUMIFS('Monthly BSE Equity Options'!$L:$L,'Monthly BSE Equity Options'!$C:$C,$A47))</f>
        <v/>
      </c>
      <c r="T47" s="9">
        <f>IF(OR(R47="",S47=""),"",R47+S47)</f>
        <v/>
      </c>
      <c r="U47" s="25">
        <f>IF(T47="","",R47/T47)</f>
        <v/>
      </c>
      <c r="V47" s="25">
        <f>IF(T47="","",S47/T47)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19">
        <f>IF(D48="","",B48/D48)</f>
        <v/>
      </c>
      <c r="F48" s="19">
        <f>IF(D48="","",C48/D48)</f>
        <v/>
      </c>
      <c r="G48" s="26">
        <f>IF(OR(B48="",B44=""),"",B48/B44-1)</f>
        <v/>
      </c>
      <c r="H48" s="19">
        <f>IF(OR(C48="",C44=""),"",C48/C44-1)</f>
        <v/>
      </c>
      <c r="I48" s="19">
        <f>IF(OR(D48="",D44=""),"",D48/D44-1)</f>
        <v/>
      </c>
      <c r="J48" s="19">
        <f>IF(OR(B48="",B47=""),"",B48/B47-1)</f>
        <v/>
      </c>
      <c r="K48" s="19">
        <f>IF(OR(C48="",C47=""),"",C48/C47-1)</f>
        <v/>
      </c>
      <c r="L48" s="19">
        <f>IF(OR(D48="",D47=""),"",D48/D47-1)</f>
        <v/>
      </c>
      <c r="M48" s="22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IF(O48="","",M48/O48)</f>
        <v/>
      </c>
      <c r="Q48" s="23">
        <f>IF(O48="","",N48/O48)</f>
        <v/>
      </c>
      <c r="R48" s="24">
        <f>IF(SUMIFS('Monthly NSE Equity Options'!$L:$L,'Monthly NSE Equity Options'!$C:$C,$A48)=0,"",SUMIFS('Monthly NSE Equity Options'!$L:$L,'Monthly NSE Equity Options'!$C:$C,$A48))</f>
        <v/>
      </c>
      <c r="S48" s="9">
        <f>IF(SUMIFS('Monthly BSE Equity Options'!$L:$L,'Monthly BSE Equity Options'!$C:$C,$A48)=0,"",SUMIFS('Monthly BSE Equity Options'!$L:$L,'Monthly BSE Equity Options'!$C:$C,$A48))</f>
        <v/>
      </c>
      <c r="T48" s="9">
        <f>IF(OR(R48="",S48=""),"",R48+S48)</f>
        <v/>
      </c>
      <c r="U48" s="25">
        <f>IF(T48="","",R48/T48)</f>
        <v/>
      </c>
      <c r="V48" s="25">
        <f>IF(T48="","",S48/T48)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19">
        <f>IF(D49="","",B49/D49)</f>
        <v/>
      </c>
      <c r="F49" s="19">
        <f>IF(D49="","",C49/D49)</f>
        <v/>
      </c>
      <c r="G49" s="26">
        <f>IF(OR(B49="",B45=""),"",B49/B45-1)</f>
        <v/>
      </c>
      <c r="H49" s="19">
        <f>IF(OR(C49="",C45=""),"",C49/C45-1)</f>
        <v/>
      </c>
      <c r="I49" s="19">
        <f>IF(OR(D49="",D45=""),"",D49/D45-1)</f>
        <v/>
      </c>
      <c r="J49" s="19">
        <f>IF(OR(B49="",B48=""),"",B49/B48-1)</f>
        <v/>
      </c>
      <c r="K49" s="19">
        <f>IF(OR(C49="",C48=""),"",C49/C48-1)</f>
        <v/>
      </c>
      <c r="L49" s="19">
        <f>IF(OR(D49="",D48=""),"",D49/D48-1)</f>
        <v/>
      </c>
      <c r="M49" s="22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IF(O49="","",M49/O49)</f>
        <v/>
      </c>
      <c r="Q49" s="23">
        <f>IF(O49="","",N49/O49)</f>
        <v/>
      </c>
      <c r="R49" s="24">
        <f>IF(SUMIFS('Monthly NSE Equity Options'!$L:$L,'Monthly NSE Equity Options'!$C:$C,$A49)=0,"",SUMIFS('Monthly NSE Equity Options'!$L:$L,'Monthly NSE Equity Options'!$C:$C,$A49))</f>
        <v/>
      </c>
      <c r="S49" s="9">
        <f>IF(SUMIFS('Monthly BSE Equity Options'!$L:$L,'Monthly BSE Equity Options'!$C:$C,$A49)=0,"",SUMIFS('Monthly BSE Equity Options'!$L:$L,'Monthly BSE Equity Options'!$C:$C,$A49))</f>
        <v/>
      </c>
      <c r="T49" s="9">
        <f>IF(OR(R49="",S49=""),"",R49+S49)</f>
        <v/>
      </c>
      <c r="U49" s="25">
        <f>IF(T49="","",R49/T49)</f>
        <v/>
      </c>
      <c r="V49" s="25">
        <f>IF(T49="","",S49/T49)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19">
        <f>IF(D50="","",B50/D50)</f>
        <v/>
      </c>
      <c r="F50" s="19">
        <f>IF(D50="","",C50/D50)</f>
        <v/>
      </c>
      <c r="G50" s="26">
        <f>IF(OR(B50="",B46=""),"",B50/B46-1)</f>
        <v/>
      </c>
      <c r="H50" s="19">
        <f>IF(OR(C50="",C46=""),"",C50/C46-1)</f>
        <v/>
      </c>
      <c r="I50" s="19">
        <f>IF(OR(D50="",D46=""),"",D50/D46-1)</f>
        <v/>
      </c>
      <c r="J50" s="19">
        <f>IF(OR(B50="",B49=""),"",B50/B49-1)</f>
        <v/>
      </c>
      <c r="K50" s="19">
        <f>IF(OR(C50="",C49=""),"",C50/C49-1)</f>
        <v/>
      </c>
      <c r="L50" s="19">
        <f>IF(OR(D50="",D49=""),"",D50/D49-1)</f>
        <v/>
      </c>
      <c r="M50" s="22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IF(O50="","",M50/O50)</f>
        <v/>
      </c>
      <c r="Q50" s="23">
        <f>IF(O50="","",N50/O50)</f>
        <v/>
      </c>
      <c r="R50" s="24">
        <f>IF(SUMIFS('Monthly NSE Equity Options'!$L:$L,'Monthly NSE Equity Options'!$C:$C,$A50)=0,"",SUMIFS('Monthly NSE Equity Options'!$L:$L,'Monthly NSE Equity Options'!$C:$C,$A50))</f>
        <v/>
      </c>
      <c r="S50" s="9">
        <f>IF(SUMIFS('Monthly BSE Equity Options'!$L:$L,'Monthly BSE Equity Options'!$C:$C,$A50)=0,"",SUMIFS('Monthly BSE Equity Options'!$L:$L,'Monthly BSE Equity Options'!$C:$C,$A50))</f>
        <v/>
      </c>
      <c r="T50" s="9">
        <f>IF(OR(R50="",S50=""),"",R50+S50)</f>
        <v/>
      </c>
      <c r="U50" s="25">
        <f>IF(T50="","",R50/T50)</f>
        <v/>
      </c>
      <c r="V50" s="25">
        <f>IF(T50="","",S50/T50)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19">
        <f>IF(D51="","",B51/D51)</f>
        <v/>
      </c>
      <c r="F51" s="19">
        <f>IF(D51="","",C51/D51)</f>
        <v/>
      </c>
      <c r="G51" s="26">
        <f>IF(OR(B51="",B47=""),"",B51/B47-1)</f>
        <v/>
      </c>
      <c r="H51" s="19">
        <f>IF(OR(C51="",C47=""),"",C51/C47-1)</f>
        <v/>
      </c>
      <c r="I51" s="19">
        <f>IF(OR(D51="",D47=""),"",D51/D47-1)</f>
        <v/>
      </c>
      <c r="J51" s="19">
        <f>IF(OR(B51="",B50=""),"",B51/B50-1)</f>
        <v/>
      </c>
      <c r="K51" s="19">
        <f>IF(OR(C51="",C50=""),"",C51/C50-1)</f>
        <v/>
      </c>
      <c r="L51" s="19">
        <f>IF(OR(D51="",D50=""),"",D51/D50-1)</f>
        <v/>
      </c>
      <c r="M51" s="22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IF(O51="","",M51/O51)</f>
        <v/>
      </c>
      <c r="Q51" s="23">
        <f>IF(O51="","",N51/O51)</f>
        <v/>
      </c>
      <c r="R51" s="24">
        <f>IF(SUMIFS('Monthly NSE Equity Options'!$L:$L,'Monthly NSE Equity Options'!$C:$C,$A51)=0,"",SUMIFS('Monthly NSE Equity Options'!$L:$L,'Monthly NSE Equity Options'!$C:$C,$A51))</f>
        <v/>
      </c>
      <c r="S51" s="9">
        <f>IF(SUMIFS('Monthly BSE Equity Options'!$L:$L,'Monthly BSE Equity Options'!$C:$C,$A51)=0,"",SUMIFS('Monthly BSE Equity Options'!$L:$L,'Monthly BSE Equity Options'!$C:$C,$A51))</f>
        <v/>
      </c>
      <c r="T51" s="9">
        <f>IF(OR(R51="",S51=""),"",R51+S51)</f>
        <v/>
      </c>
      <c r="U51" s="25">
        <f>IF(T51="","",R51/T51)</f>
        <v/>
      </c>
      <c r="V51" s="25">
        <f>IF(T51="","",S51/T51)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19">
        <f>IF(D52="","",B52/D52)</f>
        <v/>
      </c>
      <c r="F52" s="19">
        <f>IF(D52="","",C52/D52)</f>
        <v/>
      </c>
      <c r="G52" s="26">
        <f>IF(OR(B52="",B48=""),"",B52/B48-1)</f>
        <v/>
      </c>
      <c r="H52" s="19">
        <f>IF(OR(C52="",C48=""),"",C52/C48-1)</f>
        <v/>
      </c>
      <c r="I52" s="19">
        <f>IF(OR(D52="",D48=""),"",D52/D48-1)</f>
        <v/>
      </c>
      <c r="J52" s="19">
        <f>IF(OR(B52="",B51=""),"",B52/B51-1)</f>
        <v/>
      </c>
      <c r="K52" s="19">
        <f>IF(OR(C52="",C51=""),"",C52/C51-1)</f>
        <v/>
      </c>
      <c r="L52" s="19">
        <f>IF(OR(D52="",D51=""),"",D52/D51-1)</f>
        <v/>
      </c>
      <c r="M52" s="22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IF(O52="","",M52/O52)</f>
        <v/>
      </c>
      <c r="Q52" s="23">
        <f>IF(O52="","",N52/O52)</f>
        <v/>
      </c>
      <c r="R52" s="24">
        <f>IF(SUMIFS('Monthly NSE Equity Options'!$L:$L,'Monthly NSE Equity Options'!$C:$C,$A52)=0,"",SUMIFS('Monthly NSE Equity Options'!$L:$L,'Monthly NSE Equity Options'!$C:$C,$A52))</f>
        <v/>
      </c>
      <c r="S52" s="9">
        <f>IF(SUMIFS('Monthly BSE Equity Options'!$L:$L,'Monthly BSE Equity Options'!$C:$C,$A52)=0,"",SUMIFS('Monthly BSE Equity Options'!$L:$L,'Monthly BSE Equity Options'!$C:$C,$A52))</f>
        <v/>
      </c>
      <c r="T52" s="9">
        <f>IF(OR(R52="",S52=""),"",R52+S52)</f>
        <v/>
      </c>
      <c r="U52" s="25">
        <f>IF(T52="","",R52/T52)</f>
        <v/>
      </c>
      <c r="V52" s="25">
        <f>IF(T52="","",S52/T52)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19">
        <f>IF(D53="","",B53/D53)</f>
        <v/>
      </c>
      <c r="F53" s="19">
        <f>IF(D53="","",C53/D53)</f>
        <v/>
      </c>
      <c r="G53" s="26">
        <f>IF(OR(B53="",B49=""),"",B53/B49-1)</f>
        <v/>
      </c>
      <c r="H53" s="19">
        <f>IF(OR(C53="",C49=""),"",C53/C49-1)</f>
        <v/>
      </c>
      <c r="I53" s="19">
        <f>IF(OR(D53="",D49=""),"",D53/D49-1)</f>
        <v/>
      </c>
      <c r="J53" s="19">
        <f>IF(OR(B53="",B52=""),"",B53/B52-1)</f>
        <v/>
      </c>
      <c r="K53" s="19">
        <f>IF(OR(C53="",C52=""),"",C53/C52-1)</f>
        <v/>
      </c>
      <c r="L53" s="19">
        <f>IF(OR(D53="",D52=""),"",D53/D52-1)</f>
        <v/>
      </c>
      <c r="M53" s="22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IF(O53="","",M53/O53)</f>
        <v/>
      </c>
      <c r="Q53" s="23">
        <f>IF(O53="","",N53/O53)</f>
        <v/>
      </c>
      <c r="R53" s="24">
        <f>IF(SUMIFS('Monthly NSE Equity Options'!$L:$L,'Monthly NSE Equity Options'!$C:$C,$A53)=0,"",SUMIFS('Monthly NSE Equity Options'!$L:$L,'Monthly NSE Equity Options'!$C:$C,$A53))</f>
        <v/>
      </c>
      <c r="S53" s="9">
        <f>IF(SUMIFS('Monthly BSE Equity Options'!$L:$L,'Monthly BSE Equity Options'!$C:$C,$A53)=0,"",SUMIFS('Monthly BSE Equity Options'!$L:$L,'Monthly BSE Equity Options'!$C:$C,$A53))</f>
        <v/>
      </c>
      <c r="T53" s="9">
        <f>IF(OR(R53="",S53=""),"",R53+S53)</f>
        <v/>
      </c>
      <c r="U53" s="25">
        <f>IF(T53="","",R53/T53)</f>
        <v/>
      </c>
      <c r="V53" s="25">
        <f>IF(T53="","",S53/T53)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19">
        <f>IF(D54="","",B54/D54)</f>
        <v/>
      </c>
      <c r="F54" s="19">
        <f>IF(D54="","",C54/D54)</f>
        <v/>
      </c>
      <c r="G54" s="26">
        <f>IF(OR(B54="",B50=""),"",B54/B50-1)</f>
        <v/>
      </c>
      <c r="H54" s="19">
        <f>IF(OR(C54="",C50=""),"",C54/C50-1)</f>
        <v/>
      </c>
      <c r="I54" s="19">
        <f>IF(OR(D54="",D50=""),"",D54/D50-1)</f>
        <v/>
      </c>
      <c r="J54" s="19">
        <f>IF(OR(B54="",B53=""),"",B54/B53-1)</f>
        <v/>
      </c>
      <c r="K54" s="19">
        <f>IF(OR(C54="",C53=""),"",C54/C53-1)</f>
        <v/>
      </c>
      <c r="L54" s="19">
        <f>IF(OR(D54="",D53=""),"",D54/D53-1)</f>
        <v/>
      </c>
      <c r="M54" s="22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IF(O54="","",M54/O54)</f>
        <v/>
      </c>
      <c r="Q54" s="23">
        <f>IF(O54="","",N54/O54)</f>
        <v/>
      </c>
      <c r="R54" s="24">
        <f>IF(SUMIFS('Monthly NSE Equity Options'!$L:$L,'Monthly NSE Equity Options'!$C:$C,$A54)=0,"",SUMIFS('Monthly NSE Equity Options'!$L:$L,'Monthly NSE Equity Options'!$C:$C,$A54))</f>
        <v/>
      </c>
      <c r="S54" s="9">
        <f>IF(SUMIFS('Monthly BSE Equity Options'!$L:$L,'Monthly BSE Equity Options'!$C:$C,$A54)=0,"",SUMIFS('Monthly BSE Equity Options'!$L:$L,'Monthly BSE Equity Options'!$C:$C,$A54))</f>
        <v/>
      </c>
      <c r="T54" s="9">
        <f>IF(OR(R54="",S54=""),"",R54+S54)</f>
        <v/>
      </c>
      <c r="U54" s="25">
        <f>IF(T54="","",R54/T54)</f>
        <v/>
      </c>
      <c r="V54" s="25">
        <f>IF(T54="","",S54/T54)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19">
        <f>IF(D55="","",B55/D55)</f>
        <v/>
      </c>
      <c r="F55" s="19">
        <f>IF(D55="","",C55/D55)</f>
        <v/>
      </c>
      <c r="G55" s="26">
        <f>IF(OR(B55="",B51=""),"",B55/B51-1)</f>
        <v/>
      </c>
      <c r="H55" s="19">
        <f>IF(OR(C55="",C51=""),"",C55/C51-1)</f>
        <v/>
      </c>
      <c r="I55" s="19">
        <f>IF(OR(D55="",D51=""),"",D55/D51-1)</f>
        <v/>
      </c>
      <c r="J55" s="19">
        <f>IF(OR(B55="",B54=""),"",B55/B54-1)</f>
        <v/>
      </c>
      <c r="K55" s="19">
        <f>IF(OR(C55="",C54=""),"",C55/C54-1)</f>
        <v/>
      </c>
      <c r="L55" s="19">
        <f>IF(OR(D55="",D54=""),"",D55/D54-1)</f>
        <v/>
      </c>
      <c r="M55" s="22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IF(O55="","",M55/O55)</f>
        <v/>
      </c>
      <c r="Q55" s="23">
        <f>IF(O55="","",N55/O55)</f>
        <v/>
      </c>
      <c r="R55" s="24">
        <f>IF(SUMIFS('Monthly NSE Equity Options'!$L:$L,'Monthly NSE Equity Options'!$C:$C,$A55)=0,"",SUMIFS('Monthly NSE Equity Options'!$L:$L,'Monthly NSE Equity Options'!$C:$C,$A55))</f>
        <v/>
      </c>
      <c r="S55" s="9">
        <f>IF(SUMIFS('Monthly BSE Equity Options'!$L:$L,'Monthly BSE Equity Options'!$C:$C,$A55)=0,"",SUMIFS('Monthly BSE Equity Options'!$L:$L,'Monthly BSE Equity Options'!$C:$C,$A55))</f>
        <v/>
      </c>
      <c r="T55" s="9">
        <f>IF(OR(R55="",S55=""),"",R55+S55)</f>
        <v/>
      </c>
      <c r="U55" s="25">
        <f>IF(T55="","",R55/T55)</f>
        <v/>
      </c>
      <c r="V55" s="25">
        <f>IF(T55="","",S55/T55)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19">
        <f>IF(D56="","",B56/D56)</f>
        <v/>
      </c>
      <c r="F56" s="19">
        <f>IF(D56="","",C56/D56)</f>
        <v/>
      </c>
      <c r="G56" s="26">
        <f>IF(OR(B56="",B52=""),"",B56/B52-1)</f>
        <v/>
      </c>
      <c r="H56" s="19">
        <f>IF(OR(C56="",C52=""),"",C56/C52-1)</f>
        <v/>
      </c>
      <c r="I56" s="19">
        <f>IF(OR(D56="",D52=""),"",D56/D52-1)</f>
        <v/>
      </c>
      <c r="J56" s="19">
        <f>IF(OR(B56="",B55=""),"",B56/B55-1)</f>
        <v/>
      </c>
      <c r="K56" s="19">
        <f>IF(OR(C56="",C55=""),"",C56/C55-1)</f>
        <v/>
      </c>
      <c r="L56" s="19">
        <f>IF(OR(D56="",D55=""),"",D56/D55-1)</f>
        <v/>
      </c>
      <c r="M56" s="22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IF(O56="","",M56/O56)</f>
        <v/>
      </c>
      <c r="Q56" s="23">
        <f>IF(O56="","",N56/O56)</f>
        <v/>
      </c>
      <c r="R56" s="24">
        <f>IF(SUMIFS('Monthly NSE Equity Options'!$L:$L,'Monthly NSE Equity Options'!$C:$C,$A56)=0,"",SUMIFS('Monthly NSE Equity Options'!$L:$L,'Monthly NSE Equity Options'!$C:$C,$A56))</f>
        <v/>
      </c>
      <c r="S56" s="9">
        <f>IF(SUMIFS('Monthly BSE Equity Options'!$L:$L,'Monthly BSE Equity Options'!$C:$C,$A56)=0,"",SUMIFS('Monthly BSE Equity Options'!$L:$L,'Monthly BSE Equity Options'!$C:$C,$A56))</f>
        <v/>
      </c>
      <c r="T56" s="9">
        <f>IF(OR(R56="",S56=""),"",R56+S56)</f>
        <v/>
      </c>
      <c r="U56" s="25">
        <f>IF(T56="","",R56/T56)</f>
        <v/>
      </c>
      <c r="V56" s="25">
        <f>IF(T56="","",S56/T56)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19">
        <f>IF(D57="","",B57/D57)</f>
        <v/>
      </c>
      <c r="F57" s="19">
        <f>IF(D57="","",C57/D57)</f>
        <v/>
      </c>
      <c r="G57" s="26">
        <f>IF(OR(B57="",B53=""),"",B57/B53-1)</f>
        <v/>
      </c>
      <c r="H57" s="19">
        <f>IF(OR(C57="",C53=""),"",C57/C53-1)</f>
        <v/>
      </c>
      <c r="I57" s="19">
        <f>IF(OR(D57="",D53=""),"",D57/D53-1)</f>
        <v/>
      </c>
      <c r="J57" s="19">
        <f>IF(OR(B57="",B56=""),"",B57/B56-1)</f>
        <v/>
      </c>
      <c r="K57" s="19">
        <f>IF(OR(C57="",C56=""),"",C57/C56-1)</f>
        <v/>
      </c>
      <c r="L57" s="19">
        <f>IF(OR(D57="",D56=""),"",D57/D56-1)</f>
        <v/>
      </c>
      <c r="M57" s="22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IF(O57="","",M57/O57)</f>
        <v/>
      </c>
      <c r="Q57" s="23">
        <f>IF(O57="","",N57/O57)</f>
        <v/>
      </c>
      <c r="R57" s="24">
        <f>IF(SUMIFS('Monthly NSE Equity Options'!$L:$L,'Monthly NSE Equity Options'!$C:$C,$A57)=0,"",SUMIFS('Monthly NSE Equity Options'!$L:$L,'Monthly NSE Equity Options'!$C:$C,$A57))</f>
        <v/>
      </c>
      <c r="S57" s="9">
        <f>IF(SUMIFS('Monthly BSE Equity Options'!$L:$L,'Monthly BSE Equity Options'!$C:$C,$A57)=0,"",SUMIFS('Monthly BSE Equity Options'!$L:$L,'Monthly BSE Equity Options'!$C:$C,$A57))</f>
        <v/>
      </c>
      <c r="T57" s="9">
        <f>IF(OR(R57="",S57=""),"",R57+S57)</f>
        <v/>
      </c>
      <c r="U57" s="25">
        <f>IF(T57="","",R57/T57)</f>
        <v/>
      </c>
      <c r="V57" s="25">
        <f>IF(T57="","",S57/T57)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19">
        <f>IF(D58="","",B58/D58)</f>
        <v/>
      </c>
      <c r="F58" s="19">
        <f>IF(D58="","",C58/D58)</f>
        <v/>
      </c>
      <c r="G58" s="26">
        <f>IF(OR(B58="",B54=""),"",B58/B54-1)</f>
        <v/>
      </c>
      <c r="H58" s="19">
        <f>IF(OR(C58="",C54=""),"",C58/C54-1)</f>
        <v/>
      </c>
      <c r="I58" s="19">
        <f>IF(OR(D58="",D54=""),"",D58/D54-1)</f>
        <v/>
      </c>
      <c r="J58" s="19">
        <f>IF(OR(B58="",B57=""),"",B58/B57-1)</f>
        <v/>
      </c>
      <c r="K58" s="19">
        <f>IF(OR(C58="",C57=""),"",C58/C57-1)</f>
        <v/>
      </c>
      <c r="L58" s="19">
        <f>IF(OR(D58="",D57=""),"",D58/D57-1)</f>
        <v/>
      </c>
      <c r="M58" s="22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IF(O58="","",M58/O58)</f>
        <v/>
      </c>
      <c r="Q58" s="23">
        <f>IF(O58="","",N58/O58)</f>
        <v/>
      </c>
      <c r="R58" s="24">
        <f>IF(SUMIFS('Monthly NSE Equity Options'!$L:$L,'Monthly NSE Equity Options'!$C:$C,$A58)=0,"",SUMIFS('Monthly NSE Equity Options'!$L:$L,'Monthly NSE Equity Options'!$C:$C,$A58))</f>
        <v/>
      </c>
      <c r="S58" s="9">
        <f>IF(SUMIFS('Monthly BSE Equity Options'!$L:$L,'Monthly BSE Equity Options'!$C:$C,$A58)=0,"",SUMIFS('Monthly BSE Equity Options'!$L:$L,'Monthly BSE Equity Options'!$C:$C,$A58))</f>
        <v/>
      </c>
      <c r="T58" s="9">
        <f>IF(OR(R58="",S58=""),"",R58+S58)</f>
        <v/>
      </c>
      <c r="U58" s="25">
        <f>IF(T58="","",R58/T58)</f>
        <v/>
      </c>
      <c r="V58" s="25">
        <f>IF(T58="","",S58/T58)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19">
        <f>IF(D59="","",B59/D59)</f>
        <v/>
      </c>
      <c r="F59" s="19">
        <f>IF(D59="","",C59/D59)</f>
        <v/>
      </c>
      <c r="G59" s="26">
        <f>IF(OR(B59="",B55=""),"",B59/B55-1)</f>
        <v/>
      </c>
      <c r="H59" s="19">
        <f>IF(OR(C59="",C55=""),"",C59/C55-1)</f>
        <v/>
      </c>
      <c r="I59" s="19">
        <f>IF(OR(D59="",D55=""),"",D59/D55-1)</f>
        <v/>
      </c>
      <c r="J59" s="19">
        <f>IF(OR(B59="",B58=""),"",B59/B58-1)</f>
        <v/>
      </c>
      <c r="K59" s="19">
        <f>IF(OR(C59="",C58=""),"",C59/C58-1)</f>
        <v/>
      </c>
      <c r="L59" s="19">
        <f>IF(OR(D59="",D58=""),"",D59/D58-1)</f>
        <v/>
      </c>
      <c r="M59" s="22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IF(O59="","",M59/O59)</f>
        <v/>
      </c>
      <c r="Q59" s="23">
        <f>IF(O59="","",N59/O59)</f>
        <v/>
      </c>
      <c r="R59" s="24">
        <f>IF(SUMIFS('Monthly NSE Equity Options'!$L:$L,'Monthly NSE Equity Options'!$C:$C,$A59)=0,"",SUMIFS('Monthly NSE Equity Options'!$L:$L,'Monthly NSE Equity Options'!$C:$C,$A59))</f>
        <v/>
      </c>
      <c r="S59" s="9">
        <f>IF(SUMIFS('Monthly BSE Equity Options'!$L:$L,'Monthly BSE Equity Options'!$C:$C,$A59)=0,"",SUMIFS('Monthly BSE Equity Options'!$L:$L,'Monthly BSE Equity Options'!$C:$C,$A59))</f>
        <v/>
      </c>
      <c r="T59" s="9">
        <f>IF(OR(R59="",S59=""),"",R59+S59)</f>
        <v/>
      </c>
      <c r="U59" s="25">
        <f>IF(T59="","",R59/T59)</f>
        <v/>
      </c>
      <c r="V59" s="25">
        <f>IF(T59="","",S59/T59)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19">
        <f>IF(D60="","",B60/D60)</f>
        <v/>
      </c>
      <c r="F60" s="19">
        <f>IF(D60="","",C60/D60)</f>
        <v/>
      </c>
      <c r="G60" s="26">
        <f>IF(OR(B60="",B56=""),"",B60/B56-1)</f>
        <v/>
      </c>
      <c r="H60" s="19">
        <f>IF(OR(C60="",C56=""),"",C60/C56-1)</f>
        <v/>
      </c>
      <c r="I60" s="19">
        <f>IF(OR(D60="",D56=""),"",D60/D56-1)</f>
        <v/>
      </c>
      <c r="J60" s="19">
        <f>IF(OR(B60="",B59=""),"",B60/B59-1)</f>
        <v/>
      </c>
      <c r="K60" s="19">
        <f>IF(OR(C60="",C59=""),"",C60/C59-1)</f>
        <v/>
      </c>
      <c r="L60" s="19">
        <f>IF(OR(D60="",D59=""),"",D60/D59-1)</f>
        <v/>
      </c>
      <c r="M60" s="22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IF(O60="","",M60/O60)</f>
        <v/>
      </c>
      <c r="Q60" s="23">
        <f>IF(O60="","",N60/O60)</f>
        <v/>
      </c>
      <c r="R60" s="24">
        <f>IF(SUMIFS('Monthly NSE Equity Options'!$L:$L,'Monthly NSE Equity Options'!$C:$C,$A60)=0,"",SUMIFS('Monthly NSE Equity Options'!$L:$L,'Monthly NSE Equity Options'!$C:$C,$A60))</f>
        <v/>
      </c>
      <c r="S60" s="9">
        <f>IF(SUMIFS('Monthly BSE Equity Options'!$L:$L,'Monthly BSE Equity Options'!$C:$C,$A60)=0,"",SUMIFS('Monthly BSE Equity Options'!$L:$L,'Monthly BSE Equity Options'!$C:$C,$A60))</f>
        <v/>
      </c>
      <c r="T60" s="9">
        <f>IF(OR(R60="",S60=""),"",R60+S60)</f>
        <v/>
      </c>
      <c r="U60" s="25">
        <f>IF(T60="","",R60/T60)</f>
        <v/>
      </c>
      <c r="V60" s="25">
        <f>IF(T60="","",S60/T60)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19">
        <f>IF(D61="","",B61/D61)</f>
        <v/>
      </c>
      <c r="F61" s="19">
        <f>IF(D61="","",C61/D61)</f>
        <v/>
      </c>
      <c r="G61" s="26">
        <f>IF(OR(B61="",B57=""),"",B61/B57-1)</f>
        <v/>
      </c>
      <c r="H61" s="19">
        <f>IF(OR(C61="",C57=""),"",C61/C57-1)</f>
        <v/>
      </c>
      <c r="I61" s="19">
        <f>IF(OR(D61="",D57=""),"",D61/D57-1)</f>
        <v/>
      </c>
      <c r="J61" s="19">
        <f>IF(OR(B61="",B60=""),"",B61/B60-1)</f>
        <v/>
      </c>
      <c r="K61" s="19">
        <f>IF(OR(C61="",C60=""),"",C61/C60-1)</f>
        <v/>
      </c>
      <c r="L61" s="19">
        <f>IF(OR(D61="",D60=""),"",D61/D60-1)</f>
        <v/>
      </c>
      <c r="M61" s="22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IF(O61="","",M61/O61)</f>
        <v/>
      </c>
      <c r="Q61" s="23">
        <f>IF(O61="","",N61/O61)</f>
        <v/>
      </c>
      <c r="R61" s="24">
        <f>IF(SUMIFS('Monthly NSE Equity Options'!$L:$L,'Monthly NSE Equity Options'!$C:$C,$A61)=0,"",SUMIFS('Monthly NSE Equity Options'!$L:$L,'Monthly NSE Equity Options'!$C:$C,$A61))</f>
        <v/>
      </c>
      <c r="S61" s="9">
        <f>IF(SUMIFS('Monthly BSE Equity Options'!$L:$L,'Monthly BSE Equity Options'!$C:$C,$A61)=0,"",SUMIFS('Monthly BSE Equity Options'!$L:$L,'Monthly BSE Equity Options'!$C:$C,$A61))</f>
        <v/>
      </c>
      <c r="T61" s="9">
        <f>IF(OR(R61="",S61=""),"",R61+S61)</f>
        <v/>
      </c>
      <c r="U61" s="25">
        <f>IF(T61="","",R61/T61)</f>
        <v/>
      </c>
      <c r="V61" s="25">
        <f>IF(T61="","",S61/T61)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19">
        <f>IF(D62="","",B62/D62)</f>
        <v/>
      </c>
      <c r="F62" s="19">
        <f>IF(D62="","",C62/D62)</f>
        <v/>
      </c>
      <c r="G62" s="26">
        <f>IF(OR(B62="",B58=""),"",B62/B58-1)</f>
        <v/>
      </c>
      <c r="H62" s="19">
        <f>IF(OR(C62="",C58=""),"",C62/C58-1)</f>
        <v/>
      </c>
      <c r="I62" s="19">
        <f>IF(OR(D62="",D58=""),"",D62/D58-1)</f>
        <v/>
      </c>
      <c r="J62" s="19">
        <f>IF(OR(B62="",B61=""),"",B62/B61-1)</f>
        <v/>
      </c>
      <c r="K62" s="19">
        <f>IF(OR(C62="",C61=""),"",C62/C61-1)</f>
        <v/>
      </c>
      <c r="L62" s="19">
        <f>IF(OR(D62="",D61=""),"",D62/D61-1)</f>
        <v/>
      </c>
      <c r="M62" s="22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IF(O62="","",M62/O62)</f>
        <v/>
      </c>
      <c r="Q62" s="23">
        <f>IF(O62="","",N62/O62)</f>
        <v/>
      </c>
      <c r="R62" s="24">
        <f>IF(SUMIFS('Monthly NSE Equity Options'!$L:$L,'Monthly NSE Equity Options'!$C:$C,$A62)=0,"",SUMIFS('Monthly NSE Equity Options'!$L:$L,'Monthly NSE Equity Options'!$C:$C,$A62))</f>
        <v/>
      </c>
      <c r="S62" s="9">
        <f>IF(SUMIFS('Monthly BSE Equity Options'!$L:$L,'Monthly BSE Equity Options'!$C:$C,$A62)=0,"",SUMIFS('Monthly BSE Equity Options'!$L:$L,'Monthly BSE Equity Options'!$C:$C,$A62))</f>
        <v/>
      </c>
      <c r="T62" s="9">
        <f>IF(OR(R62="",S62=""),"",R62+S62)</f>
        <v/>
      </c>
      <c r="U62" s="25">
        <f>IF(T62="","",R62/T62)</f>
        <v/>
      </c>
      <c r="V62" s="25">
        <f>IF(T62="","",S62/T62)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19">
        <f>IF(D63="","",B63/D63)</f>
        <v/>
      </c>
      <c r="F63" s="19">
        <f>IF(D63="","",C63/D63)</f>
        <v/>
      </c>
      <c r="G63" s="26">
        <f>IF(OR(B63="",B59=""),"",B63/B59-1)</f>
        <v/>
      </c>
      <c r="H63" s="19">
        <f>IF(OR(C63="",C59=""),"",C63/C59-1)</f>
        <v/>
      </c>
      <c r="I63" s="19">
        <f>IF(OR(D63="",D59=""),"",D63/D59-1)</f>
        <v/>
      </c>
      <c r="J63" s="19">
        <f>IF(OR(B63="",B62=""),"",B63/B62-1)</f>
        <v/>
      </c>
      <c r="K63" s="19">
        <f>IF(OR(C63="",C62=""),"",C63/C62-1)</f>
        <v/>
      </c>
      <c r="L63" s="19">
        <f>IF(OR(D63="",D62=""),"",D63/D62-1)</f>
        <v/>
      </c>
      <c r="M63" s="22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IF(O63="","",M63/O63)</f>
        <v/>
      </c>
      <c r="Q63" s="23">
        <f>IF(O63="","",N63/O63)</f>
        <v/>
      </c>
      <c r="R63" s="24">
        <f>IF(SUMIFS('Monthly NSE Equity Options'!$L:$L,'Monthly NSE Equity Options'!$C:$C,$A63)=0,"",SUMIFS('Monthly NSE Equity Options'!$L:$L,'Monthly NSE Equity Options'!$C:$C,$A63))</f>
        <v/>
      </c>
      <c r="S63" s="9">
        <f>IF(SUMIFS('Monthly BSE Equity Options'!$L:$L,'Monthly BSE Equity Options'!$C:$C,$A63)=0,"",SUMIFS('Monthly BSE Equity Options'!$L:$L,'Monthly BSE Equity Options'!$C:$C,$A63))</f>
        <v/>
      </c>
      <c r="T63" s="9">
        <f>IF(OR(R63="",S63=""),"",R63+S63)</f>
        <v/>
      </c>
      <c r="U63" s="25">
        <f>IF(T63="","",R63/T63)</f>
        <v/>
      </c>
      <c r="V63" s="25">
        <f>IF(T63="","",S63/T63)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19">
        <f>IF(D64="","",B64/D64)</f>
        <v/>
      </c>
      <c r="F64" s="19">
        <f>IF(D64="","",C64/D64)</f>
        <v/>
      </c>
      <c r="G64" s="26">
        <f>IF(OR(B64="",B60=""),"",B64/B60-1)</f>
        <v/>
      </c>
      <c r="H64" s="19">
        <f>IF(OR(C64="",C60=""),"",C64/C60-1)</f>
        <v/>
      </c>
      <c r="I64" s="19">
        <f>IF(OR(D64="",D60=""),"",D64/D60-1)</f>
        <v/>
      </c>
      <c r="J64" s="19">
        <f>IF(OR(B64="",B63=""),"",B64/B63-1)</f>
        <v/>
      </c>
      <c r="K64" s="19">
        <f>IF(OR(C64="",C63=""),"",C64/C63-1)</f>
        <v/>
      </c>
      <c r="L64" s="19">
        <f>IF(OR(D64="",D63=""),"",D64/D63-1)</f>
        <v/>
      </c>
      <c r="M64" s="22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IF(O64="","",M64/O64)</f>
        <v/>
      </c>
      <c r="Q64" s="23">
        <f>IF(O64="","",N64/O64)</f>
        <v/>
      </c>
      <c r="R64" s="24">
        <f>IF(SUMIFS('Monthly NSE Equity Options'!$L:$L,'Monthly NSE Equity Options'!$C:$C,$A64)=0,"",SUMIFS('Monthly NSE Equity Options'!$L:$L,'Monthly NSE Equity Options'!$C:$C,$A64))</f>
        <v/>
      </c>
      <c r="S64" s="9">
        <f>IF(SUMIFS('Monthly BSE Equity Options'!$L:$L,'Monthly BSE Equity Options'!$C:$C,$A64)=0,"",SUMIFS('Monthly BSE Equity Options'!$L:$L,'Monthly BSE Equity Options'!$C:$C,$A64))</f>
        <v/>
      </c>
      <c r="T64" s="9">
        <f>IF(OR(R64="",S64=""),"",R64+S64)</f>
        <v/>
      </c>
      <c r="U64" s="25">
        <f>IF(T64="","",R64/T64)</f>
        <v/>
      </c>
      <c r="V64" s="25">
        <f>IF(T64="","",S64/T64)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19">
        <f>IF(D65="","",B65/D65)</f>
        <v/>
      </c>
      <c r="F65" s="19">
        <f>IF(D65="","",C65/D65)</f>
        <v/>
      </c>
      <c r="G65" s="26">
        <f>IF(OR(B65="",B61=""),"",B65/B61-1)</f>
        <v/>
      </c>
      <c r="H65" s="19">
        <f>IF(OR(C65="",C61=""),"",C65/C61-1)</f>
        <v/>
      </c>
      <c r="I65" s="19">
        <f>IF(OR(D65="",D61=""),"",D65/D61-1)</f>
        <v/>
      </c>
      <c r="J65" s="19">
        <f>IF(OR(B65="",B64=""),"",B65/B64-1)</f>
        <v/>
      </c>
      <c r="K65" s="19">
        <f>IF(OR(C65="",C64=""),"",C65/C64-1)</f>
        <v/>
      </c>
      <c r="L65" s="19">
        <f>IF(OR(D65="",D64=""),"",D65/D64-1)</f>
        <v/>
      </c>
      <c r="M65" s="22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IF(O65="","",M65/O65)</f>
        <v/>
      </c>
      <c r="Q65" s="23">
        <f>IF(O65="","",N65/O65)</f>
        <v/>
      </c>
      <c r="R65" s="24">
        <f>IF(SUMIFS('Monthly NSE Equity Options'!$L:$L,'Monthly NSE Equity Options'!$C:$C,$A65)=0,"",SUMIFS('Monthly NSE Equity Options'!$L:$L,'Monthly NSE Equity Options'!$C:$C,$A65))</f>
        <v/>
      </c>
      <c r="S65" s="9">
        <f>IF(SUMIFS('Monthly BSE Equity Options'!$L:$L,'Monthly BSE Equity Options'!$C:$C,$A65)=0,"",SUMIFS('Monthly BSE Equity Options'!$L:$L,'Monthly BSE Equity Options'!$C:$C,$A65))</f>
        <v/>
      </c>
      <c r="T65" s="9">
        <f>IF(OR(R65="",S65=""),"",R65+S65)</f>
        <v/>
      </c>
      <c r="U65" s="25">
        <f>IF(T65="","",R65/T65)</f>
        <v/>
      </c>
      <c r="V65" s="25">
        <f>IF(T65="","",S65/T65)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19">
        <f>IF(D66="","",B66/D66)</f>
        <v/>
      </c>
      <c r="F66" s="19">
        <f>IF(D66="","",C66/D66)</f>
        <v/>
      </c>
      <c r="G66" s="26">
        <f>IF(OR(B66="",B62=""),"",B66/B62-1)</f>
        <v/>
      </c>
      <c r="H66" s="19">
        <f>IF(OR(C66="",C62=""),"",C66/C62-1)</f>
        <v/>
      </c>
      <c r="I66" s="19">
        <f>IF(OR(D66="",D62=""),"",D66/D62-1)</f>
        <v/>
      </c>
      <c r="J66" s="19">
        <f>IF(OR(B66="",B65=""),"",B66/B65-1)</f>
        <v/>
      </c>
      <c r="K66" s="19">
        <f>IF(OR(C66="",C65=""),"",C66/C65-1)</f>
        <v/>
      </c>
      <c r="L66" s="19">
        <f>IF(OR(D66="",D65=""),"",D66/D65-1)</f>
        <v/>
      </c>
      <c r="M66" s="22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IF(O66="","",M66/O66)</f>
        <v/>
      </c>
      <c r="Q66" s="23">
        <f>IF(O66="","",N66/O66)</f>
        <v/>
      </c>
      <c r="R66" s="24">
        <f>IF(SUMIFS('Monthly NSE Equity Options'!$L:$L,'Monthly NSE Equity Options'!$C:$C,$A66)=0,"",SUMIFS('Monthly NSE Equity Options'!$L:$L,'Monthly NSE Equity Options'!$C:$C,$A66))</f>
        <v/>
      </c>
      <c r="S66" s="9">
        <f>IF(SUMIFS('Monthly BSE Equity Options'!$L:$L,'Monthly BSE Equity Options'!$C:$C,$A66)=0,"",SUMIFS('Monthly BSE Equity Options'!$L:$L,'Monthly BSE Equity Options'!$C:$C,$A66))</f>
        <v/>
      </c>
      <c r="T66" s="9">
        <f>IF(OR(R66="",S66=""),"",R66+S66)</f>
        <v/>
      </c>
      <c r="U66" s="25">
        <f>IF(T66="","",R66/T66)</f>
        <v/>
      </c>
      <c r="V66" s="25">
        <f>IF(T66="","",S66/T66)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19">
        <f>IF(D67="","",B67/D67)</f>
        <v/>
      </c>
      <c r="F67" s="19">
        <f>IF(D67="","",C67/D67)</f>
        <v/>
      </c>
      <c r="G67" s="26">
        <f>IF(OR(B67="",B63=""),"",B67/B63-1)</f>
        <v/>
      </c>
      <c r="H67" s="19">
        <f>IF(OR(C67="",C63=""),"",C67/C63-1)</f>
        <v/>
      </c>
      <c r="I67" s="19">
        <f>IF(OR(D67="",D63=""),"",D67/D63-1)</f>
        <v/>
      </c>
      <c r="J67" s="19">
        <f>IF(OR(B67="",B66=""),"",B67/B66-1)</f>
        <v/>
      </c>
      <c r="K67" s="19">
        <f>IF(OR(C67="",C66=""),"",C67/C66-1)</f>
        <v/>
      </c>
      <c r="L67" s="19">
        <f>IF(OR(D67="",D66=""),"",D67/D66-1)</f>
        <v/>
      </c>
      <c r="M67" s="22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IF(O67="","",M67/O67)</f>
        <v/>
      </c>
      <c r="Q67" s="23">
        <f>IF(O67="","",N67/O67)</f>
        <v/>
      </c>
      <c r="R67" s="24">
        <f>IF(SUMIFS('Monthly NSE Equity Options'!$L:$L,'Monthly NSE Equity Options'!$C:$C,$A67)=0,"",SUMIFS('Monthly NSE Equity Options'!$L:$L,'Monthly NSE Equity Options'!$C:$C,$A67))</f>
        <v/>
      </c>
      <c r="S67" s="9">
        <f>IF(SUMIFS('Monthly BSE Equity Options'!$L:$L,'Monthly BSE Equity Options'!$C:$C,$A67)=0,"",SUMIFS('Monthly BSE Equity Options'!$L:$L,'Monthly BSE Equity Options'!$C:$C,$A67))</f>
        <v/>
      </c>
      <c r="T67" s="9">
        <f>IF(OR(R67="",S67=""),"",R67+S67)</f>
        <v/>
      </c>
      <c r="U67" s="25">
        <f>IF(T67="","",R67/T67)</f>
        <v/>
      </c>
      <c r="V67" s="25">
        <f>IF(T67="","",S67/T67)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19">
        <f>IF(D68="","",B68/D68)</f>
        <v/>
      </c>
      <c r="F68" s="19">
        <f>IF(D68="","",C68/D68)</f>
        <v/>
      </c>
      <c r="G68" s="26">
        <f>IF(OR(B68="",B64=""),"",B68/B64-1)</f>
        <v/>
      </c>
      <c r="H68" s="19">
        <f>IF(OR(C68="",C64=""),"",C68/C64-1)</f>
        <v/>
      </c>
      <c r="I68" s="19">
        <f>IF(OR(D68="",D64=""),"",D68/D64-1)</f>
        <v/>
      </c>
      <c r="J68" s="19">
        <f>IF(OR(B68="",B67=""),"",B68/B67-1)</f>
        <v/>
      </c>
      <c r="K68" s="19">
        <f>IF(OR(C68="",C67=""),"",C68/C67-1)</f>
        <v/>
      </c>
      <c r="L68" s="19">
        <f>IF(OR(D68="",D67=""),"",D68/D67-1)</f>
        <v/>
      </c>
      <c r="M68" s="22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IF(O68="","",M68/O68)</f>
        <v/>
      </c>
      <c r="Q68" s="23">
        <f>IF(O68="","",N68/O68)</f>
        <v/>
      </c>
      <c r="R68" s="24">
        <f>IF(SUMIFS('Monthly NSE Equity Options'!$L:$L,'Monthly NSE Equity Options'!$C:$C,$A68)=0,"",SUMIFS('Monthly NSE Equity Options'!$L:$L,'Monthly NSE Equity Options'!$C:$C,$A68))</f>
        <v/>
      </c>
      <c r="S68" s="9">
        <f>IF(SUMIFS('Monthly BSE Equity Options'!$L:$L,'Monthly BSE Equity Options'!$C:$C,$A68)=0,"",SUMIFS('Monthly BSE Equity Options'!$L:$L,'Monthly BSE Equity Options'!$C:$C,$A68))</f>
        <v/>
      </c>
      <c r="T68" s="9">
        <f>IF(OR(R68="",S68=""),"",R68+S68)</f>
        <v/>
      </c>
      <c r="U68" s="25">
        <f>IF(T68="","",R68/T68)</f>
        <v/>
      </c>
      <c r="V68" s="25">
        <f>IF(T68="","",S68/T68)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19">
        <f>IF(D69="","",B69/D69)</f>
        <v/>
      </c>
      <c r="F69" s="19">
        <f>IF(D69="","",C69/D69)</f>
        <v/>
      </c>
      <c r="G69" s="26">
        <f>IF(OR(B69="",B65=""),"",B69/B65-1)</f>
        <v/>
      </c>
      <c r="H69" s="19">
        <f>IF(OR(C69="",C65=""),"",C69/C65-1)</f>
        <v/>
      </c>
      <c r="I69" s="19">
        <f>IF(OR(D69="",D65=""),"",D69/D65-1)</f>
        <v/>
      </c>
      <c r="J69" s="19">
        <f>IF(OR(B69="",B68=""),"",B69/B68-1)</f>
        <v/>
      </c>
      <c r="K69" s="19">
        <f>IF(OR(C69="",C68=""),"",C69/C68-1)</f>
        <v/>
      </c>
      <c r="L69" s="19">
        <f>IF(OR(D69="",D68=""),"",D69/D68-1)</f>
        <v/>
      </c>
      <c r="M69" s="22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IF(O69="","",M69/O69)</f>
        <v/>
      </c>
      <c r="Q69" s="23">
        <f>IF(O69="","",N69/O69)</f>
        <v/>
      </c>
      <c r="R69" s="24">
        <f>IF(SUMIFS('Monthly NSE Equity Options'!$L:$L,'Monthly NSE Equity Options'!$C:$C,$A69)=0,"",SUMIFS('Monthly NSE Equity Options'!$L:$L,'Monthly NSE Equity Options'!$C:$C,$A69))</f>
        <v/>
      </c>
      <c r="S69" s="9">
        <f>IF(SUMIFS('Monthly BSE Equity Options'!$L:$L,'Monthly BSE Equity Options'!$C:$C,$A69)=0,"",SUMIFS('Monthly BSE Equity Options'!$L:$L,'Monthly BSE Equity Options'!$C:$C,$A69))</f>
        <v/>
      </c>
      <c r="T69" s="9">
        <f>IF(OR(R69="",S69=""),"",R69+S69)</f>
        <v/>
      </c>
      <c r="U69" s="25">
        <f>IF(T69="","",R69/T69)</f>
        <v/>
      </c>
      <c r="V69" s="25">
        <f>IF(T69="","",S69/T69)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19">
        <f>IF(D70="","",B70/D70)</f>
        <v/>
      </c>
      <c r="F70" s="19">
        <f>IF(D70="","",C70/D70)</f>
        <v/>
      </c>
      <c r="G70" s="26">
        <f>IF(OR(B70="",B66=""),"",B70/B66-1)</f>
        <v/>
      </c>
      <c r="H70" s="19">
        <f>IF(OR(C70="",C66=""),"",C70/C66-1)</f>
        <v/>
      </c>
      <c r="I70" s="19">
        <f>IF(OR(D70="",D66=""),"",D70/D66-1)</f>
        <v/>
      </c>
      <c r="J70" s="19">
        <f>IF(OR(B70="",B69=""),"",B70/B69-1)</f>
        <v/>
      </c>
      <c r="K70" s="19">
        <f>IF(OR(C70="",C69=""),"",C70/C69-1)</f>
        <v/>
      </c>
      <c r="L70" s="19">
        <f>IF(OR(D70="",D69=""),"",D70/D69-1)</f>
        <v/>
      </c>
      <c r="M70" s="22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IF(O70="","",M70/O70)</f>
        <v/>
      </c>
      <c r="Q70" s="23">
        <f>IF(O70="","",N70/O70)</f>
        <v/>
      </c>
      <c r="R70" s="24">
        <f>IF(SUMIFS('Monthly NSE Equity Options'!$L:$L,'Monthly NSE Equity Options'!$C:$C,$A70)=0,"",SUMIFS('Monthly NSE Equity Options'!$L:$L,'Monthly NSE Equity Options'!$C:$C,$A70))</f>
        <v/>
      </c>
      <c r="S70" s="9">
        <f>IF(SUMIFS('Monthly BSE Equity Options'!$L:$L,'Monthly BSE Equity Options'!$C:$C,$A70)=0,"",SUMIFS('Monthly BSE Equity Options'!$L:$L,'Monthly BSE Equity Options'!$C:$C,$A70))</f>
        <v/>
      </c>
      <c r="T70" s="9">
        <f>IF(OR(R70="",S70=""),"",R70+S70)</f>
        <v/>
      </c>
      <c r="U70" s="25">
        <f>IF(T70="","",R70/T70)</f>
        <v/>
      </c>
      <c r="V70" s="25">
        <f>IF(T70="","",S70/T70)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19">
        <f>IF(D71="","",B71/D71)</f>
        <v/>
      </c>
      <c r="F71" s="19">
        <f>IF(D71="","",C71/D71)</f>
        <v/>
      </c>
      <c r="G71" s="26">
        <f>IF(OR(B71="",B67=""),"",B71/B67-1)</f>
        <v/>
      </c>
      <c r="H71" s="19">
        <f>IF(OR(C71="",C67=""),"",C71/C67-1)</f>
        <v/>
      </c>
      <c r="I71" s="19">
        <f>IF(OR(D71="",D67=""),"",D71/D67-1)</f>
        <v/>
      </c>
      <c r="J71" s="19">
        <f>IF(OR(B71="",B70=""),"",B71/B70-1)</f>
        <v/>
      </c>
      <c r="K71" s="19">
        <f>IF(OR(C71="",C70=""),"",C71/C70-1)</f>
        <v/>
      </c>
      <c r="L71" s="19">
        <f>IF(OR(D71="",D70=""),"",D71/D70-1)</f>
        <v/>
      </c>
      <c r="M71" s="22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IF(O71="","",M71/O71)</f>
        <v/>
      </c>
      <c r="Q71" s="23">
        <f>IF(O71="","",N71/O71)</f>
        <v/>
      </c>
      <c r="R71" s="24">
        <f>IF(SUMIFS('Monthly NSE Equity Options'!$L:$L,'Monthly NSE Equity Options'!$C:$C,$A71)=0,"",SUMIFS('Monthly NSE Equity Options'!$L:$L,'Monthly NSE Equity Options'!$C:$C,$A71))</f>
        <v/>
      </c>
      <c r="S71" s="9">
        <f>IF(SUMIFS('Monthly BSE Equity Options'!$L:$L,'Monthly BSE Equity Options'!$C:$C,$A71)=0,"",SUMIFS('Monthly BSE Equity Options'!$L:$L,'Monthly BSE Equity Options'!$C:$C,$A71))</f>
        <v/>
      </c>
      <c r="T71" s="9">
        <f>IF(OR(R71="",S71=""),"",R71+S71)</f>
        <v/>
      </c>
      <c r="U71" s="25">
        <f>IF(T71="","",R71/T71)</f>
        <v/>
      </c>
      <c r="V71" s="25">
        <f>IF(T71="","",S71/T71)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19">
        <f>IF(D72="","",B72/D72)</f>
        <v/>
      </c>
      <c r="F72" s="19">
        <f>IF(D72="","",C72/D72)</f>
        <v/>
      </c>
      <c r="G72" s="26">
        <f>IF(OR(B72="",B68=""),"",B72/B68-1)</f>
        <v/>
      </c>
      <c r="H72" s="19">
        <f>IF(OR(C72="",C68=""),"",C72/C68-1)</f>
        <v/>
      </c>
      <c r="I72" s="19">
        <f>IF(OR(D72="",D68=""),"",D72/D68-1)</f>
        <v/>
      </c>
      <c r="J72" s="19">
        <f>IF(OR(B72="",B71=""),"",B72/B71-1)</f>
        <v/>
      </c>
      <c r="K72" s="19">
        <f>IF(OR(C72="",C71=""),"",C72/C71-1)</f>
        <v/>
      </c>
      <c r="L72" s="19">
        <f>IF(OR(D72="",D71=""),"",D72/D71-1)</f>
        <v/>
      </c>
      <c r="M72" s="22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IF(O72="","",M72/O72)</f>
        <v/>
      </c>
      <c r="Q72" s="23">
        <f>IF(O72="","",N72/O72)</f>
        <v/>
      </c>
      <c r="R72" s="24">
        <f>IF(SUMIFS('Monthly NSE Equity Options'!$L:$L,'Monthly NSE Equity Options'!$C:$C,$A72)=0,"",SUMIFS('Monthly NSE Equity Options'!$L:$L,'Monthly NSE Equity Options'!$C:$C,$A72))</f>
        <v/>
      </c>
      <c r="S72" s="9">
        <f>IF(SUMIFS('Monthly BSE Equity Options'!$L:$L,'Monthly BSE Equity Options'!$C:$C,$A72)=0,"",SUMIFS('Monthly BSE Equity Options'!$L:$L,'Monthly BSE Equity Options'!$C:$C,$A72))</f>
        <v/>
      </c>
      <c r="T72" s="9">
        <f>IF(OR(R72="",S72=""),"",R72+S72)</f>
        <v/>
      </c>
      <c r="U72" s="25">
        <f>IF(T72="","",R72/T72)</f>
        <v/>
      </c>
      <c r="V72" s="25">
        <f>IF(T72="","",S72/T72)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19">
        <f>IF(D73="","",B73/D73)</f>
        <v/>
      </c>
      <c r="F73" s="19">
        <f>IF(D73="","",C73/D73)</f>
        <v/>
      </c>
      <c r="G73" s="26">
        <f>IF(OR(B73="",B69=""),"",B73/B69-1)</f>
        <v/>
      </c>
      <c r="H73" s="19">
        <f>IF(OR(C73="",C69=""),"",C73/C69-1)</f>
        <v/>
      </c>
      <c r="I73" s="19">
        <f>IF(OR(D73="",D69=""),"",D73/D69-1)</f>
        <v/>
      </c>
      <c r="J73" s="19">
        <f>IF(OR(B73="",B72=""),"",B73/B72-1)</f>
        <v/>
      </c>
      <c r="K73" s="19">
        <f>IF(OR(C73="",C72=""),"",C73/C72-1)</f>
        <v/>
      </c>
      <c r="L73" s="19">
        <f>IF(OR(D73="",D72=""),"",D73/D72-1)</f>
        <v/>
      </c>
      <c r="M73" s="22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IF(O73="","",M73/O73)</f>
        <v/>
      </c>
      <c r="Q73" s="23">
        <f>IF(O73="","",N73/O73)</f>
        <v/>
      </c>
      <c r="R73" s="24">
        <f>IF(SUMIFS('Monthly NSE Equity Options'!$L:$L,'Monthly NSE Equity Options'!$C:$C,$A73)=0,"",SUMIFS('Monthly NSE Equity Options'!$L:$L,'Monthly NSE Equity Options'!$C:$C,$A73))</f>
        <v/>
      </c>
      <c r="S73" s="9">
        <f>IF(SUMIFS('Monthly BSE Equity Options'!$L:$L,'Monthly BSE Equity Options'!$C:$C,$A73)=0,"",SUMIFS('Monthly BSE Equity Options'!$L:$L,'Monthly BSE Equity Options'!$C:$C,$A73))</f>
        <v/>
      </c>
      <c r="T73" s="9">
        <f>IF(OR(R73="",S73=""),"",R73+S73)</f>
        <v/>
      </c>
      <c r="U73" s="25">
        <f>IF(T73="","",R73/T73)</f>
        <v/>
      </c>
      <c r="V73" s="25">
        <f>IF(T73="","",S73/T73)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19">
        <f>IF(D74="","",B74/D74)</f>
        <v/>
      </c>
      <c r="F74" s="19">
        <f>IF(D74="","",C74/D74)</f>
        <v/>
      </c>
      <c r="G74" s="26">
        <f>IF(OR(B74="",B70=""),"",B74/B70-1)</f>
        <v/>
      </c>
      <c r="H74" s="19">
        <f>IF(OR(C74="",C70=""),"",C74/C70-1)</f>
        <v/>
      </c>
      <c r="I74" s="19">
        <f>IF(OR(D74="",D70=""),"",D74/D70-1)</f>
        <v/>
      </c>
      <c r="J74" s="19">
        <f>IF(OR(B74="",B73=""),"",B74/B73-1)</f>
        <v/>
      </c>
      <c r="K74" s="19">
        <f>IF(OR(C74="",C73=""),"",C74/C73-1)</f>
        <v/>
      </c>
      <c r="L74" s="19">
        <f>IF(OR(D74="",D73=""),"",D74/D73-1)</f>
        <v/>
      </c>
      <c r="M74" s="22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IF(O74="","",M74/O74)</f>
        <v/>
      </c>
      <c r="Q74" s="23">
        <f>IF(O74="","",N74/O74)</f>
        <v/>
      </c>
      <c r="R74" s="24">
        <f>IF(SUMIFS('Monthly NSE Equity Options'!$L:$L,'Monthly NSE Equity Options'!$C:$C,$A74)=0,"",SUMIFS('Monthly NSE Equity Options'!$L:$L,'Monthly NSE Equity Options'!$C:$C,$A74))</f>
        <v/>
      </c>
      <c r="S74" s="9">
        <f>IF(SUMIFS('Monthly BSE Equity Options'!$L:$L,'Monthly BSE Equity Options'!$C:$C,$A74)=0,"",SUMIFS('Monthly BSE Equity Options'!$L:$L,'Monthly BSE Equity Options'!$C:$C,$A74))</f>
        <v/>
      </c>
      <c r="T74" s="9">
        <f>IF(OR(R74="",S74=""),"",R74+S74)</f>
        <v/>
      </c>
      <c r="U74" s="25">
        <f>IF(T74="","",R74/T74)</f>
        <v/>
      </c>
      <c r="V74" s="25">
        <f>IF(T74="","",S74/T74)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19">
        <f>IF(D75="","",B75/D75)</f>
        <v/>
      </c>
      <c r="F75" s="19">
        <f>IF(D75="","",C75/D75)</f>
        <v/>
      </c>
      <c r="G75" s="26">
        <f>IF(OR(B75="",B71=""),"",B75/B71-1)</f>
        <v/>
      </c>
      <c r="H75" s="19">
        <f>IF(OR(C75="",C71=""),"",C75/C71-1)</f>
        <v/>
      </c>
      <c r="I75" s="19">
        <f>IF(OR(D75="",D71=""),"",D75/D71-1)</f>
        <v/>
      </c>
      <c r="J75" s="19">
        <f>IF(OR(B75="",B74=""),"",B75/B74-1)</f>
        <v/>
      </c>
      <c r="K75" s="19">
        <f>IF(OR(C75="",C74=""),"",C75/C74-1)</f>
        <v/>
      </c>
      <c r="L75" s="19">
        <f>IF(OR(D75="",D74=""),"",D75/D74-1)</f>
        <v/>
      </c>
      <c r="M75" s="22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IF(O75="","",M75/O75)</f>
        <v/>
      </c>
      <c r="Q75" s="23">
        <f>IF(O75="","",N75/O75)</f>
        <v/>
      </c>
      <c r="R75" s="24">
        <f>IF(SUMIFS('Monthly NSE Equity Options'!$L:$L,'Monthly NSE Equity Options'!$C:$C,$A75)=0,"",SUMIFS('Monthly NSE Equity Options'!$L:$L,'Monthly NSE Equity Options'!$C:$C,$A75))</f>
        <v/>
      </c>
      <c r="S75" s="9">
        <f>IF(SUMIFS('Monthly BSE Equity Options'!$L:$L,'Monthly BSE Equity Options'!$C:$C,$A75)=0,"",SUMIFS('Monthly BSE Equity Options'!$L:$L,'Monthly BSE Equity Options'!$C:$C,$A75))</f>
        <v/>
      </c>
      <c r="T75" s="9">
        <f>IF(OR(R75="",S75=""),"",R75+S75)</f>
        <v/>
      </c>
      <c r="U75" s="25">
        <f>IF(T75="","",R75/T75)</f>
        <v/>
      </c>
      <c r="V75" s="25">
        <f>IF(T75="","",S75/T75)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19">
        <f>IF(D76="","",B76/D76)</f>
        <v/>
      </c>
      <c r="F76" s="19">
        <f>IF(D76="","",C76/D76)</f>
        <v/>
      </c>
      <c r="G76" s="26">
        <f>IF(OR(B76="",B72=""),"",B76/B72-1)</f>
        <v/>
      </c>
      <c r="H76" s="19">
        <f>IF(OR(C76="",C72=""),"",C76/C72-1)</f>
        <v/>
      </c>
      <c r="I76" s="19">
        <f>IF(OR(D76="",D72=""),"",D76/D72-1)</f>
        <v/>
      </c>
      <c r="J76" s="19">
        <f>IF(OR(B76="",B75=""),"",B76/B75-1)</f>
        <v/>
      </c>
      <c r="K76" s="19">
        <f>IF(OR(C76="",C75=""),"",C76/C75-1)</f>
        <v/>
      </c>
      <c r="L76" s="19">
        <f>IF(OR(D76="",D75=""),"",D76/D75-1)</f>
        <v/>
      </c>
      <c r="M76" s="22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IF(O76="","",M76/O76)</f>
        <v/>
      </c>
      <c r="Q76" s="23">
        <f>IF(O76="","",N76/O76)</f>
        <v/>
      </c>
      <c r="R76" s="24">
        <f>IF(SUMIFS('Monthly NSE Equity Options'!$L:$L,'Monthly NSE Equity Options'!$C:$C,$A76)=0,"",SUMIFS('Monthly NSE Equity Options'!$L:$L,'Monthly NSE Equity Options'!$C:$C,$A76))</f>
        <v/>
      </c>
      <c r="S76" s="9">
        <f>IF(SUMIFS('Monthly BSE Equity Options'!$L:$L,'Monthly BSE Equity Options'!$C:$C,$A76)=0,"",SUMIFS('Monthly BSE Equity Options'!$L:$L,'Monthly BSE Equity Options'!$C:$C,$A76))</f>
        <v/>
      </c>
      <c r="T76" s="9">
        <f>IF(OR(R76="",S76=""),"",R76+S76)</f>
        <v/>
      </c>
      <c r="U76" s="25">
        <f>IF(T76="","",R76/T76)</f>
        <v/>
      </c>
      <c r="V76" s="25">
        <f>IF(T76="","",S76/T76)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19">
        <f>IF(D77="","",B77/D77)</f>
        <v/>
      </c>
      <c r="F77" s="19">
        <f>IF(D77="","",C77/D77)</f>
        <v/>
      </c>
      <c r="G77" s="26">
        <f>IF(OR(B77="",B73=""),"",B77/B73-1)</f>
        <v/>
      </c>
      <c r="H77" s="19">
        <f>IF(OR(C77="",C73=""),"",C77/C73-1)</f>
        <v/>
      </c>
      <c r="I77" s="19">
        <f>IF(OR(D77="",D73=""),"",D77/D73-1)</f>
        <v/>
      </c>
      <c r="J77" s="19">
        <f>IF(OR(B77="",B76=""),"",B77/B76-1)</f>
        <v/>
      </c>
      <c r="K77" s="19">
        <f>IF(OR(C77="",C76=""),"",C77/C76-1)</f>
        <v/>
      </c>
      <c r="L77" s="19">
        <f>IF(OR(D77="",D76=""),"",D77/D76-1)</f>
        <v/>
      </c>
      <c r="M77" s="22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IF(O77="","",M77/O77)</f>
        <v/>
      </c>
      <c r="Q77" s="23">
        <f>IF(O77="","",N77/O77)</f>
        <v/>
      </c>
      <c r="R77" s="24">
        <f>IF(SUMIFS('Monthly NSE Equity Options'!$L:$L,'Monthly NSE Equity Options'!$C:$C,$A77)=0,"",SUMIFS('Monthly NSE Equity Options'!$L:$L,'Monthly NSE Equity Options'!$C:$C,$A77))</f>
        <v/>
      </c>
      <c r="S77" s="9">
        <f>IF(SUMIFS('Monthly BSE Equity Options'!$L:$L,'Monthly BSE Equity Options'!$C:$C,$A77)=0,"",SUMIFS('Monthly BSE Equity Options'!$L:$L,'Monthly BSE Equity Options'!$C:$C,$A77))</f>
        <v/>
      </c>
      <c r="T77" s="9">
        <f>IF(OR(R77="",S77=""),"",R77+S77)</f>
        <v/>
      </c>
      <c r="U77" s="25">
        <f>IF(T77="","",R77/T77)</f>
        <v/>
      </c>
      <c r="V77" s="25">
        <f>IF(T77="","",S77/T77)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19">
        <f>IF(D78="","",B78/D78)</f>
        <v/>
      </c>
      <c r="F78" s="19">
        <f>IF(D78="","",C78/D78)</f>
        <v/>
      </c>
      <c r="G78" s="26">
        <f>IF(OR(B78="",B74=""),"",B78/B74-1)</f>
        <v/>
      </c>
      <c r="H78" s="19">
        <f>IF(OR(C78="",C74=""),"",C78/C74-1)</f>
        <v/>
      </c>
      <c r="I78" s="19">
        <f>IF(OR(D78="",D74=""),"",D78/D74-1)</f>
        <v/>
      </c>
      <c r="J78" s="19">
        <f>IF(OR(B78="",B77=""),"",B78/B77-1)</f>
        <v/>
      </c>
      <c r="K78" s="19">
        <f>IF(OR(C78="",C77=""),"",C78/C77-1)</f>
        <v/>
      </c>
      <c r="L78" s="19">
        <f>IF(OR(D78="",D77=""),"",D78/D77-1)</f>
        <v/>
      </c>
      <c r="M78" s="22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IF(O78="","",M78/O78)</f>
        <v/>
      </c>
      <c r="Q78" s="23">
        <f>IF(O78="","",N78/O78)</f>
        <v/>
      </c>
      <c r="R78" s="24">
        <f>IF(SUMIFS('Monthly NSE Equity Options'!$L:$L,'Monthly NSE Equity Options'!$C:$C,$A78)=0,"",SUMIFS('Monthly NSE Equity Options'!$L:$L,'Monthly NSE Equity Options'!$C:$C,$A78))</f>
        <v/>
      </c>
      <c r="S78" s="9">
        <f>IF(SUMIFS('Monthly BSE Equity Options'!$L:$L,'Monthly BSE Equity Options'!$C:$C,$A78)=0,"",SUMIFS('Monthly BSE Equity Options'!$L:$L,'Monthly BSE Equity Options'!$C:$C,$A78))</f>
        <v/>
      </c>
      <c r="T78" s="9">
        <f>IF(OR(R78="",S78=""),"",R78+S78)</f>
        <v/>
      </c>
      <c r="U78" s="25">
        <f>IF(T78="","",R78/T78)</f>
        <v/>
      </c>
      <c r="V78" s="25">
        <f>IF(T78="","",S78/T78)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19">
        <f>IF(D79="","",B79/D79)</f>
        <v/>
      </c>
      <c r="F79" s="19">
        <f>IF(D79="","",C79/D79)</f>
        <v/>
      </c>
      <c r="G79" s="26">
        <f>IF(OR(B79="",B75=""),"",B79/B75-1)</f>
        <v/>
      </c>
      <c r="H79" s="19">
        <f>IF(OR(C79="",C75=""),"",C79/C75-1)</f>
        <v/>
      </c>
      <c r="I79" s="19">
        <f>IF(OR(D79="",D75=""),"",D79/D75-1)</f>
        <v/>
      </c>
      <c r="J79" s="19">
        <f>IF(OR(B79="",B78=""),"",B79/B78-1)</f>
        <v/>
      </c>
      <c r="K79" s="19">
        <f>IF(OR(C79="",C78=""),"",C79/C78-1)</f>
        <v/>
      </c>
      <c r="L79" s="19">
        <f>IF(OR(D79="",D78=""),"",D79/D78-1)</f>
        <v/>
      </c>
      <c r="M79" s="22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IF(O79="","",M79/O79)</f>
        <v/>
      </c>
      <c r="Q79" s="23">
        <f>IF(O79="","",N79/O79)</f>
        <v/>
      </c>
      <c r="R79" s="24">
        <f>IF(SUMIFS('Monthly NSE Equity Options'!$L:$L,'Monthly NSE Equity Options'!$C:$C,$A79)=0,"",SUMIFS('Monthly NSE Equity Options'!$L:$L,'Monthly NSE Equity Options'!$C:$C,$A79))</f>
        <v/>
      </c>
      <c r="S79" s="9">
        <f>IF(SUMIFS('Monthly BSE Equity Options'!$L:$L,'Monthly BSE Equity Options'!$C:$C,$A79)=0,"",SUMIFS('Monthly BSE Equity Options'!$L:$L,'Monthly BSE Equity Options'!$C:$C,$A79))</f>
        <v/>
      </c>
      <c r="T79" s="9">
        <f>IF(OR(R79="",S79=""),"",R79+S79)</f>
        <v/>
      </c>
      <c r="U79" s="25">
        <f>IF(T79="","",R79/T79)</f>
        <v/>
      </c>
      <c r="V79" s="25">
        <f>IF(T79="","",S79/T79)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19">
        <f>IF(D80="","",B80/D80)</f>
        <v/>
      </c>
      <c r="F80" s="19">
        <f>IF(D80="","",C80/D80)</f>
        <v/>
      </c>
      <c r="G80" s="26">
        <f>IF(OR(B80="",B76=""),"",B80/B76-1)</f>
        <v/>
      </c>
      <c r="H80" s="19">
        <f>IF(OR(C80="",C76=""),"",C80/C76-1)</f>
        <v/>
      </c>
      <c r="I80" s="19">
        <f>IF(OR(D80="",D76=""),"",D80/D76-1)</f>
        <v/>
      </c>
      <c r="J80" s="19">
        <f>IF(OR(B80="",B79=""),"",B80/B79-1)</f>
        <v/>
      </c>
      <c r="K80" s="19">
        <f>IF(OR(C80="",C79=""),"",C80/C79-1)</f>
        <v/>
      </c>
      <c r="L80" s="19">
        <f>IF(OR(D80="",D79=""),"",D80/D79-1)</f>
        <v/>
      </c>
      <c r="M80" s="22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IF(O80="","",M80/O80)</f>
        <v/>
      </c>
      <c r="Q80" s="23">
        <f>IF(O80="","",N80/O80)</f>
        <v/>
      </c>
      <c r="R80" s="24">
        <f>IF(SUMIFS('Monthly NSE Equity Options'!$L:$L,'Monthly NSE Equity Options'!$C:$C,$A80)=0,"",SUMIFS('Monthly NSE Equity Options'!$L:$L,'Monthly NSE Equity Options'!$C:$C,$A80))</f>
        <v/>
      </c>
      <c r="S80" s="9">
        <f>IF(SUMIFS('Monthly BSE Equity Options'!$L:$L,'Monthly BSE Equity Options'!$C:$C,$A80)=0,"",SUMIFS('Monthly BSE Equity Options'!$L:$L,'Monthly BSE Equity Options'!$C:$C,$A80))</f>
        <v/>
      </c>
      <c r="T80" s="9">
        <f>IF(OR(R80="",S80=""),"",R80+S80)</f>
        <v/>
      </c>
      <c r="U80" s="25">
        <f>IF(T80="","",R80/T80)</f>
        <v/>
      </c>
      <c r="V80" s="25">
        <f>IF(T80="","",S80/T80)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19">
        <f>IF(D81="","",B81/D81)</f>
        <v/>
      </c>
      <c r="F81" s="19">
        <f>IF(D81="","",C81/D81)</f>
        <v/>
      </c>
      <c r="G81" s="26">
        <f>IF(OR(B81="",B77=""),"",B81/B77-1)</f>
        <v/>
      </c>
      <c r="H81" s="19">
        <f>IF(OR(C81="",C77=""),"",C81/C77-1)</f>
        <v/>
      </c>
      <c r="I81" s="19">
        <f>IF(OR(D81="",D77=""),"",D81/D77-1)</f>
        <v/>
      </c>
      <c r="J81" s="19">
        <f>IF(OR(B81="",B80=""),"",B81/B80-1)</f>
        <v/>
      </c>
      <c r="K81" s="19">
        <f>IF(OR(C81="",C80=""),"",C81/C80-1)</f>
        <v/>
      </c>
      <c r="L81" s="19">
        <f>IF(OR(D81="",D80=""),"",D81/D80-1)</f>
        <v/>
      </c>
      <c r="M81" s="22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IF(O81="","",M81/O81)</f>
        <v/>
      </c>
      <c r="Q81" s="23">
        <f>IF(O81="","",N81/O81)</f>
        <v/>
      </c>
      <c r="R81" s="24">
        <f>IF(SUMIFS('Monthly NSE Equity Options'!$L:$L,'Monthly NSE Equity Options'!$C:$C,$A81)=0,"",SUMIFS('Monthly NSE Equity Options'!$L:$L,'Monthly NSE Equity Options'!$C:$C,$A81))</f>
        <v/>
      </c>
      <c r="S81" s="9">
        <f>IF(SUMIFS('Monthly BSE Equity Options'!$L:$L,'Monthly BSE Equity Options'!$C:$C,$A81)=0,"",SUMIFS('Monthly BSE Equity Options'!$L:$L,'Monthly BSE Equity Options'!$C:$C,$A81))</f>
        <v/>
      </c>
      <c r="T81" s="9">
        <f>IF(OR(R81="",S81=""),"",R81+S81)</f>
        <v/>
      </c>
      <c r="U81" s="25">
        <f>IF(T81="","",R81/T81)</f>
        <v/>
      </c>
      <c r="V81" s="25">
        <f>IF(T81="","",S81/T81)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19">
        <f>IF(D82="","",B82/D82)</f>
        <v/>
      </c>
      <c r="F82" s="19">
        <f>IF(D82="","",C82/D82)</f>
        <v/>
      </c>
      <c r="G82" s="26">
        <f>IF(OR(B82="",B78=""),"",B82/B78-1)</f>
        <v/>
      </c>
      <c r="H82" s="19">
        <f>IF(OR(C82="",C78=""),"",C82/C78-1)</f>
        <v/>
      </c>
      <c r="I82" s="19">
        <f>IF(OR(D82="",D78=""),"",D82/D78-1)</f>
        <v/>
      </c>
      <c r="J82" s="19">
        <f>IF(OR(B82="",B81=""),"",B82/B81-1)</f>
        <v/>
      </c>
      <c r="K82" s="19">
        <f>IF(OR(C82="",C81=""),"",C82/C81-1)</f>
        <v/>
      </c>
      <c r="L82" s="19">
        <f>IF(OR(D82="",D81=""),"",D82/D81-1)</f>
        <v/>
      </c>
      <c r="M82" s="22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IF(O82="","",M82/O82)</f>
        <v/>
      </c>
      <c r="Q82" s="23">
        <f>IF(O82="","",N82/O82)</f>
        <v/>
      </c>
      <c r="R82" s="24">
        <f>IF(SUMIFS('Monthly NSE Equity Options'!$L:$L,'Monthly NSE Equity Options'!$C:$C,$A82)=0,"",SUMIFS('Monthly NSE Equity Options'!$L:$L,'Monthly NSE Equity Options'!$C:$C,$A82))</f>
        <v/>
      </c>
      <c r="S82" s="9">
        <f>IF(SUMIFS('Monthly BSE Equity Options'!$L:$L,'Monthly BSE Equity Options'!$C:$C,$A82)=0,"",SUMIFS('Monthly BSE Equity Options'!$L:$L,'Monthly BSE Equity Options'!$C:$C,$A82))</f>
        <v/>
      </c>
      <c r="T82" s="9">
        <f>IF(OR(R82="",S82=""),"",R82+S82)</f>
        <v/>
      </c>
      <c r="U82" s="25">
        <f>IF(T82="","",R82/T82)</f>
        <v/>
      </c>
      <c r="V82" s="25">
        <f>IF(T82="","",S82/T82)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19">
        <f>IF(D83="","",B83/D83)</f>
        <v/>
      </c>
      <c r="F83" s="19">
        <f>IF(D83="","",C83/D83)</f>
        <v/>
      </c>
      <c r="G83" s="26">
        <f>IF(OR(B83="",B79=""),"",B83/B79-1)</f>
        <v/>
      </c>
      <c r="H83" s="19">
        <f>IF(OR(C83="",C79=""),"",C83/C79-1)</f>
        <v/>
      </c>
      <c r="I83" s="19">
        <f>IF(OR(D83="",D79=""),"",D83/D79-1)</f>
        <v/>
      </c>
      <c r="J83" s="19">
        <f>IF(OR(B83="",B82=""),"",B83/B82-1)</f>
        <v/>
      </c>
      <c r="K83" s="19">
        <f>IF(OR(C83="",C82=""),"",C83/C82-1)</f>
        <v/>
      </c>
      <c r="L83" s="19">
        <f>IF(OR(D83="",D82=""),"",D83/D82-1)</f>
        <v/>
      </c>
      <c r="M83" s="22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IF(O83="","",M83/O83)</f>
        <v/>
      </c>
      <c r="Q83" s="23">
        <f>IF(O83="","",N83/O83)</f>
        <v/>
      </c>
      <c r="R83" s="24">
        <f>IF(SUMIFS('Monthly NSE Equity Options'!$L:$L,'Monthly NSE Equity Options'!$C:$C,$A83)=0,"",SUMIFS('Monthly NSE Equity Options'!$L:$L,'Monthly NSE Equity Options'!$C:$C,$A83))</f>
        <v/>
      </c>
      <c r="S83" s="9">
        <f>IF(SUMIFS('Monthly BSE Equity Options'!$L:$L,'Monthly BSE Equity Options'!$C:$C,$A83)=0,"",SUMIFS('Monthly BSE Equity Options'!$L:$L,'Monthly BSE Equity Options'!$C:$C,$A83))</f>
        <v/>
      </c>
      <c r="T83" s="9">
        <f>IF(OR(R83="",S83=""),"",R83+S83)</f>
        <v/>
      </c>
      <c r="U83" s="25">
        <f>IF(T83="","",R83/T83)</f>
        <v/>
      </c>
      <c r="V83" s="25">
        <f>IF(T83="","",S83/T83)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19">
        <f>IF(D84="","",B84/D84)</f>
        <v/>
      </c>
      <c r="F84" s="19">
        <f>IF(D84="","",C84/D84)</f>
        <v/>
      </c>
      <c r="G84" s="26">
        <f>IF(OR(B84="",B80=""),"",B84/B80-1)</f>
        <v/>
      </c>
      <c r="H84" s="19">
        <f>IF(OR(C84="",C80=""),"",C84/C80-1)</f>
        <v/>
      </c>
      <c r="I84" s="19">
        <f>IF(OR(D84="",D80=""),"",D84/D80-1)</f>
        <v/>
      </c>
      <c r="J84" s="19">
        <f>IF(OR(B84="",B83=""),"",B84/B83-1)</f>
        <v/>
      </c>
      <c r="K84" s="19">
        <f>IF(OR(C84="",C83=""),"",C84/C83-1)</f>
        <v/>
      </c>
      <c r="L84" s="19">
        <f>IF(OR(D84="",D83=""),"",D84/D83-1)</f>
        <v/>
      </c>
      <c r="M84" s="22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IF(O84="","",M84/O84)</f>
        <v/>
      </c>
      <c r="Q84" s="23">
        <f>IF(O84="","",N84/O84)</f>
        <v/>
      </c>
      <c r="R84" s="24">
        <f>IF(SUMIFS('Monthly NSE Equity Options'!$L:$L,'Monthly NSE Equity Options'!$C:$C,$A84)=0,"",SUMIFS('Monthly NSE Equity Options'!$L:$L,'Monthly NSE Equity Options'!$C:$C,$A84))</f>
        <v/>
      </c>
      <c r="S84" s="9">
        <f>IF(SUMIFS('Monthly BSE Equity Options'!$L:$L,'Monthly BSE Equity Options'!$C:$C,$A84)=0,"",SUMIFS('Monthly BSE Equity Options'!$L:$L,'Monthly BSE Equity Options'!$C:$C,$A84))</f>
        <v/>
      </c>
      <c r="T84" s="9">
        <f>IF(OR(R84="",S84=""),"",R84+S84)</f>
        <v/>
      </c>
      <c r="U84" s="25">
        <f>IF(T84="","",R84/T84)</f>
        <v/>
      </c>
      <c r="V84" s="25">
        <f>IF(T84="","",S84/T84)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19">
        <f>IF(D85="","",B85/D85)</f>
        <v/>
      </c>
      <c r="F85" s="19">
        <f>IF(D85="","",C85/D85)</f>
        <v/>
      </c>
      <c r="G85" s="26">
        <f>IF(OR(B85="",B81=""),"",B85/B81-1)</f>
        <v/>
      </c>
      <c r="H85" s="19">
        <f>IF(OR(C85="",C81=""),"",C85/C81-1)</f>
        <v/>
      </c>
      <c r="I85" s="19">
        <f>IF(OR(D85="",D81=""),"",D85/D81-1)</f>
        <v/>
      </c>
      <c r="J85" s="19">
        <f>IF(OR(B85="",B84=""),"",B85/B84-1)</f>
        <v/>
      </c>
      <c r="K85" s="19">
        <f>IF(OR(C85="",C84=""),"",C85/C84-1)</f>
        <v/>
      </c>
      <c r="L85" s="19">
        <f>IF(OR(D85="",D84=""),"",D85/D84-1)</f>
        <v/>
      </c>
      <c r="M85" s="22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IF(O85="","",M85/O85)</f>
        <v/>
      </c>
      <c r="Q85" s="23">
        <f>IF(O85="","",N85/O85)</f>
        <v/>
      </c>
      <c r="R85" s="24">
        <f>IF(SUMIFS('Monthly NSE Equity Options'!$L:$L,'Monthly NSE Equity Options'!$C:$C,$A85)=0,"",SUMIFS('Monthly NSE Equity Options'!$L:$L,'Monthly NSE Equity Options'!$C:$C,$A85))</f>
        <v/>
      </c>
      <c r="S85" s="9">
        <f>IF(SUMIFS('Monthly BSE Equity Options'!$L:$L,'Monthly BSE Equity Options'!$C:$C,$A85)=0,"",SUMIFS('Monthly BSE Equity Options'!$L:$L,'Monthly BSE Equity Options'!$C:$C,$A85))</f>
        <v/>
      </c>
      <c r="T85" s="9">
        <f>IF(OR(R85="",S85=""),"",R85+S85)</f>
        <v/>
      </c>
      <c r="U85" s="25">
        <f>IF(T85="","",R85/T85)</f>
        <v/>
      </c>
      <c r="V85" s="25">
        <f>IF(T85="","",S85/T85)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19">
        <f>IF(D86="","",B86/D86)</f>
        <v/>
      </c>
      <c r="F86" s="19">
        <f>IF(D86="","",C86/D86)</f>
        <v/>
      </c>
      <c r="G86" s="26">
        <f>IF(OR(B86="",B82=""),"",B86/B82-1)</f>
        <v/>
      </c>
      <c r="H86" s="19">
        <f>IF(OR(C86="",C82=""),"",C86/C82-1)</f>
        <v/>
      </c>
      <c r="I86" s="19">
        <f>IF(OR(D86="",D82=""),"",D86/D82-1)</f>
        <v/>
      </c>
      <c r="J86" s="19">
        <f>IF(OR(B86="",B85=""),"",B86/B85-1)</f>
        <v/>
      </c>
      <c r="K86" s="19">
        <f>IF(OR(C86="",C85=""),"",C86/C85-1)</f>
        <v/>
      </c>
      <c r="L86" s="19">
        <f>IF(OR(D86="",D85=""),"",D86/D85-1)</f>
        <v/>
      </c>
      <c r="M86" s="22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IF(O86="","",M86/O86)</f>
        <v/>
      </c>
      <c r="Q86" s="23">
        <f>IF(O86="","",N86/O86)</f>
        <v/>
      </c>
      <c r="R86" s="24">
        <f>IF(SUMIFS('Monthly NSE Equity Options'!$L:$L,'Monthly NSE Equity Options'!$C:$C,$A86)=0,"",SUMIFS('Monthly NSE Equity Options'!$L:$L,'Monthly NSE Equity Options'!$C:$C,$A86))</f>
        <v/>
      </c>
      <c r="S86" s="9">
        <f>IF(SUMIFS('Monthly BSE Equity Options'!$L:$L,'Monthly BSE Equity Options'!$C:$C,$A86)=0,"",SUMIFS('Monthly BSE Equity Options'!$L:$L,'Monthly BSE Equity Options'!$C:$C,$A86))</f>
        <v/>
      </c>
      <c r="T86" s="9">
        <f>IF(OR(R86="",S86=""),"",R86+S86)</f>
        <v/>
      </c>
      <c r="U86" s="25">
        <f>IF(T86="","",R86/T86)</f>
        <v/>
      </c>
      <c r="V86" s="25">
        <f>IF(T86="","",S86/T86)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19">
        <f>IF(D87="","",B87/D87)</f>
        <v/>
      </c>
      <c r="F87" s="19">
        <f>IF(D87="","",C87/D87)</f>
        <v/>
      </c>
      <c r="G87" s="26">
        <f>IF(OR(B87="",B83=""),"",B87/B83-1)</f>
        <v/>
      </c>
      <c r="H87" s="19">
        <f>IF(OR(C87="",C83=""),"",C87/C83-1)</f>
        <v/>
      </c>
      <c r="I87" s="19">
        <f>IF(OR(D87="",D83=""),"",D87/D83-1)</f>
        <v/>
      </c>
      <c r="J87" s="19">
        <f>IF(OR(B87="",B86=""),"",B87/B86-1)</f>
        <v/>
      </c>
      <c r="K87" s="19">
        <f>IF(OR(C87="",C86=""),"",C87/C86-1)</f>
        <v/>
      </c>
      <c r="L87" s="19">
        <f>IF(OR(D87="",D86=""),"",D87/D86-1)</f>
        <v/>
      </c>
      <c r="M87" s="22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IF(O87="","",M87/O87)</f>
        <v/>
      </c>
      <c r="Q87" s="23">
        <f>IF(O87="","",N87/O87)</f>
        <v/>
      </c>
      <c r="R87" s="24">
        <f>IF(SUMIFS('Monthly NSE Equity Options'!$L:$L,'Monthly NSE Equity Options'!$C:$C,$A87)=0,"",SUMIFS('Monthly NSE Equity Options'!$L:$L,'Monthly NSE Equity Options'!$C:$C,$A87))</f>
        <v/>
      </c>
      <c r="S87" s="9">
        <f>IF(SUMIFS('Monthly BSE Equity Options'!$L:$L,'Monthly BSE Equity Options'!$C:$C,$A87)=0,"",SUMIFS('Monthly BSE Equity Options'!$L:$L,'Monthly BSE Equity Options'!$C:$C,$A87))</f>
        <v/>
      </c>
      <c r="T87" s="9">
        <f>IF(OR(R87="",S87=""),"",R87+S87)</f>
        <v/>
      </c>
      <c r="U87" s="25">
        <f>IF(T87="","",R87/T87)</f>
        <v/>
      </c>
      <c r="V87" s="25">
        <f>IF(T87="","",S87/T87)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19">
        <f>IF(D88="","",B88/D88)</f>
        <v/>
      </c>
      <c r="F88" s="19">
        <f>IF(D88="","",C88/D88)</f>
        <v/>
      </c>
      <c r="G88" s="26">
        <f>IF(OR(B88="",B84=""),"",B88/B84-1)</f>
        <v/>
      </c>
      <c r="H88" s="19">
        <f>IF(OR(C88="",C84=""),"",C88/C84-1)</f>
        <v/>
      </c>
      <c r="I88" s="19">
        <f>IF(OR(D88="",D84=""),"",D88/D84-1)</f>
        <v/>
      </c>
      <c r="J88" s="19">
        <f>IF(OR(B88="",B87=""),"",B88/B87-1)</f>
        <v/>
      </c>
      <c r="K88" s="19">
        <f>IF(OR(C88="",C87=""),"",C88/C87-1)</f>
        <v/>
      </c>
      <c r="L88" s="19">
        <f>IF(OR(D88="",D87=""),"",D88/D87-1)</f>
        <v/>
      </c>
      <c r="M88" s="22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IF(O88="","",M88/O88)</f>
        <v/>
      </c>
      <c r="Q88" s="23">
        <f>IF(O88="","",N88/O88)</f>
        <v/>
      </c>
      <c r="R88" s="24">
        <f>IF(SUMIFS('Monthly NSE Equity Options'!$L:$L,'Monthly NSE Equity Options'!$C:$C,$A88)=0,"",SUMIFS('Monthly NSE Equity Options'!$L:$L,'Monthly NSE Equity Options'!$C:$C,$A88))</f>
        <v/>
      </c>
      <c r="S88" s="9">
        <f>IF(SUMIFS('Monthly BSE Equity Options'!$L:$L,'Monthly BSE Equity Options'!$C:$C,$A88)=0,"",SUMIFS('Monthly BSE Equity Options'!$L:$L,'Monthly BSE Equity Options'!$C:$C,$A88))</f>
        <v/>
      </c>
      <c r="T88" s="9">
        <f>IF(OR(R88="",S88=""),"",R88+S88)</f>
        <v/>
      </c>
      <c r="U88" s="25">
        <f>IF(T88="","",R88/T88)</f>
        <v/>
      </c>
      <c r="V88" s="25">
        <f>IF(T88="","",S88/T88)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19">
        <f>IF(D89="","",B89/D89)</f>
        <v/>
      </c>
      <c r="F89" s="19">
        <f>IF(D89="","",C89/D89)</f>
        <v/>
      </c>
      <c r="G89" s="26">
        <f>IF(OR(B89="",B85=""),"",B89/B85-1)</f>
        <v/>
      </c>
      <c r="H89" s="19">
        <f>IF(OR(C89="",C85=""),"",C89/C85-1)</f>
        <v/>
      </c>
      <c r="I89" s="19">
        <f>IF(OR(D89="",D85=""),"",D89/D85-1)</f>
        <v/>
      </c>
      <c r="J89" s="19">
        <f>IF(OR(B89="",B88=""),"",B89/B88-1)</f>
        <v/>
      </c>
      <c r="K89" s="19">
        <f>IF(OR(C89="",C88=""),"",C89/C88-1)</f>
        <v/>
      </c>
      <c r="L89" s="19">
        <f>IF(OR(D89="",D88=""),"",D89/D88-1)</f>
        <v/>
      </c>
      <c r="M89" s="22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IF(O89="","",M89/O89)</f>
        <v/>
      </c>
      <c r="Q89" s="23">
        <f>IF(O89="","",N89/O89)</f>
        <v/>
      </c>
      <c r="R89" s="24">
        <f>IF(SUMIFS('Monthly NSE Equity Options'!$L:$L,'Monthly NSE Equity Options'!$C:$C,$A89)=0,"",SUMIFS('Monthly NSE Equity Options'!$L:$L,'Monthly NSE Equity Options'!$C:$C,$A89))</f>
        <v/>
      </c>
      <c r="S89" s="9">
        <f>IF(SUMIFS('Monthly BSE Equity Options'!$L:$L,'Monthly BSE Equity Options'!$C:$C,$A89)=0,"",SUMIFS('Monthly BSE Equity Options'!$L:$L,'Monthly BSE Equity Options'!$C:$C,$A89))</f>
        <v/>
      </c>
      <c r="T89" s="9">
        <f>IF(OR(R89="",S89=""),"",R89+S89)</f>
        <v/>
      </c>
      <c r="U89" s="25">
        <f>IF(T89="","",R89/T89)</f>
        <v/>
      </c>
      <c r="V89" s="25">
        <f>IF(T89="","",S89/T89)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19">
        <f>IF(D90="","",B90/D90)</f>
        <v/>
      </c>
      <c r="F90" s="19">
        <f>IF(D90="","",C90/D90)</f>
        <v/>
      </c>
      <c r="G90" s="26">
        <f>IF(OR(B90="",B86=""),"",B90/B86-1)</f>
        <v/>
      </c>
      <c r="H90" s="19">
        <f>IF(OR(C90="",C86=""),"",C90/C86-1)</f>
        <v/>
      </c>
      <c r="I90" s="19">
        <f>IF(OR(D90="",D86=""),"",D90/D86-1)</f>
        <v/>
      </c>
      <c r="J90" s="19">
        <f>IF(OR(B90="",B89=""),"",B90/B89-1)</f>
        <v/>
      </c>
      <c r="K90" s="19">
        <f>IF(OR(C90="",C89=""),"",C90/C89-1)</f>
        <v/>
      </c>
      <c r="L90" s="19">
        <f>IF(OR(D90="",D89=""),"",D90/D89-1)</f>
        <v/>
      </c>
      <c r="M90" s="22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IF(O90="","",M90/O90)</f>
        <v/>
      </c>
      <c r="Q90" s="23">
        <f>IF(O90="","",N90/O90)</f>
        <v/>
      </c>
      <c r="R90" s="24">
        <f>IF(SUMIFS('Monthly NSE Equity Options'!$L:$L,'Monthly NSE Equity Options'!$C:$C,$A90)=0,"",SUMIFS('Monthly NSE Equity Options'!$L:$L,'Monthly NSE Equity Options'!$C:$C,$A90))</f>
        <v/>
      </c>
      <c r="S90" s="9">
        <f>IF(SUMIFS('Monthly BSE Equity Options'!$L:$L,'Monthly BSE Equity Options'!$C:$C,$A90)=0,"",SUMIFS('Monthly BSE Equity Options'!$L:$L,'Monthly BSE Equity Options'!$C:$C,$A90))</f>
        <v/>
      </c>
      <c r="T90" s="9">
        <f>IF(OR(R90="",S90=""),"",R90+S90)</f>
        <v/>
      </c>
      <c r="U90" s="25">
        <f>IF(T90="","",R90/T90)</f>
        <v/>
      </c>
      <c r="V90" s="25">
        <f>IF(T90="","",S90/T90)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19">
        <f>IF(D91="","",B91/D91)</f>
        <v/>
      </c>
      <c r="F91" s="19">
        <f>IF(D91="","",C91/D91)</f>
        <v/>
      </c>
      <c r="G91" s="26">
        <f>IF(OR(B91="",B87=""),"",B91/B87-1)</f>
        <v/>
      </c>
      <c r="H91" s="19">
        <f>IF(OR(C91="",C87=""),"",C91/C87-1)</f>
        <v/>
      </c>
      <c r="I91" s="19">
        <f>IF(OR(D91="",D87=""),"",D91/D87-1)</f>
        <v/>
      </c>
      <c r="J91" s="19">
        <f>IF(OR(B91="",B90=""),"",B91/B90-1)</f>
        <v/>
      </c>
      <c r="K91" s="19">
        <f>IF(OR(C91="",C90=""),"",C91/C90-1)</f>
        <v/>
      </c>
      <c r="L91" s="19">
        <f>IF(OR(D91="",D90=""),"",D91/D90-1)</f>
        <v/>
      </c>
      <c r="M91" s="22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IF(O91="","",M91/O91)</f>
        <v/>
      </c>
      <c r="Q91" s="23">
        <f>IF(O91="","",N91/O91)</f>
        <v/>
      </c>
      <c r="R91" s="24">
        <f>IF(SUMIFS('Monthly NSE Equity Options'!$L:$L,'Monthly NSE Equity Options'!$C:$C,$A91)=0,"",SUMIFS('Monthly NSE Equity Options'!$L:$L,'Monthly NSE Equity Options'!$C:$C,$A91))</f>
        <v/>
      </c>
      <c r="S91" s="9">
        <f>IF(SUMIFS('Monthly BSE Equity Options'!$L:$L,'Monthly BSE Equity Options'!$C:$C,$A91)=0,"",SUMIFS('Monthly BSE Equity Options'!$L:$L,'Monthly BSE Equity Options'!$C:$C,$A91))</f>
        <v/>
      </c>
      <c r="T91" s="9">
        <f>IF(OR(R91="",S91=""),"",R91+S91)</f>
        <v/>
      </c>
      <c r="U91" s="25">
        <f>IF(T91="","",R91/T91)</f>
        <v/>
      </c>
      <c r="V91" s="25">
        <f>IF(T91="","",S91/T91)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19">
        <f>IF(D92="","",B92/D92)</f>
        <v/>
      </c>
      <c r="F92" s="19">
        <f>IF(D92="","",C92/D92)</f>
        <v/>
      </c>
      <c r="G92" s="26">
        <f>IF(OR(B92="",B88=""),"",B92/B88-1)</f>
        <v/>
      </c>
      <c r="H92" s="19">
        <f>IF(OR(C92="",C88=""),"",C92/C88-1)</f>
        <v/>
      </c>
      <c r="I92" s="19">
        <f>IF(OR(D92="",D88=""),"",D92/D88-1)</f>
        <v/>
      </c>
      <c r="J92" s="19">
        <f>IF(OR(B92="",B91=""),"",B92/B91-1)</f>
        <v/>
      </c>
      <c r="K92" s="19">
        <f>IF(OR(C92="",C91=""),"",C92/C91-1)</f>
        <v/>
      </c>
      <c r="L92" s="19">
        <f>IF(OR(D92="",D91=""),"",D92/D91-1)</f>
        <v/>
      </c>
      <c r="M92" s="22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IF(O92="","",M92/O92)</f>
        <v/>
      </c>
      <c r="Q92" s="23">
        <f>IF(O92="","",N92/O92)</f>
        <v/>
      </c>
      <c r="R92" s="24">
        <f>IF(SUMIFS('Monthly NSE Equity Options'!$L:$L,'Monthly NSE Equity Options'!$C:$C,$A92)=0,"",SUMIFS('Monthly NSE Equity Options'!$L:$L,'Monthly NSE Equity Options'!$C:$C,$A92))</f>
        <v/>
      </c>
      <c r="S92" s="9">
        <f>IF(SUMIFS('Monthly BSE Equity Options'!$L:$L,'Monthly BSE Equity Options'!$C:$C,$A92)=0,"",SUMIFS('Monthly BSE Equity Options'!$L:$L,'Monthly BSE Equity Options'!$C:$C,$A92))</f>
        <v/>
      </c>
      <c r="T92" s="9">
        <f>IF(OR(R92="",S92=""),"",R92+S92)</f>
        <v/>
      </c>
      <c r="U92" s="25">
        <f>IF(T92="","",R92/T92)</f>
        <v/>
      </c>
      <c r="V92" s="25">
        <f>IF(T92="","",S92/T92)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E97" s="2" t="inlineStr">
        <is>
          <t>NSE Premium Market Share</t>
        </is>
      </c>
      <c r="F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P97" s="3" t="inlineStr">
        <is>
          <t>NSE Notional Market Share</t>
        </is>
      </c>
      <c r="Q97" s="3" t="inlineStr">
        <is>
          <t>BSE Notional Market Share</t>
        </is>
      </c>
      <c r="R97" s="4" t="inlineStr">
        <is>
          <t>NSE No. of Contracts</t>
        </is>
      </c>
      <c r="S97" s="4" t="inlineStr">
        <is>
          <t>BSE No. of Contracts</t>
        </is>
      </c>
      <c r="T97" s="4" t="inlineStr">
        <is>
          <t>Total No. of Contracts</t>
        </is>
      </c>
      <c r="U97" s="4" t="inlineStr">
        <is>
          <t>NSE Contracts Market Share</t>
        </is>
      </c>
      <c r="V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E98" s="19">
        <f>IF(D98=0,"",B98/D98)</f>
        <v/>
      </c>
      <c r="F98" s="19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P98" s="23">
        <f>IF(O98=0,"",M98/O98)</f>
        <v/>
      </c>
      <c r="Q98" s="23">
        <f>IF(O98=0,"",N98/O98)</f>
        <v/>
      </c>
      <c r="R98" s="9">
        <f>SUMIFS('Daily NSE Equity Options'!$M:$M,'Daily NSE Equity Options'!$A:$A,"&gt;="&amp;$B$96,'Daily NSE Equity Options'!$A:$A,"&lt;="&amp;$C$96)</f>
        <v/>
      </c>
      <c r="S98" s="9">
        <f>SUMIFS('Daily BSE Equity Options'!$M:$M,'Daily BSE Equity Options'!$A:$A,"&gt;="&amp;$B$96,'Daily BSE Equity Options'!$A:$A,"&lt;="&amp;$C$96)</f>
        <v/>
      </c>
      <c r="T98" s="9">
        <f>R98+S98</f>
        <v/>
      </c>
      <c r="U98" s="25">
        <f>IF(T98=0,"",R98/T98)</f>
        <v/>
      </c>
      <c r="V98" s="25">
        <f>IF(T98=0,"",S98/T98)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E99" s="19">
        <f>IF(D99=0,"",B99/D99)</f>
        <v/>
      </c>
      <c r="F99" s="19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P99" s="23">
        <f>IF(O99=0,"",M99/O99)</f>
        <v/>
      </c>
      <c r="Q99" s="23">
        <f>IF(O99=0,"",N99/O99)</f>
        <v/>
      </c>
      <c r="R99" s="9">
        <f>SUMIFS('Daily NSE Equity Options'!$M:$M,'Daily NSE Equity Options'!$A:$A,"&gt;="&amp;DATE(2026,7,1))</f>
        <v/>
      </c>
      <c r="S99" s="9">
        <f>SUMIFS('Daily BSE Equity Options'!$M:$M,'Daily BSE Equity Options'!$A:$A,"&gt;="&amp;DATE(2026,7,1))</f>
        <v/>
      </c>
      <c r="T99" s="9">
        <f>R99+S99</f>
        <v/>
      </c>
      <c r="U99" s="25">
        <f>IF(T99=0,"",R99/T99)</f>
        <v/>
      </c>
      <c r="V99" s="25">
        <f>IF(T99=0,"",S99/T99)</f>
        <v/>
      </c>
    </row>
    <row r="100">
      <c r="A100" s="1" t="inlineStr">
        <is>
          <t>QTD Growth (Q2FY27 vs Q2FY26)</t>
        </is>
      </c>
      <c r="B100" s="19">
        <f>IF(OR(B98=0,B98=""),"",B99/B98-1)</f>
        <v/>
      </c>
      <c r="C100" s="19">
        <f>IF(OR(C98=0,C98=""),"",C99/C98-1)</f>
        <v/>
      </c>
      <c r="D100" s="19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R100" s="25">
        <f>IF(OR(R98=0,R98=""),"",R99/R98-1)</f>
        <v/>
      </c>
      <c r="S100" s="25">
        <f>IF(OR(S98=0,S98=""),"",S99/S98-1)</f>
        <v/>
      </c>
      <c r="T100" s="25">
        <f>IF(OR(T98=0,T98=""),"",T99/T98-1)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24" customWidth="1" min="16" max="16"/>
    <col width="24" customWidth="1" min="17" max="17"/>
    <col width="16" customWidth="1" min="18" max="18"/>
    <col width="16" customWidth="1" min="19" max="19"/>
    <col width="24" customWidth="1" min="20" max="20"/>
    <col width="24" customWidth="1" min="21" max="21"/>
    <col width="24" customWidth="1" min="22" max="22"/>
    <col width="16" customWidth="1" min="23" max="23"/>
    <col width="16" customWidth="1" min="24" max="2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Market Share</t>
        </is>
      </c>
      <c r="H1" s="2" t="inlineStr">
        <is>
          <t>BSE Premium Market Share</t>
        </is>
      </c>
      <c r="I1" s="15" t="inlineStr">
        <is>
          <t>NSE Premium YoY Growth</t>
        </is>
      </c>
      <c r="J1" s="2" t="inlineStr">
        <is>
          <t>BSE Premium YoY Growth</t>
        </is>
      </c>
      <c r="K1" s="2" t="inlineStr">
        <is>
          <t>Total Premium YoY Growth</t>
        </is>
      </c>
      <c r="L1" s="2" t="inlineStr">
        <is>
          <t>NSE Premium MoM Growth</t>
        </is>
      </c>
      <c r="M1" s="2" t="inlineStr">
        <is>
          <t>BSE Premium MoM Growth</t>
        </is>
      </c>
      <c r="N1" s="2" t="inlineStr">
        <is>
          <t>Total Premium MoM Growth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Market Share</t>
        </is>
      </c>
      <c r="S1" s="3" t="inlineStr">
        <is>
          <t>BSE Notional Market Share</t>
        </is>
      </c>
      <c r="T1" s="17" t="inlineStr">
        <is>
          <t>NSE No. of Contracts</t>
        </is>
      </c>
      <c r="U1" s="4" t="inlineStr">
        <is>
          <t>BSE No. of Contracts</t>
        </is>
      </c>
      <c r="V1" s="4" t="inlineStr">
        <is>
          <t>Total No. of Contracts</t>
        </is>
      </c>
      <c r="W1" s="4" t="inlineStr">
        <is>
          <t>NSE Contracts Market Share</t>
        </is>
      </c>
      <c r="X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>
        <f>IF(F2="","",D2/F2)</f>
        <v/>
      </c>
      <c r="H2" s="19">
        <f>IF(F2="","",E2/F2)</f>
        <v/>
      </c>
      <c r="I2" s="20" t="n"/>
      <c r="J2" s="21" t="n"/>
      <c r="K2" s="21" t="n"/>
      <c r="L2" s="21" t="n"/>
      <c r="M2" s="21" t="n"/>
      <c r="N2" s="21" t="n"/>
      <c r="O2" s="22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3">
        <f>IF(Q2="","",O2/Q2)</f>
        <v/>
      </c>
      <c r="S2" s="23">
        <f>IF(Q2="","",P2/Q2)</f>
        <v/>
      </c>
      <c r="T2" s="24">
        <f>IF(SUMIFS('Monthly NSE Equity Options'!$L:$L,'Monthly NSE Equity Options'!$A:$A,$A2)=0,"",SUMIFS('Monthly NSE Equity Options'!$L:$L,'Monthly NSE Equity Options'!$A:$A,$A2))</f>
        <v/>
      </c>
      <c r="U2" s="9">
        <f>IF(SUMIFS('Monthly BSE Equity Options'!$L:$L,'Monthly BSE Equity Options'!$A:$A,$A2)=0,"",SUMIFS('Monthly BSE Equity Options'!$L:$L,'Monthly BSE Equity Options'!$A:$A,$A2))</f>
        <v/>
      </c>
      <c r="V2" s="9">
        <f>IF(OR(T2="",U2=""),"",T2+U2)</f>
        <v/>
      </c>
      <c r="W2" s="25">
        <f>IF(V2="","",T2/V2)</f>
        <v/>
      </c>
      <c r="X2" s="25">
        <f>IF(V2="","",U2/V2)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>
        <f>IF(F3="","",D3/F3)</f>
        <v/>
      </c>
      <c r="H3" s="19">
        <f>IF(F3="","",E3/F3)</f>
        <v/>
      </c>
      <c r="I3" s="20" t="n"/>
      <c r="J3" s="21" t="n"/>
      <c r="K3" s="21" t="n"/>
      <c r="L3" s="19">
        <f>IF(OR(D3="",D2=""),"",D3/D2-1)</f>
        <v/>
      </c>
      <c r="M3" s="19">
        <f>IF(OR(E3="",E2=""),"",E3/E2-1)</f>
        <v/>
      </c>
      <c r="N3" s="19">
        <f>IF(OR(F3="",F2=""),"",F3/F2-1)</f>
        <v/>
      </c>
      <c r="O3" s="22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3">
        <f>IF(Q3="","",O3/Q3)</f>
        <v/>
      </c>
      <c r="S3" s="23">
        <f>IF(Q3="","",P3/Q3)</f>
        <v/>
      </c>
      <c r="T3" s="24">
        <f>IF(SUMIFS('Monthly NSE Equity Options'!$L:$L,'Monthly NSE Equity Options'!$A:$A,$A3)=0,"",SUMIFS('Monthly NSE Equity Options'!$L:$L,'Monthly NSE Equity Options'!$A:$A,$A3))</f>
        <v/>
      </c>
      <c r="U3" s="9">
        <f>IF(SUMIFS('Monthly BSE Equity Options'!$L:$L,'Monthly BSE Equity Options'!$A:$A,$A3)=0,"",SUMIFS('Monthly BSE Equity Options'!$L:$L,'Monthly BSE Equity Options'!$A:$A,$A3))</f>
        <v/>
      </c>
      <c r="V3" s="9">
        <f>IF(OR(T3="",U3=""),"",T3+U3)</f>
        <v/>
      </c>
      <c r="W3" s="25">
        <f>IF(V3="","",T3/V3)</f>
        <v/>
      </c>
      <c r="X3" s="25">
        <f>IF(V3="","",U3/V3)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>
        <f>IF(F4="","",D4/F4)</f>
        <v/>
      </c>
      <c r="H4" s="19">
        <f>IF(F4="","",E4/F4)</f>
        <v/>
      </c>
      <c r="I4" s="20" t="n"/>
      <c r="J4" s="21" t="n"/>
      <c r="K4" s="21" t="n"/>
      <c r="L4" s="19">
        <f>IF(OR(D4="",D3=""),"",D4/D3-1)</f>
        <v/>
      </c>
      <c r="M4" s="19">
        <f>IF(OR(E4="",E3=""),"",E4/E3-1)</f>
        <v/>
      </c>
      <c r="N4" s="19">
        <f>IF(OR(F4="",F3=""),"",F4/F3-1)</f>
        <v/>
      </c>
      <c r="O4" s="22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3">
        <f>IF(Q4="","",O4/Q4)</f>
        <v/>
      </c>
      <c r="S4" s="23">
        <f>IF(Q4="","",P4/Q4)</f>
        <v/>
      </c>
      <c r="T4" s="24">
        <f>IF(SUMIFS('Monthly NSE Equity Options'!$L:$L,'Monthly NSE Equity Options'!$A:$A,$A4)=0,"",SUMIFS('Monthly NSE Equity Options'!$L:$L,'Monthly NSE Equity Options'!$A:$A,$A4))</f>
        <v/>
      </c>
      <c r="U4" s="9">
        <f>IF(SUMIFS('Monthly BSE Equity Options'!$L:$L,'Monthly BSE Equity Options'!$A:$A,$A4)=0,"",SUMIFS('Monthly BSE Equity Options'!$L:$L,'Monthly BSE Equity Options'!$A:$A,$A4))</f>
        <v/>
      </c>
      <c r="V4" s="9">
        <f>IF(OR(T4="",U4=""),"",T4+U4)</f>
        <v/>
      </c>
      <c r="W4" s="25">
        <f>IF(V4="","",T4/V4)</f>
        <v/>
      </c>
      <c r="X4" s="25">
        <f>IF(V4="","",U4/V4)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>
        <f>IF(F5="","",D5/F5)</f>
        <v/>
      </c>
      <c r="H5" s="19">
        <f>IF(F5="","",E5/F5)</f>
        <v/>
      </c>
      <c r="I5" s="20" t="n"/>
      <c r="J5" s="21" t="n"/>
      <c r="K5" s="21" t="n"/>
      <c r="L5" s="19">
        <f>IF(OR(D5="",D4=""),"",D5/D4-1)</f>
        <v/>
      </c>
      <c r="M5" s="19">
        <f>IF(OR(E5="",E4=""),"",E5/E4-1)</f>
        <v/>
      </c>
      <c r="N5" s="19">
        <f>IF(OR(F5="",F4=""),"",F5/F4-1)</f>
        <v/>
      </c>
      <c r="O5" s="22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3">
        <f>IF(Q5="","",O5/Q5)</f>
        <v/>
      </c>
      <c r="S5" s="23">
        <f>IF(Q5="","",P5/Q5)</f>
        <v/>
      </c>
      <c r="T5" s="24">
        <f>IF(SUMIFS('Monthly NSE Equity Options'!$L:$L,'Monthly NSE Equity Options'!$A:$A,$A5)=0,"",SUMIFS('Monthly NSE Equity Options'!$L:$L,'Monthly NSE Equity Options'!$A:$A,$A5))</f>
        <v/>
      </c>
      <c r="U5" s="9">
        <f>IF(SUMIFS('Monthly BSE Equity Options'!$L:$L,'Monthly BSE Equity Options'!$A:$A,$A5)=0,"",SUMIFS('Monthly BSE Equity Options'!$L:$L,'Monthly BSE Equity Options'!$A:$A,$A5))</f>
        <v/>
      </c>
      <c r="V5" s="9">
        <f>IF(OR(T5="",U5=""),"",T5+U5)</f>
        <v/>
      </c>
      <c r="W5" s="25">
        <f>IF(V5="","",T5/V5)</f>
        <v/>
      </c>
      <c r="X5" s="25">
        <f>IF(V5="","",U5/V5)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>
        <f>IF(F6="","",D6/F6)</f>
        <v/>
      </c>
      <c r="H6" s="19">
        <f>IF(F6="","",E6/F6)</f>
        <v/>
      </c>
      <c r="I6" s="20" t="n"/>
      <c r="J6" s="21" t="n"/>
      <c r="K6" s="21" t="n"/>
      <c r="L6" s="19">
        <f>IF(OR(D6="",D5=""),"",D6/D5-1)</f>
        <v/>
      </c>
      <c r="M6" s="19">
        <f>IF(OR(E6="",E5=""),"",E6/E5-1)</f>
        <v/>
      </c>
      <c r="N6" s="19">
        <f>IF(OR(F6="",F5=""),"",F6/F5-1)</f>
        <v/>
      </c>
      <c r="O6" s="22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3">
        <f>IF(Q6="","",O6/Q6)</f>
        <v/>
      </c>
      <c r="S6" s="23">
        <f>IF(Q6="","",P6/Q6)</f>
        <v/>
      </c>
      <c r="T6" s="24">
        <f>IF(SUMIFS('Monthly NSE Equity Options'!$L:$L,'Monthly NSE Equity Options'!$A:$A,$A6)=0,"",SUMIFS('Monthly NSE Equity Options'!$L:$L,'Monthly NSE Equity Options'!$A:$A,$A6))</f>
        <v/>
      </c>
      <c r="U6" s="9">
        <f>IF(SUMIFS('Monthly BSE Equity Options'!$L:$L,'Monthly BSE Equity Options'!$A:$A,$A6)=0,"",SUMIFS('Monthly BSE Equity Options'!$L:$L,'Monthly BSE Equity Options'!$A:$A,$A6))</f>
        <v/>
      </c>
      <c r="V6" s="9">
        <f>IF(OR(T6="",U6=""),"",T6+U6)</f>
        <v/>
      </c>
      <c r="W6" s="25">
        <f>IF(V6="","",T6/V6)</f>
        <v/>
      </c>
      <c r="X6" s="25">
        <f>IF(V6="","",U6/V6)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>
        <f>IF(F7="","",D7/F7)</f>
        <v/>
      </c>
      <c r="H7" s="19">
        <f>IF(F7="","",E7/F7)</f>
        <v/>
      </c>
      <c r="I7" s="20" t="n"/>
      <c r="J7" s="21" t="n"/>
      <c r="K7" s="21" t="n"/>
      <c r="L7" s="19">
        <f>IF(OR(D7="",D6=""),"",D7/D6-1)</f>
        <v/>
      </c>
      <c r="M7" s="19">
        <f>IF(OR(E7="",E6=""),"",E7/E6-1)</f>
        <v/>
      </c>
      <c r="N7" s="19">
        <f>IF(OR(F7="",F6=""),"",F7/F6-1)</f>
        <v/>
      </c>
      <c r="O7" s="22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3">
        <f>IF(Q7="","",O7/Q7)</f>
        <v/>
      </c>
      <c r="S7" s="23">
        <f>IF(Q7="","",P7/Q7)</f>
        <v/>
      </c>
      <c r="T7" s="24">
        <f>IF(SUMIFS('Monthly NSE Equity Options'!$L:$L,'Monthly NSE Equity Options'!$A:$A,$A7)=0,"",SUMIFS('Monthly NSE Equity Options'!$L:$L,'Monthly NSE Equity Options'!$A:$A,$A7))</f>
        <v/>
      </c>
      <c r="U7" s="9">
        <f>IF(SUMIFS('Monthly BSE Equity Options'!$L:$L,'Monthly BSE Equity Options'!$A:$A,$A7)=0,"",SUMIFS('Monthly BSE Equity Options'!$L:$L,'Monthly BSE Equity Options'!$A:$A,$A7))</f>
        <v/>
      </c>
      <c r="V7" s="9">
        <f>IF(OR(T7="",U7=""),"",T7+U7)</f>
        <v/>
      </c>
      <c r="W7" s="25">
        <f>IF(V7="","",T7/V7)</f>
        <v/>
      </c>
      <c r="X7" s="25">
        <f>IF(V7="","",U7/V7)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>
        <f>IF(F8="","",D8/F8)</f>
        <v/>
      </c>
      <c r="H8" s="19">
        <f>IF(F8="","",E8/F8)</f>
        <v/>
      </c>
      <c r="I8" s="20" t="n"/>
      <c r="J8" s="21" t="n"/>
      <c r="K8" s="21" t="n"/>
      <c r="L8" s="19">
        <f>IF(OR(D8="",D7=""),"",D8/D7-1)</f>
        <v/>
      </c>
      <c r="M8" s="19">
        <f>IF(OR(E8="",E7=""),"",E8/E7-1)</f>
        <v/>
      </c>
      <c r="N8" s="19">
        <f>IF(OR(F8="",F7=""),"",F8/F7-1)</f>
        <v/>
      </c>
      <c r="O8" s="22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3">
        <f>IF(Q8="","",O8/Q8)</f>
        <v/>
      </c>
      <c r="S8" s="23">
        <f>IF(Q8="","",P8/Q8)</f>
        <v/>
      </c>
      <c r="T8" s="24">
        <f>IF(SUMIFS('Monthly NSE Equity Options'!$L:$L,'Monthly NSE Equity Options'!$A:$A,$A8)=0,"",SUMIFS('Monthly NSE Equity Options'!$L:$L,'Monthly NSE Equity Options'!$A:$A,$A8))</f>
        <v/>
      </c>
      <c r="U8" s="9">
        <f>IF(SUMIFS('Monthly BSE Equity Options'!$L:$L,'Monthly BSE Equity Options'!$A:$A,$A8)=0,"",SUMIFS('Monthly BSE Equity Options'!$L:$L,'Monthly BSE Equity Options'!$A:$A,$A8))</f>
        <v/>
      </c>
      <c r="V8" s="9">
        <f>IF(OR(T8="",U8=""),"",T8+U8)</f>
        <v/>
      </c>
      <c r="W8" s="25">
        <f>IF(V8="","",T8/V8)</f>
        <v/>
      </c>
      <c r="X8" s="25">
        <f>IF(V8="","",U8/V8)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>
        <f>IF(F9="","",D9/F9)</f>
        <v/>
      </c>
      <c r="H9" s="19">
        <f>IF(F9="","",E9/F9)</f>
        <v/>
      </c>
      <c r="I9" s="20" t="n"/>
      <c r="J9" s="21" t="n"/>
      <c r="K9" s="21" t="n"/>
      <c r="L9" s="19">
        <f>IF(OR(D9="",D8=""),"",D9/D8-1)</f>
        <v/>
      </c>
      <c r="M9" s="19">
        <f>IF(OR(E9="",E8=""),"",E9/E8-1)</f>
        <v/>
      </c>
      <c r="N9" s="19">
        <f>IF(OR(F9="",F8=""),"",F9/F8-1)</f>
        <v/>
      </c>
      <c r="O9" s="22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3">
        <f>IF(Q9="","",O9/Q9)</f>
        <v/>
      </c>
      <c r="S9" s="23">
        <f>IF(Q9="","",P9/Q9)</f>
        <v/>
      </c>
      <c r="T9" s="24">
        <f>IF(SUMIFS('Monthly NSE Equity Options'!$L:$L,'Monthly NSE Equity Options'!$A:$A,$A9)=0,"",SUMIFS('Monthly NSE Equity Options'!$L:$L,'Monthly NSE Equity Options'!$A:$A,$A9))</f>
        <v/>
      </c>
      <c r="U9" s="9">
        <f>IF(SUMIFS('Monthly BSE Equity Options'!$L:$L,'Monthly BSE Equity Options'!$A:$A,$A9)=0,"",SUMIFS('Monthly BSE Equity Options'!$L:$L,'Monthly BSE Equity Options'!$A:$A,$A9))</f>
        <v/>
      </c>
      <c r="V9" s="9">
        <f>IF(OR(T9="",U9=""),"",T9+U9)</f>
        <v/>
      </c>
      <c r="W9" s="25">
        <f>IF(V9="","",T9/V9)</f>
        <v/>
      </c>
      <c r="X9" s="25">
        <f>IF(V9="","",U9/V9)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>
        <f>IF(F10="","",D10/F10)</f>
        <v/>
      </c>
      <c r="H10" s="19">
        <f>IF(F10="","",E10/F10)</f>
        <v/>
      </c>
      <c r="I10" s="20" t="n"/>
      <c r="J10" s="21" t="n"/>
      <c r="K10" s="21" t="n"/>
      <c r="L10" s="19">
        <f>IF(OR(D10="",D9=""),"",D10/D9-1)</f>
        <v/>
      </c>
      <c r="M10" s="19">
        <f>IF(OR(E10="",E9=""),"",E10/E9-1)</f>
        <v/>
      </c>
      <c r="N10" s="19">
        <f>IF(OR(F10="",F9=""),"",F10/F9-1)</f>
        <v/>
      </c>
      <c r="O10" s="22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3">
        <f>IF(Q10="","",O10/Q10)</f>
        <v/>
      </c>
      <c r="S10" s="23">
        <f>IF(Q10="","",P10/Q10)</f>
        <v/>
      </c>
      <c r="T10" s="24">
        <f>IF(SUMIFS('Monthly NSE Equity Options'!$L:$L,'Monthly NSE Equity Options'!$A:$A,$A10)=0,"",SUMIFS('Monthly NSE Equity Options'!$L:$L,'Monthly NSE Equity Options'!$A:$A,$A10))</f>
        <v/>
      </c>
      <c r="U10" s="9">
        <f>IF(SUMIFS('Monthly BSE Equity Options'!$L:$L,'Monthly BSE Equity Options'!$A:$A,$A10)=0,"",SUMIFS('Monthly BSE Equity Options'!$L:$L,'Monthly BSE Equity Options'!$A:$A,$A10))</f>
        <v/>
      </c>
      <c r="V10" s="9">
        <f>IF(OR(T10="",U10=""),"",T10+U10)</f>
        <v/>
      </c>
      <c r="W10" s="25">
        <f>IF(V10="","",T10/V10)</f>
        <v/>
      </c>
      <c r="X10" s="25">
        <f>IF(V10="","",U10/V10)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>
        <f>IF(F11="","",D11/F11)</f>
        <v/>
      </c>
      <c r="H11" s="19">
        <f>IF(F11="","",E11/F11)</f>
        <v/>
      </c>
      <c r="I11" s="20" t="n"/>
      <c r="J11" s="21" t="n"/>
      <c r="K11" s="21" t="n"/>
      <c r="L11" s="19">
        <f>IF(OR(D11="",D10=""),"",D11/D10-1)</f>
        <v/>
      </c>
      <c r="M11" s="19">
        <f>IF(OR(E11="",E10=""),"",E11/E10-1)</f>
        <v/>
      </c>
      <c r="N11" s="19">
        <f>IF(OR(F11="",F10=""),"",F11/F10-1)</f>
        <v/>
      </c>
      <c r="O11" s="22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3">
        <f>IF(Q11="","",O11/Q11)</f>
        <v/>
      </c>
      <c r="S11" s="23">
        <f>IF(Q11="","",P11/Q11)</f>
        <v/>
      </c>
      <c r="T11" s="24">
        <f>IF(SUMIFS('Monthly NSE Equity Options'!$L:$L,'Monthly NSE Equity Options'!$A:$A,$A11)=0,"",SUMIFS('Monthly NSE Equity Options'!$L:$L,'Monthly NSE Equity Options'!$A:$A,$A11))</f>
        <v/>
      </c>
      <c r="U11" s="9">
        <f>IF(SUMIFS('Monthly BSE Equity Options'!$L:$L,'Monthly BSE Equity Options'!$A:$A,$A11)=0,"",SUMIFS('Monthly BSE Equity Options'!$L:$L,'Monthly BSE Equity Options'!$A:$A,$A11))</f>
        <v/>
      </c>
      <c r="V11" s="9">
        <f>IF(OR(T11="",U11=""),"",T11+U11)</f>
        <v/>
      </c>
      <c r="W11" s="25">
        <f>IF(V11="","",T11/V11)</f>
        <v/>
      </c>
      <c r="X11" s="25">
        <f>IF(V11="","",U11/V11)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>
        <f>IF(F12="","",D12/F12)</f>
        <v/>
      </c>
      <c r="H12" s="19">
        <f>IF(F12="","",E12/F12)</f>
        <v/>
      </c>
      <c r="I12" s="20" t="n"/>
      <c r="J12" s="21" t="n"/>
      <c r="K12" s="21" t="n"/>
      <c r="L12" s="19">
        <f>IF(OR(D12="",D11=""),"",D12/D11-1)</f>
        <v/>
      </c>
      <c r="M12" s="19">
        <f>IF(OR(E12="",E11=""),"",E12/E11-1)</f>
        <v/>
      </c>
      <c r="N12" s="19">
        <f>IF(OR(F12="",F11=""),"",F12/F11-1)</f>
        <v/>
      </c>
      <c r="O12" s="22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3">
        <f>IF(Q12="","",O12/Q12)</f>
        <v/>
      </c>
      <c r="S12" s="23">
        <f>IF(Q12="","",P12/Q12)</f>
        <v/>
      </c>
      <c r="T12" s="24">
        <f>IF(SUMIFS('Monthly NSE Equity Options'!$L:$L,'Monthly NSE Equity Options'!$A:$A,$A12)=0,"",SUMIFS('Monthly NSE Equity Options'!$L:$L,'Monthly NSE Equity Options'!$A:$A,$A12))</f>
        <v/>
      </c>
      <c r="U12" s="9">
        <f>IF(SUMIFS('Monthly BSE Equity Options'!$L:$L,'Monthly BSE Equity Options'!$A:$A,$A12)=0,"",SUMIFS('Monthly BSE Equity Options'!$L:$L,'Monthly BSE Equity Options'!$A:$A,$A12))</f>
        <v/>
      </c>
      <c r="V12" s="9">
        <f>IF(OR(T12="",U12=""),"",T12+U12)</f>
        <v/>
      </c>
      <c r="W12" s="25">
        <f>IF(V12="","",T12/V12)</f>
        <v/>
      </c>
      <c r="X12" s="25">
        <f>IF(V12="","",U12/V12)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>
        <f>IF(F13="","",D13/F13)</f>
        <v/>
      </c>
      <c r="H13" s="19">
        <f>IF(F13="","",E13/F13)</f>
        <v/>
      </c>
      <c r="I13" s="20" t="n"/>
      <c r="J13" s="21" t="n"/>
      <c r="K13" s="21" t="n"/>
      <c r="L13" s="19">
        <f>IF(OR(D13="",D12=""),"",D13/D12-1)</f>
        <v/>
      </c>
      <c r="M13" s="19">
        <f>IF(OR(E13="",E12=""),"",E13/E12-1)</f>
        <v/>
      </c>
      <c r="N13" s="19">
        <f>IF(OR(F13="",F12=""),"",F13/F12-1)</f>
        <v/>
      </c>
      <c r="O13" s="22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3">
        <f>IF(Q13="","",O13/Q13)</f>
        <v/>
      </c>
      <c r="S13" s="23">
        <f>IF(Q13="","",P13/Q13)</f>
        <v/>
      </c>
      <c r="T13" s="24">
        <f>IF(SUMIFS('Monthly NSE Equity Options'!$L:$L,'Monthly NSE Equity Options'!$A:$A,$A13)=0,"",SUMIFS('Monthly NSE Equity Options'!$L:$L,'Monthly NSE Equity Options'!$A:$A,$A13))</f>
        <v/>
      </c>
      <c r="U13" s="9">
        <f>IF(SUMIFS('Monthly BSE Equity Options'!$L:$L,'Monthly BSE Equity Options'!$A:$A,$A13)=0,"",SUMIFS('Monthly BSE Equity Options'!$L:$L,'Monthly BSE Equity Options'!$A:$A,$A13))</f>
        <v/>
      </c>
      <c r="V13" s="9">
        <f>IF(OR(T13="",U13=""),"",T13+U13)</f>
        <v/>
      </c>
      <c r="W13" s="25">
        <f>IF(V13="","",T13/V13)</f>
        <v/>
      </c>
      <c r="X13" s="25">
        <f>IF(V13="","",U13/V13)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19">
        <f>IF(F14="","",D14/F14)</f>
        <v/>
      </c>
      <c r="H14" s="19">
        <f>IF(F14="","",E14/F14)</f>
        <v/>
      </c>
      <c r="I14" s="26">
        <f>IF(OR(D14="",D2=""),"",D14/D2-1)</f>
        <v/>
      </c>
      <c r="J14" s="19">
        <f>IF(OR(E14="",E2=""),"",E14/E2-1)</f>
        <v/>
      </c>
      <c r="K14" s="19">
        <f>IF(OR(F14="",F2=""),"",F14/F2-1)</f>
        <v/>
      </c>
      <c r="L14" s="19">
        <f>IF(OR(D14="",D13=""),"",D14/D13-1)</f>
        <v/>
      </c>
      <c r="M14" s="19">
        <f>IF(OR(E14="",E13=""),"",E14/E13-1)</f>
        <v/>
      </c>
      <c r="N14" s="19">
        <f>IF(OR(F14="",F13=""),"",F14/F13-1)</f>
        <v/>
      </c>
      <c r="O14" s="22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IF(Q14="","",O14/Q14)</f>
        <v/>
      </c>
      <c r="S14" s="23">
        <f>IF(Q14="","",P14/Q14)</f>
        <v/>
      </c>
      <c r="T14" s="24">
        <f>IF(SUMIFS('Monthly NSE Equity Options'!$L:$L,'Monthly NSE Equity Options'!$A:$A,$A14)=0,"",SUMIFS('Monthly NSE Equity Options'!$L:$L,'Monthly NSE Equity Options'!$A:$A,$A14))</f>
        <v/>
      </c>
      <c r="U14" s="9">
        <f>IF(SUMIFS('Monthly BSE Equity Options'!$L:$L,'Monthly BSE Equity Options'!$A:$A,$A14)=0,"",SUMIFS('Monthly BSE Equity Options'!$L:$L,'Monthly BSE Equity Options'!$A:$A,$A14))</f>
        <v/>
      </c>
      <c r="V14" s="9">
        <f>IF(OR(T14="",U14=""),"",T14+U14)</f>
        <v/>
      </c>
      <c r="W14" s="25">
        <f>IF(V14="","",T14/V14)</f>
        <v/>
      </c>
      <c r="X14" s="25">
        <f>IF(V14="","",U14/V14)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19">
        <f>IF(F15="","",D15/F15)</f>
        <v/>
      </c>
      <c r="H15" s="19">
        <f>IF(F15="","",E15/F15)</f>
        <v/>
      </c>
      <c r="I15" s="26">
        <f>IF(OR(D15="",D3=""),"",D15/D3-1)</f>
        <v/>
      </c>
      <c r="J15" s="19">
        <f>IF(OR(E15="",E3=""),"",E15/E3-1)</f>
        <v/>
      </c>
      <c r="K15" s="19">
        <f>IF(OR(F15="",F3=""),"",F15/F3-1)</f>
        <v/>
      </c>
      <c r="L15" s="19">
        <f>IF(OR(D15="",D14=""),"",D15/D14-1)</f>
        <v/>
      </c>
      <c r="M15" s="19">
        <f>IF(OR(E15="",E14=""),"",E15/E14-1)</f>
        <v/>
      </c>
      <c r="N15" s="19">
        <f>IF(OR(F15="",F14=""),"",F15/F14-1)</f>
        <v/>
      </c>
      <c r="O15" s="22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IF(Q15="","",O15/Q15)</f>
        <v/>
      </c>
      <c r="S15" s="23">
        <f>IF(Q15="","",P15/Q15)</f>
        <v/>
      </c>
      <c r="T15" s="24">
        <f>IF(SUMIFS('Monthly NSE Equity Options'!$L:$L,'Monthly NSE Equity Options'!$A:$A,$A15)=0,"",SUMIFS('Monthly NSE Equity Options'!$L:$L,'Monthly NSE Equity Options'!$A:$A,$A15))</f>
        <v/>
      </c>
      <c r="U15" s="9">
        <f>IF(SUMIFS('Monthly BSE Equity Options'!$L:$L,'Monthly BSE Equity Options'!$A:$A,$A15)=0,"",SUMIFS('Monthly BSE Equity Options'!$L:$L,'Monthly BSE Equity Options'!$A:$A,$A15))</f>
        <v/>
      </c>
      <c r="V15" s="9">
        <f>IF(OR(T15="",U15=""),"",T15+U15)</f>
        <v/>
      </c>
      <c r="W15" s="25">
        <f>IF(V15="","",T15/V15)</f>
        <v/>
      </c>
      <c r="X15" s="25">
        <f>IF(V15="","",U15/V15)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19">
        <f>IF(F16="","",D16/F16)</f>
        <v/>
      </c>
      <c r="H16" s="19">
        <f>IF(F16="","",E16/F16)</f>
        <v/>
      </c>
      <c r="I16" s="26">
        <f>IF(OR(D16="",D4=""),"",D16/D4-1)</f>
        <v/>
      </c>
      <c r="J16" s="19">
        <f>IF(OR(E16="",E4=""),"",E16/E4-1)</f>
        <v/>
      </c>
      <c r="K16" s="19">
        <f>IF(OR(F16="",F4=""),"",F16/F4-1)</f>
        <v/>
      </c>
      <c r="L16" s="19">
        <f>IF(OR(D16="",D15=""),"",D16/D15-1)</f>
        <v/>
      </c>
      <c r="M16" s="19">
        <f>IF(OR(E16="",E15=""),"",E16/E15-1)</f>
        <v/>
      </c>
      <c r="N16" s="19">
        <f>IF(OR(F16="",F15=""),"",F16/F15-1)</f>
        <v/>
      </c>
      <c r="O16" s="22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IF(Q16="","",O16/Q16)</f>
        <v/>
      </c>
      <c r="S16" s="23">
        <f>IF(Q16="","",P16/Q16)</f>
        <v/>
      </c>
      <c r="T16" s="24">
        <f>IF(SUMIFS('Monthly NSE Equity Options'!$L:$L,'Monthly NSE Equity Options'!$A:$A,$A16)=0,"",SUMIFS('Monthly NSE Equity Options'!$L:$L,'Monthly NSE Equity Options'!$A:$A,$A16))</f>
        <v/>
      </c>
      <c r="U16" s="9">
        <f>IF(SUMIFS('Monthly BSE Equity Options'!$L:$L,'Monthly BSE Equity Options'!$A:$A,$A16)=0,"",SUMIFS('Monthly BSE Equity Options'!$L:$L,'Monthly BSE Equity Options'!$A:$A,$A16))</f>
        <v/>
      </c>
      <c r="V16" s="9">
        <f>IF(OR(T16="",U16=""),"",T16+U16)</f>
        <v/>
      </c>
      <c r="W16" s="25">
        <f>IF(V16="","",T16/V16)</f>
        <v/>
      </c>
      <c r="X16" s="25">
        <f>IF(V16="","",U16/V16)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19">
        <f>IF(F17="","",D17/F17)</f>
        <v/>
      </c>
      <c r="H17" s="19">
        <f>IF(F17="","",E17/F17)</f>
        <v/>
      </c>
      <c r="I17" s="26">
        <f>IF(OR(D17="",D5=""),"",D17/D5-1)</f>
        <v/>
      </c>
      <c r="J17" s="19">
        <f>IF(OR(E17="",E5=""),"",E17/E5-1)</f>
        <v/>
      </c>
      <c r="K17" s="19">
        <f>IF(OR(F17="",F5=""),"",F17/F5-1)</f>
        <v/>
      </c>
      <c r="L17" s="19">
        <f>IF(OR(D17="",D16=""),"",D17/D16-1)</f>
        <v/>
      </c>
      <c r="M17" s="19">
        <f>IF(OR(E17="",E16=""),"",E17/E16-1)</f>
        <v/>
      </c>
      <c r="N17" s="19">
        <f>IF(OR(F17="",F16=""),"",F17/F16-1)</f>
        <v/>
      </c>
      <c r="O17" s="22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IF(Q17="","",O17/Q17)</f>
        <v/>
      </c>
      <c r="S17" s="23">
        <f>IF(Q17="","",P17/Q17)</f>
        <v/>
      </c>
      <c r="T17" s="24">
        <f>IF(SUMIFS('Monthly NSE Equity Options'!$L:$L,'Monthly NSE Equity Options'!$A:$A,$A17)=0,"",SUMIFS('Monthly NSE Equity Options'!$L:$L,'Monthly NSE Equity Options'!$A:$A,$A17))</f>
        <v/>
      </c>
      <c r="U17" s="9">
        <f>IF(SUMIFS('Monthly BSE Equity Options'!$L:$L,'Monthly BSE Equity Options'!$A:$A,$A17)=0,"",SUMIFS('Monthly BSE Equity Options'!$L:$L,'Monthly BSE Equity Options'!$A:$A,$A17))</f>
        <v/>
      </c>
      <c r="V17" s="9">
        <f>IF(OR(T17="",U17=""),"",T17+U17)</f>
        <v/>
      </c>
      <c r="W17" s="25">
        <f>IF(V17="","",T17/V17)</f>
        <v/>
      </c>
      <c r="X17" s="25">
        <f>IF(V17="","",U17/V17)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19">
        <f>IF(F18="","",D18/F18)</f>
        <v/>
      </c>
      <c r="H18" s="19">
        <f>IF(F18="","",E18/F18)</f>
        <v/>
      </c>
      <c r="I18" s="26">
        <f>IF(OR(D18="",D6=""),"",D18/D6-1)</f>
        <v/>
      </c>
      <c r="J18" s="19">
        <f>IF(OR(E18="",E6=""),"",E18/E6-1)</f>
        <v/>
      </c>
      <c r="K18" s="19">
        <f>IF(OR(F18="",F6=""),"",F18/F6-1)</f>
        <v/>
      </c>
      <c r="L18" s="19">
        <f>IF(OR(D18="",D17=""),"",D18/D17-1)</f>
        <v/>
      </c>
      <c r="M18" s="19">
        <f>IF(OR(E18="",E17=""),"",E18/E17-1)</f>
        <v/>
      </c>
      <c r="N18" s="19">
        <f>IF(OR(F18="",F17=""),"",F18/F17-1)</f>
        <v/>
      </c>
      <c r="O18" s="22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IF(Q18="","",O18/Q18)</f>
        <v/>
      </c>
      <c r="S18" s="23">
        <f>IF(Q18="","",P18/Q18)</f>
        <v/>
      </c>
      <c r="T18" s="24">
        <f>IF(SUMIFS('Monthly NSE Equity Options'!$L:$L,'Monthly NSE Equity Options'!$A:$A,$A18)=0,"",SUMIFS('Monthly NSE Equity Options'!$L:$L,'Monthly NSE Equity Options'!$A:$A,$A18))</f>
        <v/>
      </c>
      <c r="U18" s="9">
        <f>IF(SUMIFS('Monthly BSE Equity Options'!$L:$L,'Monthly BSE Equity Options'!$A:$A,$A18)=0,"",SUMIFS('Monthly BSE Equity Options'!$L:$L,'Monthly BSE Equity Options'!$A:$A,$A18))</f>
        <v/>
      </c>
      <c r="V18" s="9">
        <f>IF(OR(T18="",U18=""),"",T18+U18)</f>
        <v/>
      </c>
      <c r="W18" s="25">
        <f>IF(V18="","",T18/V18)</f>
        <v/>
      </c>
      <c r="X18" s="25">
        <f>IF(V18="","",U18/V18)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19">
        <f>IF(F19="","",D19/F19)</f>
        <v/>
      </c>
      <c r="H19" s="19">
        <f>IF(F19="","",E19/F19)</f>
        <v/>
      </c>
      <c r="I19" s="26">
        <f>IF(OR(D19="",D7=""),"",D19/D7-1)</f>
        <v/>
      </c>
      <c r="J19" s="19">
        <f>IF(OR(E19="",E7=""),"",E19/E7-1)</f>
        <v/>
      </c>
      <c r="K19" s="19">
        <f>IF(OR(F19="",F7=""),"",F19/F7-1)</f>
        <v/>
      </c>
      <c r="L19" s="19">
        <f>IF(OR(D19="",D18=""),"",D19/D18-1)</f>
        <v/>
      </c>
      <c r="M19" s="19">
        <f>IF(OR(E19="",E18=""),"",E19/E18-1)</f>
        <v/>
      </c>
      <c r="N19" s="19">
        <f>IF(OR(F19="",F18=""),"",F19/F18-1)</f>
        <v/>
      </c>
      <c r="O19" s="22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IF(Q19="","",O19/Q19)</f>
        <v/>
      </c>
      <c r="S19" s="23">
        <f>IF(Q19="","",P19/Q19)</f>
        <v/>
      </c>
      <c r="T19" s="24">
        <f>IF(SUMIFS('Monthly NSE Equity Options'!$L:$L,'Monthly NSE Equity Options'!$A:$A,$A19)=0,"",SUMIFS('Monthly NSE Equity Options'!$L:$L,'Monthly NSE Equity Options'!$A:$A,$A19))</f>
        <v/>
      </c>
      <c r="U19" s="9">
        <f>IF(SUMIFS('Monthly BSE Equity Options'!$L:$L,'Monthly BSE Equity Options'!$A:$A,$A19)=0,"",SUMIFS('Monthly BSE Equity Options'!$L:$L,'Monthly BSE Equity Options'!$A:$A,$A19))</f>
        <v/>
      </c>
      <c r="V19" s="9">
        <f>IF(OR(T19="",U19=""),"",T19+U19)</f>
        <v/>
      </c>
      <c r="W19" s="25">
        <f>IF(V19="","",T19/V19)</f>
        <v/>
      </c>
      <c r="X19" s="25">
        <f>IF(V19="","",U19/V19)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19">
        <f>IF(F20="","",D20/F20)</f>
        <v/>
      </c>
      <c r="H20" s="19">
        <f>IF(F20="","",E20/F20)</f>
        <v/>
      </c>
      <c r="I20" s="26">
        <f>IF(OR(D20="",D8=""),"",D20/D8-1)</f>
        <v/>
      </c>
      <c r="J20" s="19">
        <f>IF(OR(E20="",E8=""),"",E20/E8-1)</f>
        <v/>
      </c>
      <c r="K20" s="19">
        <f>IF(OR(F20="",F8=""),"",F20/F8-1)</f>
        <v/>
      </c>
      <c r="L20" s="19">
        <f>IF(OR(D20="",D19=""),"",D20/D19-1)</f>
        <v/>
      </c>
      <c r="M20" s="19">
        <f>IF(OR(E20="",E19=""),"",E20/E19-1)</f>
        <v/>
      </c>
      <c r="N20" s="19">
        <f>IF(OR(F20="",F19=""),"",F20/F19-1)</f>
        <v/>
      </c>
      <c r="O20" s="22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IF(Q20="","",O20/Q20)</f>
        <v/>
      </c>
      <c r="S20" s="23">
        <f>IF(Q20="","",P20/Q20)</f>
        <v/>
      </c>
      <c r="T20" s="24">
        <f>IF(SUMIFS('Monthly NSE Equity Options'!$L:$L,'Monthly NSE Equity Options'!$A:$A,$A20)=0,"",SUMIFS('Monthly NSE Equity Options'!$L:$L,'Monthly NSE Equity Options'!$A:$A,$A20))</f>
        <v/>
      </c>
      <c r="U20" s="9">
        <f>IF(SUMIFS('Monthly BSE Equity Options'!$L:$L,'Monthly BSE Equity Options'!$A:$A,$A20)=0,"",SUMIFS('Monthly BSE Equity Options'!$L:$L,'Monthly BSE Equity Options'!$A:$A,$A20))</f>
        <v/>
      </c>
      <c r="V20" s="9">
        <f>IF(OR(T20="",U20=""),"",T20+U20)</f>
        <v/>
      </c>
      <c r="W20" s="25">
        <f>IF(V20="","",T20/V20)</f>
        <v/>
      </c>
      <c r="X20" s="25">
        <f>IF(V20="","",U20/V20)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19">
        <f>IF(F21="","",D21/F21)</f>
        <v/>
      </c>
      <c r="H21" s="19">
        <f>IF(F21="","",E21/F21)</f>
        <v/>
      </c>
      <c r="I21" s="26">
        <f>IF(OR(D21="",D9=""),"",D21/D9-1)</f>
        <v/>
      </c>
      <c r="J21" s="19">
        <f>IF(OR(E21="",E9=""),"",E21/E9-1)</f>
        <v/>
      </c>
      <c r="K21" s="19">
        <f>IF(OR(F21="",F9=""),"",F21/F9-1)</f>
        <v/>
      </c>
      <c r="L21" s="19">
        <f>IF(OR(D21="",D20=""),"",D21/D20-1)</f>
        <v/>
      </c>
      <c r="M21" s="19">
        <f>IF(OR(E21="",E20=""),"",E21/E20-1)</f>
        <v/>
      </c>
      <c r="N21" s="19">
        <f>IF(OR(F21="",F20=""),"",F21/F20-1)</f>
        <v/>
      </c>
      <c r="O21" s="22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IF(Q21="","",O21/Q21)</f>
        <v/>
      </c>
      <c r="S21" s="23">
        <f>IF(Q21="","",P21/Q21)</f>
        <v/>
      </c>
      <c r="T21" s="24">
        <f>IF(SUMIFS('Monthly NSE Equity Options'!$L:$L,'Monthly NSE Equity Options'!$A:$A,$A21)=0,"",SUMIFS('Monthly NSE Equity Options'!$L:$L,'Monthly NSE Equity Options'!$A:$A,$A21))</f>
        <v/>
      </c>
      <c r="U21" s="9">
        <f>IF(SUMIFS('Monthly BSE Equity Options'!$L:$L,'Monthly BSE Equity Options'!$A:$A,$A21)=0,"",SUMIFS('Monthly BSE Equity Options'!$L:$L,'Monthly BSE Equity Options'!$A:$A,$A21))</f>
        <v/>
      </c>
      <c r="V21" s="9">
        <f>IF(OR(T21="",U21=""),"",T21+U21)</f>
        <v/>
      </c>
      <c r="W21" s="25">
        <f>IF(V21="","",T21/V21)</f>
        <v/>
      </c>
      <c r="X21" s="25">
        <f>IF(V21="","",U21/V21)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19">
        <f>IF(F22="","",D22/F22)</f>
        <v/>
      </c>
      <c r="H22" s="19">
        <f>IF(F22="","",E22/F22)</f>
        <v/>
      </c>
      <c r="I22" s="26">
        <f>IF(OR(D22="",D10=""),"",D22/D10-1)</f>
        <v/>
      </c>
      <c r="J22" s="19">
        <f>IF(OR(E22="",E10=""),"",E22/E10-1)</f>
        <v/>
      </c>
      <c r="K22" s="19">
        <f>IF(OR(F22="",F10=""),"",F22/F10-1)</f>
        <v/>
      </c>
      <c r="L22" s="19">
        <f>IF(OR(D22="",D21=""),"",D22/D21-1)</f>
        <v/>
      </c>
      <c r="M22" s="19">
        <f>IF(OR(E22="",E21=""),"",E22/E21-1)</f>
        <v/>
      </c>
      <c r="N22" s="19">
        <f>IF(OR(F22="",F21=""),"",F22/F21-1)</f>
        <v/>
      </c>
      <c r="O22" s="22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IF(Q22="","",O22/Q22)</f>
        <v/>
      </c>
      <c r="S22" s="23">
        <f>IF(Q22="","",P22/Q22)</f>
        <v/>
      </c>
      <c r="T22" s="24">
        <f>IF(SUMIFS('Monthly NSE Equity Options'!$L:$L,'Monthly NSE Equity Options'!$A:$A,$A22)=0,"",SUMIFS('Monthly NSE Equity Options'!$L:$L,'Monthly NSE Equity Options'!$A:$A,$A22))</f>
        <v/>
      </c>
      <c r="U22" s="9">
        <f>IF(SUMIFS('Monthly BSE Equity Options'!$L:$L,'Monthly BSE Equity Options'!$A:$A,$A22)=0,"",SUMIFS('Monthly BSE Equity Options'!$L:$L,'Monthly BSE Equity Options'!$A:$A,$A22))</f>
        <v/>
      </c>
      <c r="V22" s="9">
        <f>IF(OR(T22="",U22=""),"",T22+U22)</f>
        <v/>
      </c>
      <c r="W22" s="25">
        <f>IF(V22="","",T22/V22)</f>
        <v/>
      </c>
      <c r="X22" s="25">
        <f>IF(V22="","",U22/V22)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19">
        <f>IF(F23="","",D23/F23)</f>
        <v/>
      </c>
      <c r="H23" s="19">
        <f>IF(F23="","",E23/F23)</f>
        <v/>
      </c>
      <c r="I23" s="26">
        <f>IF(OR(D23="",D11=""),"",D23/D11-1)</f>
        <v/>
      </c>
      <c r="J23" s="19">
        <f>IF(OR(E23="",E11=""),"",E23/E11-1)</f>
        <v/>
      </c>
      <c r="K23" s="19">
        <f>IF(OR(F23="",F11=""),"",F23/F11-1)</f>
        <v/>
      </c>
      <c r="L23" s="19">
        <f>IF(OR(D23="",D22=""),"",D23/D22-1)</f>
        <v/>
      </c>
      <c r="M23" s="19">
        <f>IF(OR(E23="",E22=""),"",E23/E22-1)</f>
        <v/>
      </c>
      <c r="N23" s="19">
        <f>IF(OR(F23="",F22=""),"",F23/F22-1)</f>
        <v/>
      </c>
      <c r="O23" s="22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IF(Q23="","",O23/Q23)</f>
        <v/>
      </c>
      <c r="S23" s="23">
        <f>IF(Q23="","",P23/Q23)</f>
        <v/>
      </c>
      <c r="T23" s="24">
        <f>IF(SUMIFS('Monthly NSE Equity Options'!$L:$L,'Monthly NSE Equity Options'!$A:$A,$A23)=0,"",SUMIFS('Monthly NSE Equity Options'!$L:$L,'Monthly NSE Equity Options'!$A:$A,$A23))</f>
        <v/>
      </c>
      <c r="U23" s="9">
        <f>IF(SUMIFS('Monthly BSE Equity Options'!$L:$L,'Monthly BSE Equity Options'!$A:$A,$A23)=0,"",SUMIFS('Monthly BSE Equity Options'!$L:$L,'Monthly BSE Equity Options'!$A:$A,$A23))</f>
        <v/>
      </c>
      <c r="V23" s="9">
        <f>IF(OR(T23="",U23=""),"",T23+U23)</f>
        <v/>
      </c>
      <c r="W23" s="25">
        <f>IF(V23="","",T23/V23)</f>
        <v/>
      </c>
      <c r="X23" s="25">
        <f>IF(V23="","",U23/V23)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19">
        <f>IF(F24="","",D24/F24)</f>
        <v/>
      </c>
      <c r="H24" s="19">
        <f>IF(F24="","",E24/F24)</f>
        <v/>
      </c>
      <c r="I24" s="26">
        <f>IF(OR(D24="",D12=""),"",D24/D12-1)</f>
        <v/>
      </c>
      <c r="J24" s="19">
        <f>IF(OR(E24="",E12=""),"",E24/E12-1)</f>
        <v/>
      </c>
      <c r="K24" s="19">
        <f>IF(OR(F24="",F12=""),"",F24/F12-1)</f>
        <v/>
      </c>
      <c r="L24" s="19">
        <f>IF(OR(D24="",D23=""),"",D24/D23-1)</f>
        <v/>
      </c>
      <c r="M24" s="19">
        <f>IF(OR(E24="",E23=""),"",E24/E23-1)</f>
        <v/>
      </c>
      <c r="N24" s="19">
        <f>IF(OR(F24="",F23=""),"",F24/F23-1)</f>
        <v/>
      </c>
      <c r="O24" s="22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IF(Q24="","",O24/Q24)</f>
        <v/>
      </c>
      <c r="S24" s="23">
        <f>IF(Q24="","",P24/Q24)</f>
        <v/>
      </c>
      <c r="T24" s="24">
        <f>IF(SUMIFS('Monthly NSE Equity Options'!$L:$L,'Monthly NSE Equity Options'!$A:$A,$A24)=0,"",SUMIFS('Monthly NSE Equity Options'!$L:$L,'Monthly NSE Equity Options'!$A:$A,$A24))</f>
        <v/>
      </c>
      <c r="U24" s="9">
        <f>IF(SUMIFS('Monthly BSE Equity Options'!$L:$L,'Monthly BSE Equity Options'!$A:$A,$A24)=0,"",SUMIFS('Monthly BSE Equity Options'!$L:$L,'Monthly BSE Equity Options'!$A:$A,$A24))</f>
        <v/>
      </c>
      <c r="V24" s="9">
        <f>IF(OR(T24="",U24=""),"",T24+U24)</f>
        <v/>
      </c>
      <c r="W24" s="25">
        <f>IF(V24="","",T24/V24)</f>
        <v/>
      </c>
      <c r="X24" s="25">
        <f>IF(V24="","",U24/V24)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19">
        <f>IF(F25="","",D25/F25)</f>
        <v/>
      </c>
      <c r="H25" s="19">
        <f>IF(F25="","",E25/F25)</f>
        <v/>
      </c>
      <c r="I25" s="26">
        <f>IF(OR(D25="",D13=""),"",D25/D13-1)</f>
        <v/>
      </c>
      <c r="J25" s="19">
        <f>IF(OR(E25="",E13=""),"",E25/E13-1)</f>
        <v/>
      </c>
      <c r="K25" s="19">
        <f>IF(OR(F25="",F13=""),"",F25/F13-1)</f>
        <v/>
      </c>
      <c r="L25" s="19">
        <f>IF(OR(D25="",D24=""),"",D25/D24-1)</f>
        <v/>
      </c>
      <c r="M25" s="19">
        <f>IF(OR(E25="",E24=""),"",E25/E24-1)</f>
        <v/>
      </c>
      <c r="N25" s="19">
        <f>IF(OR(F25="",F24=""),"",F25/F24-1)</f>
        <v/>
      </c>
      <c r="O25" s="22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IF(Q25="","",O25/Q25)</f>
        <v/>
      </c>
      <c r="S25" s="23">
        <f>IF(Q25="","",P25/Q25)</f>
        <v/>
      </c>
      <c r="T25" s="24">
        <f>IF(SUMIFS('Monthly NSE Equity Options'!$L:$L,'Monthly NSE Equity Options'!$A:$A,$A25)=0,"",SUMIFS('Monthly NSE Equity Options'!$L:$L,'Monthly NSE Equity Options'!$A:$A,$A25))</f>
        <v/>
      </c>
      <c r="U25" s="9">
        <f>IF(SUMIFS('Monthly BSE Equity Options'!$L:$L,'Monthly BSE Equity Options'!$A:$A,$A25)=0,"",SUMIFS('Monthly BSE Equity Options'!$L:$L,'Monthly BSE Equity Options'!$A:$A,$A25))</f>
        <v/>
      </c>
      <c r="V25" s="9">
        <f>IF(OR(T25="",U25=""),"",T25+U25)</f>
        <v/>
      </c>
      <c r="W25" s="25">
        <f>IF(V25="","",T25/V25)</f>
        <v/>
      </c>
      <c r="X25" s="25">
        <f>IF(V25="","",U25/V25)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19">
        <f>IF(F26="","",D26/F26)</f>
        <v/>
      </c>
      <c r="H26" s="19">
        <f>IF(F26="","",E26/F26)</f>
        <v/>
      </c>
      <c r="I26" s="26">
        <f>IF(OR(D26="",D14=""),"",D26/D14-1)</f>
        <v/>
      </c>
      <c r="J26" s="19">
        <f>IF(OR(E26="",E14=""),"",E26/E14-1)</f>
        <v/>
      </c>
      <c r="K26" s="19">
        <f>IF(OR(F26="",F14=""),"",F26/F14-1)</f>
        <v/>
      </c>
      <c r="L26" s="19">
        <f>IF(OR(D26="",D25=""),"",D26/D25-1)</f>
        <v/>
      </c>
      <c r="M26" s="19">
        <f>IF(OR(E26="",E25=""),"",E26/E25-1)</f>
        <v/>
      </c>
      <c r="N26" s="19">
        <f>IF(OR(F26="",F25=""),"",F26/F25-1)</f>
        <v/>
      </c>
      <c r="O26" s="22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IF(Q26="","",O26/Q26)</f>
        <v/>
      </c>
      <c r="S26" s="23">
        <f>IF(Q26="","",P26/Q26)</f>
        <v/>
      </c>
      <c r="T26" s="24">
        <f>IF(SUMIFS('Monthly NSE Equity Options'!$L:$L,'Monthly NSE Equity Options'!$A:$A,$A26)=0,"",SUMIFS('Monthly NSE Equity Options'!$L:$L,'Monthly NSE Equity Options'!$A:$A,$A26))</f>
        <v/>
      </c>
      <c r="U26" s="9">
        <f>IF(SUMIFS('Monthly BSE Equity Options'!$L:$L,'Monthly BSE Equity Options'!$A:$A,$A26)=0,"",SUMIFS('Monthly BSE Equity Options'!$L:$L,'Monthly BSE Equity Options'!$A:$A,$A26))</f>
        <v/>
      </c>
      <c r="V26" s="9">
        <f>IF(OR(T26="",U26=""),"",T26+U26)</f>
        <v/>
      </c>
      <c r="W26" s="25">
        <f>IF(V26="","",T26/V26)</f>
        <v/>
      </c>
      <c r="X26" s="25">
        <f>IF(V26="","",U26/V26)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19">
        <f>IF(F27="","",D27/F27)</f>
        <v/>
      </c>
      <c r="H27" s="19">
        <f>IF(F27="","",E27/F27)</f>
        <v/>
      </c>
      <c r="I27" s="26">
        <f>IF(OR(D27="",D15=""),"",D27/D15-1)</f>
        <v/>
      </c>
      <c r="J27" s="19">
        <f>IF(OR(E27="",E15=""),"",E27/E15-1)</f>
        <v/>
      </c>
      <c r="K27" s="19">
        <f>IF(OR(F27="",F15=""),"",F27/F15-1)</f>
        <v/>
      </c>
      <c r="L27" s="19">
        <f>IF(OR(D27="",D26=""),"",D27/D26-1)</f>
        <v/>
      </c>
      <c r="M27" s="19">
        <f>IF(OR(E27="",E26=""),"",E27/E26-1)</f>
        <v/>
      </c>
      <c r="N27" s="19">
        <f>IF(OR(F27="",F26=""),"",F27/F26-1)</f>
        <v/>
      </c>
      <c r="O27" s="22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IF(Q27="","",O27/Q27)</f>
        <v/>
      </c>
      <c r="S27" s="23">
        <f>IF(Q27="","",P27/Q27)</f>
        <v/>
      </c>
      <c r="T27" s="24">
        <f>IF(SUMIFS('Monthly NSE Equity Options'!$L:$L,'Monthly NSE Equity Options'!$A:$A,$A27)=0,"",SUMIFS('Monthly NSE Equity Options'!$L:$L,'Monthly NSE Equity Options'!$A:$A,$A27))</f>
        <v/>
      </c>
      <c r="U27" s="9">
        <f>IF(SUMIFS('Monthly BSE Equity Options'!$L:$L,'Monthly BSE Equity Options'!$A:$A,$A27)=0,"",SUMIFS('Monthly BSE Equity Options'!$L:$L,'Monthly BSE Equity Options'!$A:$A,$A27))</f>
        <v/>
      </c>
      <c r="V27" s="9">
        <f>IF(OR(T27="",U27=""),"",T27+U27)</f>
        <v/>
      </c>
      <c r="W27" s="25">
        <f>IF(V27="","",T27/V27)</f>
        <v/>
      </c>
      <c r="X27" s="25">
        <f>IF(V27="","",U27/V27)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19">
        <f>IF(F28="","",D28/F28)</f>
        <v/>
      </c>
      <c r="H28" s="19">
        <f>IF(F28="","",E28/F28)</f>
        <v/>
      </c>
      <c r="I28" s="26">
        <f>IF(OR(D28="",D16=""),"",D28/D16-1)</f>
        <v/>
      </c>
      <c r="J28" s="19">
        <f>IF(OR(E28="",E16=""),"",E28/E16-1)</f>
        <v/>
      </c>
      <c r="K28" s="19">
        <f>IF(OR(F28="",F16=""),"",F28/F16-1)</f>
        <v/>
      </c>
      <c r="L28" s="19">
        <f>IF(OR(D28="",D27=""),"",D28/D27-1)</f>
        <v/>
      </c>
      <c r="M28" s="19">
        <f>IF(OR(E28="",E27=""),"",E28/E27-1)</f>
        <v/>
      </c>
      <c r="N28" s="19">
        <f>IF(OR(F28="",F27=""),"",F28/F27-1)</f>
        <v/>
      </c>
      <c r="O28" s="22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IF(Q28="","",O28/Q28)</f>
        <v/>
      </c>
      <c r="S28" s="23">
        <f>IF(Q28="","",P28/Q28)</f>
        <v/>
      </c>
      <c r="T28" s="24">
        <f>IF(SUMIFS('Monthly NSE Equity Options'!$L:$L,'Monthly NSE Equity Options'!$A:$A,$A28)=0,"",SUMIFS('Monthly NSE Equity Options'!$L:$L,'Monthly NSE Equity Options'!$A:$A,$A28))</f>
        <v/>
      </c>
      <c r="U28" s="9">
        <f>IF(SUMIFS('Monthly BSE Equity Options'!$L:$L,'Monthly BSE Equity Options'!$A:$A,$A28)=0,"",SUMIFS('Monthly BSE Equity Options'!$L:$L,'Monthly BSE Equity Options'!$A:$A,$A28))</f>
        <v/>
      </c>
      <c r="V28" s="9">
        <f>IF(OR(T28="",U28=""),"",T28+U28)</f>
        <v/>
      </c>
      <c r="W28" s="25">
        <f>IF(V28="","",T28/V28)</f>
        <v/>
      </c>
      <c r="X28" s="25">
        <f>IF(V28="","",U28/V28)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19">
        <f>IF(F29="","",D29/F29)</f>
        <v/>
      </c>
      <c r="H29" s="19">
        <f>IF(F29="","",E29/F29)</f>
        <v/>
      </c>
      <c r="I29" s="26">
        <f>IF(OR(D29="",D17=""),"",D29/D17-1)</f>
        <v/>
      </c>
      <c r="J29" s="19">
        <f>IF(OR(E29="",E17=""),"",E29/E17-1)</f>
        <v/>
      </c>
      <c r="K29" s="19">
        <f>IF(OR(F29="",F17=""),"",F29/F17-1)</f>
        <v/>
      </c>
      <c r="L29" s="19">
        <f>IF(OR(D29="",D28=""),"",D29/D28-1)</f>
        <v/>
      </c>
      <c r="M29" s="19">
        <f>IF(OR(E29="",E28=""),"",E29/E28-1)</f>
        <v/>
      </c>
      <c r="N29" s="19">
        <f>IF(OR(F29="",F28=""),"",F29/F28-1)</f>
        <v/>
      </c>
      <c r="O29" s="22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IF(Q29="","",O29/Q29)</f>
        <v/>
      </c>
      <c r="S29" s="23">
        <f>IF(Q29="","",P29/Q29)</f>
        <v/>
      </c>
      <c r="T29" s="24">
        <f>IF(SUMIFS('Monthly NSE Equity Options'!$L:$L,'Monthly NSE Equity Options'!$A:$A,$A29)=0,"",SUMIFS('Monthly NSE Equity Options'!$L:$L,'Monthly NSE Equity Options'!$A:$A,$A29))</f>
        <v/>
      </c>
      <c r="U29" s="9">
        <f>IF(SUMIFS('Monthly BSE Equity Options'!$L:$L,'Monthly BSE Equity Options'!$A:$A,$A29)=0,"",SUMIFS('Monthly BSE Equity Options'!$L:$L,'Monthly BSE Equity Options'!$A:$A,$A29))</f>
        <v/>
      </c>
      <c r="V29" s="9">
        <f>IF(OR(T29="",U29=""),"",T29+U29)</f>
        <v/>
      </c>
      <c r="W29" s="25">
        <f>IF(V29="","",T29/V29)</f>
        <v/>
      </c>
      <c r="X29" s="25">
        <f>IF(V29="","",U29/V29)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19">
        <f>IF(F30="","",D30/F30)</f>
        <v/>
      </c>
      <c r="H30" s="19">
        <f>IF(F30="","",E30/F30)</f>
        <v/>
      </c>
      <c r="I30" s="26">
        <f>IF(OR(D30="",D18=""),"",D30/D18-1)</f>
        <v/>
      </c>
      <c r="J30" s="19">
        <f>IF(OR(E30="",E18=""),"",E30/E18-1)</f>
        <v/>
      </c>
      <c r="K30" s="19">
        <f>IF(OR(F30="",F18=""),"",F30/F18-1)</f>
        <v/>
      </c>
      <c r="L30" s="19">
        <f>IF(OR(D30="",D29=""),"",D30/D29-1)</f>
        <v/>
      </c>
      <c r="M30" s="19">
        <f>IF(OR(E30="",E29=""),"",E30/E29-1)</f>
        <v/>
      </c>
      <c r="N30" s="19">
        <f>IF(OR(F30="",F29=""),"",F30/F29-1)</f>
        <v/>
      </c>
      <c r="O30" s="22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IF(Q30="","",O30/Q30)</f>
        <v/>
      </c>
      <c r="S30" s="23">
        <f>IF(Q30="","",P30/Q30)</f>
        <v/>
      </c>
      <c r="T30" s="24">
        <f>IF(SUMIFS('Monthly NSE Equity Options'!$L:$L,'Monthly NSE Equity Options'!$A:$A,$A30)=0,"",SUMIFS('Monthly NSE Equity Options'!$L:$L,'Monthly NSE Equity Options'!$A:$A,$A30))</f>
        <v/>
      </c>
      <c r="U30" s="9">
        <f>IF(SUMIFS('Monthly BSE Equity Options'!$L:$L,'Monthly BSE Equity Options'!$A:$A,$A30)=0,"",SUMIFS('Monthly BSE Equity Options'!$L:$L,'Monthly BSE Equity Options'!$A:$A,$A30))</f>
        <v/>
      </c>
      <c r="V30" s="9">
        <f>IF(OR(T30="",U30=""),"",T30+U30)</f>
        <v/>
      </c>
      <c r="W30" s="25">
        <f>IF(V30="","",T30/V30)</f>
        <v/>
      </c>
      <c r="X30" s="25">
        <f>IF(V30="","",U30/V30)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19">
        <f>IF(F31="","",D31/F31)</f>
        <v/>
      </c>
      <c r="H31" s="19">
        <f>IF(F31="","",E31/F31)</f>
        <v/>
      </c>
      <c r="I31" s="26">
        <f>IF(OR(D31="",D19=""),"",D31/D19-1)</f>
        <v/>
      </c>
      <c r="J31" s="19">
        <f>IF(OR(E31="",E19=""),"",E31/E19-1)</f>
        <v/>
      </c>
      <c r="K31" s="19">
        <f>IF(OR(F31="",F19=""),"",F31/F19-1)</f>
        <v/>
      </c>
      <c r="L31" s="19">
        <f>IF(OR(D31="",D30=""),"",D31/D30-1)</f>
        <v/>
      </c>
      <c r="M31" s="19">
        <f>IF(OR(E31="",E30=""),"",E31/E30-1)</f>
        <v/>
      </c>
      <c r="N31" s="19">
        <f>IF(OR(F31="",F30=""),"",F31/F30-1)</f>
        <v/>
      </c>
      <c r="O31" s="22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IF(Q31="","",O31/Q31)</f>
        <v/>
      </c>
      <c r="S31" s="23">
        <f>IF(Q31="","",P31/Q31)</f>
        <v/>
      </c>
      <c r="T31" s="24">
        <f>IF(SUMIFS('Monthly NSE Equity Options'!$L:$L,'Monthly NSE Equity Options'!$A:$A,$A31)=0,"",SUMIFS('Monthly NSE Equity Options'!$L:$L,'Monthly NSE Equity Options'!$A:$A,$A31))</f>
        <v/>
      </c>
      <c r="U31" s="9">
        <f>IF(SUMIFS('Monthly BSE Equity Options'!$L:$L,'Monthly BSE Equity Options'!$A:$A,$A31)=0,"",SUMIFS('Monthly BSE Equity Options'!$L:$L,'Monthly BSE Equity Options'!$A:$A,$A31))</f>
        <v/>
      </c>
      <c r="V31" s="9">
        <f>IF(OR(T31="",U31=""),"",T31+U31)</f>
        <v/>
      </c>
      <c r="W31" s="25">
        <f>IF(V31="","",T31/V31)</f>
        <v/>
      </c>
      <c r="X31" s="25">
        <f>IF(V31="","",U31/V31)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19">
        <f>IF(F32="","",D32/F32)</f>
        <v/>
      </c>
      <c r="H32" s="19">
        <f>IF(F32="","",E32/F32)</f>
        <v/>
      </c>
      <c r="I32" s="26">
        <f>IF(OR(D32="",D20=""),"",D32/D20-1)</f>
        <v/>
      </c>
      <c r="J32" s="19">
        <f>IF(OR(E32="",E20=""),"",E32/E20-1)</f>
        <v/>
      </c>
      <c r="K32" s="19">
        <f>IF(OR(F32="",F20=""),"",F32/F20-1)</f>
        <v/>
      </c>
      <c r="L32" s="19">
        <f>IF(OR(D32="",D31=""),"",D32/D31-1)</f>
        <v/>
      </c>
      <c r="M32" s="19">
        <f>IF(OR(E32="",E31=""),"",E32/E31-1)</f>
        <v/>
      </c>
      <c r="N32" s="19">
        <f>IF(OR(F32="",F31=""),"",F32/F31-1)</f>
        <v/>
      </c>
      <c r="O32" s="22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IF(Q32="","",O32/Q32)</f>
        <v/>
      </c>
      <c r="S32" s="23">
        <f>IF(Q32="","",P32/Q32)</f>
        <v/>
      </c>
      <c r="T32" s="24">
        <f>IF(SUMIFS('Monthly NSE Equity Options'!$L:$L,'Monthly NSE Equity Options'!$A:$A,$A32)=0,"",SUMIFS('Monthly NSE Equity Options'!$L:$L,'Monthly NSE Equity Options'!$A:$A,$A32))</f>
        <v/>
      </c>
      <c r="U32" s="9">
        <f>IF(SUMIFS('Monthly BSE Equity Options'!$L:$L,'Monthly BSE Equity Options'!$A:$A,$A32)=0,"",SUMIFS('Monthly BSE Equity Options'!$L:$L,'Monthly BSE Equity Options'!$A:$A,$A32))</f>
        <v/>
      </c>
      <c r="V32" s="9">
        <f>IF(OR(T32="",U32=""),"",T32+U32)</f>
        <v/>
      </c>
      <c r="W32" s="25">
        <f>IF(V32="","",T32/V32)</f>
        <v/>
      </c>
      <c r="X32" s="25">
        <f>IF(V32="","",U32/V32)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19">
        <f>IF(F33="","",D33/F33)</f>
        <v/>
      </c>
      <c r="H33" s="19">
        <f>IF(F33="","",E33/F33)</f>
        <v/>
      </c>
      <c r="I33" s="26">
        <f>IF(OR(D33="",D21=""),"",D33/D21-1)</f>
        <v/>
      </c>
      <c r="J33" s="19">
        <f>IF(OR(E33="",E21=""),"",E33/E21-1)</f>
        <v/>
      </c>
      <c r="K33" s="19">
        <f>IF(OR(F33="",F21=""),"",F33/F21-1)</f>
        <v/>
      </c>
      <c r="L33" s="19">
        <f>IF(OR(D33="",D32=""),"",D33/D32-1)</f>
        <v/>
      </c>
      <c r="M33" s="19">
        <f>IF(OR(E33="",E32=""),"",E33/E32-1)</f>
        <v/>
      </c>
      <c r="N33" s="19">
        <f>IF(OR(F33="",F32=""),"",F33/F32-1)</f>
        <v/>
      </c>
      <c r="O33" s="22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IF(Q33="","",O33/Q33)</f>
        <v/>
      </c>
      <c r="S33" s="23">
        <f>IF(Q33="","",P33/Q33)</f>
        <v/>
      </c>
      <c r="T33" s="24">
        <f>IF(SUMIFS('Monthly NSE Equity Options'!$L:$L,'Monthly NSE Equity Options'!$A:$A,$A33)=0,"",SUMIFS('Monthly NSE Equity Options'!$L:$L,'Monthly NSE Equity Options'!$A:$A,$A33))</f>
        <v/>
      </c>
      <c r="U33" s="9">
        <f>IF(SUMIFS('Monthly BSE Equity Options'!$L:$L,'Monthly BSE Equity Options'!$A:$A,$A33)=0,"",SUMIFS('Monthly BSE Equity Options'!$L:$L,'Monthly BSE Equity Options'!$A:$A,$A33))</f>
        <v/>
      </c>
      <c r="V33" s="9">
        <f>IF(OR(T33="",U33=""),"",T33+U33)</f>
        <v/>
      </c>
      <c r="W33" s="25">
        <f>IF(V33="","",T33/V33)</f>
        <v/>
      </c>
      <c r="X33" s="25">
        <f>IF(V33="","",U33/V33)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19">
        <f>IF(F34="","",D34/F34)</f>
        <v/>
      </c>
      <c r="H34" s="19">
        <f>IF(F34="","",E34/F34)</f>
        <v/>
      </c>
      <c r="I34" s="26">
        <f>IF(OR(D34="",D22=""),"",D34/D22-1)</f>
        <v/>
      </c>
      <c r="J34" s="19">
        <f>IF(OR(E34="",E22=""),"",E34/E22-1)</f>
        <v/>
      </c>
      <c r="K34" s="19">
        <f>IF(OR(F34="",F22=""),"",F34/F22-1)</f>
        <v/>
      </c>
      <c r="L34" s="19">
        <f>IF(OR(D34="",D33=""),"",D34/D33-1)</f>
        <v/>
      </c>
      <c r="M34" s="19">
        <f>IF(OR(E34="",E33=""),"",E34/E33-1)</f>
        <v/>
      </c>
      <c r="N34" s="19">
        <f>IF(OR(F34="",F33=""),"",F34/F33-1)</f>
        <v/>
      </c>
      <c r="O34" s="22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IF(Q34="","",O34/Q34)</f>
        <v/>
      </c>
      <c r="S34" s="23">
        <f>IF(Q34="","",P34/Q34)</f>
        <v/>
      </c>
      <c r="T34" s="24">
        <f>IF(SUMIFS('Monthly NSE Equity Options'!$L:$L,'Monthly NSE Equity Options'!$A:$A,$A34)=0,"",SUMIFS('Monthly NSE Equity Options'!$L:$L,'Monthly NSE Equity Options'!$A:$A,$A34))</f>
        <v/>
      </c>
      <c r="U34" s="9">
        <f>IF(SUMIFS('Monthly BSE Equity Options'!$L:$L,'Monthly BSE Equity Options'!$A:$A,$A34)=0,"",SUMIFS('Monthly BSE Equity Options'!$L:$L,'Monthly BSE Equity Options'!$A:$A,$A34))</f>
        <v/>
      </c>
      <c r="V34" s="9">
        <f>IF(OR(T34="",U34=""),"",T34+U34)</f>
        <v/>
      </c>
      <c r="W34" s="25">
        <f>IF(V34="","",T34/V34)</f>
        <v/>
      </c>
      <c r="X34" s="25">
        <f>IF(V34="","",U34/V34)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19">
        <f>IF(F35="","",D35/F35)</f>
        <v/>
      </c>
      <c r="H35" s="19">
        <f>IF(F35="","",E35/F35)</f>
        <v/>
      </c>
      <c r="I35" s="26">
        <f>IF(OR(D35="",D23=""),"",D35/D23-1)</f>
        <v/>
      </c>
      <c r="J35" s="19">
        <f>IF(OR(E35="",E23=""),"",E35/E23-1)</f>
        <v/>
      </c>
      <c r="K35" s="19">
        <f>IF(OR(F35="",F23=""),"",F35/F23-1)</f>
        <v/>
      </c>
      <c r="L35" s="19">
        <f>IF(OR(D35="",D34=""),"",D35/D34-1)</f>
        <v/>
      </c>
      <c r="M35" s="19">
        <f>IF(OR(E35="",E34=""),"",E35/E34-1)</f>
        <v/>
      </c>
      <c r="N35" s="19">
        <f>IF(OR(F35="",F34=""),"",F35/F34-1)</f>
        <v/>
      </c>
      <c r="O35" s="22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IF(Q35="","",O35/Q35)</f>
        <v/>
      </c>
      <c r="S35" s="23">
        <f>IF(Q35="","",P35/Q35)</f>
        <v/>
      </c>
      <c r="T35" s="24">
        <f>IF(SUMIFS('Monthly NSE Equity Options'!$L:$L,'Monthly NSE Equity Options'!$A:$A,$A35)=0,"",SUMIFS('Monthly NSE Equity Options'!$L:$L,'Monthly NSE Equity Options'!$A:$A,$A35))</f>
        <v/>
      </c>
      <c r="U35" s="9">
        <f>IF(SUMIFS('Monthly BSE Equity Options'!$L:$L,'Monthly BSE Equity Options'!$A:$A,$A35)=0,"",SUMIFS('Monthly BSE Equity Options'!$L:$L,'Monthly BSE Equity Options'!$A:$A,$A35))</f>
        <v/>
      </c>
      <c r="V35" s="9">
        <f>IF(OR(T35="",U35=""),"",T35+U35)</f>
        <v/>
      </c>
      <c r="W35" s="25">
        <f>IF(V35="","",T35/V35)</f>
        <v/>
      </c>
      <c r="X35" s="25">
        <f>IF(V35="","",U35/V35)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19">
        <f>IF(F36="","",D36/F36)</f>
        <v/>
      </c>
      <c r="H36" s="19">
        <f>IF(F36="","",E36/F36)</f>
        <v/>
      </c>
      <c r="I36" s="26">
        <f>IF(OR(D36="",D24=""),"",D36/D24-1)</f>
        <v/>
      </c>
      <c r="J36" s="19">
        <f>IF(OR(E36="",E24=""),"",E36/E24-1)</f>
        <v/>
      </c>
      <c r="K36" s="19">
        <f>IF(OR(F36="",F24=""),"",F36/F24-1)</f>
        <v/>
      </c>
      <c r="L36" s="19">
        <f>IF(OR(D36="",D35=""),"",D36/D35-1)</f>
        <v/>
      </c>
      <c r="M36" s="19">
        <f>IF(OR(E36="",E35=""),"",E36/E35-1)</f>
        <v/>
      </c>
      <c r="N36" s="19">
        <f>IF(OR(F36="",F35=""),"",F36/F35-1)</f>
        <v/>
      </c>
      <c r="O36" s="22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IF(Q36="","",O36/Q36)</f>
        <v/>
      </c>
      <c r="S36" s="23">
        <f>IF(Q36="","",P36/Q36)</f>
        <v/>
      </c>
      <c r="T36" s="24">
        <f>IF(SUMIFS('Monthly NSE Equity Options'!$L:$L,'Monthly NSE Equity Options'!$A:$A,$A36)=0,"",SUMIFS('Monthly NSE Equity Options'!$L:$L,'Monthly NSE Equity Options'!$A:$A,$A36))</f>
        <v/>
      </c>
      <c r="U36" s="9">
        <f>IF(SUMIFS('Monthly BSE Equity Options'!$L:$L,'Monthly BSE Equity Options'!$A:$A,$A36)=0,"",SUMIFS('Monthly BSE Equity Options'!$L:$L,'Monthly BSE Equity Options'!$A:$A,$A36))</f>
        <v/>
      </c>
      <c r="V36" s="9">
        <f>IF(OR(T36="",U36=""),"",T36+U36)</f>
        <v/>
      </c>
      <c r="W36" s="25">
        <f>IF(V36="","",T36/V36)</f>
        <v/>
      </c>
      <c r="X36" s="25">
        <f>IF(V36="","",U36/V36)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19">
        <f>IF(F37="","",D37/F37)</f>
        <v/>
      </c>
      <c r="H37" s="19">
        <f>IF(F37="","",E37/F37)</f>
        <v/>
      </c>
      <c r="I37" s="26">
        <f>IF(OR(D37="",D25=""),"",D37/D25-1)</f>
        <v/>
      </c>
      <c r="J37" s="19">
        <f>IF(OR(E37="",E25=""),"",E37/E25-1)</f>
        <v/>
      </c>
      <c r="K37" s="19">
        <f>IF(OR(F37="",F25=""),"",F37/F25-1)</f>
        <v/>
      </c>
      <c r="L37" s="19">
        <f>IF(OR(D37="",D36=""),"",D37/D36-1)</f>
        <v/>
      </c>
      <c r="M37" s="19">
        <f>IF(OR(E37="",E36=""),"",E37/E36-1)</f>
        <v/>
      </c>
      <c r="N37" s="19">
        <f>IF(OR(F37="",F36=""),"",F37/F36-1)</f>
        <v/>
      </c>
      <c r="O37" s="22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IF(Q37="","",O37/Q37)</f>
        <v/>
      </c>
      <c r="S37" s="23">
        <f>IF(Q37="","",P37/Q37)</f>
        <v/>
      </c>
      <c r="T37" s="24">
        <f>IF(SUMIFS('Monthly NSE Equity Options'!$L:$L,'Monthly NSE Equity Options'!$A:$A,$A37)=0,"",SUMIFS('Monthly NSE Equity Options'!$L:$L,'Monthly NSE Equity Options'!$A:$A,$A37))</f>
        <v/>
      </c>
      <c r="U37" s="9">
        <f>IF(SUMIFS('Monthly BSE Equity Options'!$L:$L,'Monthly BSE Equity Options'!$A:$A,$A37)=0,"",SUMIFS('Monthly BSE Equity Options'!$L:$L,'Monthly BSE Equity Options'!$A:$A,$A37))</f>
        <v/>
      </c>
      <c r="V37" s="9">
        <f>IF(OR(T37="",U37=""),"",T37+U37)</f>
        <v/>
      </c>
      <c r="W37" s="25">
        <f>IF(V37="","",T37/V37)</f>
        <v/>
      </c>
      <c r="X37" s="25">
        <f>IF(V37="","",U37/V37)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19">
        <f>IF(F38="","",D38/F38)</f>
        <v/>
      </c>
      <c r="H38" s="19">
        <f>IF(F38="","",E38/F38)</f>
        <v/>
      </c>
      <c r="I38" s="26">
        <f>IF(OR(D38="",D26=""),"",D38/D26-1)</f>
        <v/>
      </c>
      <c r="J38" s="19">
        <f>IF(OR(E38="",E26=""),"",E38/E26-1)</f>
        <v/>
      </c>
      <c r="K38" s="19">
        <f>IF(OR(F38="",F26=""),"",F38/F26-1)</f>
        <v/>
      </c>
      <c r="L38" s="19">
        <f>IF(OR(D38="",D37=""),"",D38/D37-1)</f>
        <v/>
      </c>
      <c r="M38" s="19">
        <f>IF(OR(E38="",E37=""),"",E38/E37-1)</f>
        <v/>
      </c>
      <c r="N38" s="19">
        <f>IF(OR(F38="",F37=""),"",F38/F37-1)</f>
        <v/>
      </c>
      <c r="O38" s="22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IF(Q38="","",O38/Q38)</f>
        <v/>
      </c>
      <c r="S38" s="23">
        <f>IF(Q38="","",P38/Q38)</f>
        <v/>
      </c>
      <c r="T38" s="24">
        <f>IF(SUMIFS('Monthly NSE Equity Options'!$L:$L,'Monthly NSE Equity Options'!$A:$A,$A38)=0,"",SUMIFS('Monthly NSE Equity Options'!$L:$L,'Monthly NSE Equity Options'!$A:$A,$A38))</f>
        <v/>
      </c>
      <c r="U38" s="9">
        <f>IF(SUMIFS('Monthly BSE Equity Options'!$L:$L,'Monthly BSE Equity Options'!$A:$A,$A38)=0,"",SUMIFS('Monthly BSE Equity Options'!$L:$L,'Monthly BSE Equity Options'!$A:$A,$A38))</f>
        <v/>
      </c>
      <c r="V38" s="9">
        <f>IF(OR(T38="",U38=""),"",T38+U38)</f>
        <v/>
      </c>
      <c r="W38" s="25">
        <f>IF(V38="","",T38/V38)</f>
        <v/>
      </c>
      <c r="X38" s="25">
        <f>IF(V38="","",U38/V38)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19">
        <f>IF(F39="","",D39/F39)</f>
        <v/>
      </c>
      <c r="H39" s="19">
        <f>IF(F39="","",E39/F39)</f>
        <v/>
      </c>
      <c r="I39" s="26">
        <f>IF(OR(D39="",D27=""),"",D39/D27-1)</f>
        <v/>
      </c>
      <c r="J39" s="19">
        <f>IF(OR(E39="",E27=""),"",E39/E27-1)</f>
        <v/>
      </c>
      <c r="K39" s="19">
        <f>IF(OR(F39="",F27=""),"",F39/F27-1)</f>
        <v/>
      </c>
      <c r="L39" s="19">
        <f>IF(OR(D39="",D38=""),"",D39/D38-1)</f>
        <v/>
      </c>
      <c r="M39" s="19">
        <f>IF(OR(E39="",E38=""),"",E39/E38-1)</f>
        <v/>
      </c>
      <c r="N39" s="19">
        <f>IF(OR(F39="",F38=""),"",F39/F38-1)</f>
        <v/>
      </c>
      <c r="O39" s="22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IF(Q39="","",O39/Q39)</f>
        <v/>
      </c>
      <c r="S39" s="23">
        <f>IF(Q39="","",P39/Q39)</f>
        <v/>
      </c>
      <c r="T39" s="24">
        <f>IF(SUMIFS('Monthly NSE Equity Options'!$L:$L,'Monthly NSE Equity Options'!$A:$A,$A39)=0,"",SUMIFS('Monthly NSE Equity Options'!$L:$L,'Monthly NSE Equity Options'!$A:$A,$A39))</f>
        <v/>
      </c>
      <c r="U39" s="9">
        <f>IF(SUMIFS('Monthly BSE Equity Options'!$L:$L,'Monthly BSE Equity Options'!$A:$A,$A39)=0,"",SUMIFS('Monthly BSE Equity Options'!$L:$L,'Monthly BSE Equity Options'!$A:$A,$A39))</f>
        <v/>
      </c>
      <c r="V39" s="9">
        <f>IF(OR(T39="",U39=""),"",T39+U39)</f>
        <v/>
      </c>
      <c r="W39" s="25">
        <f>IF(V39="","",T39/V39)</f>
        <v/>
      </c>
      <c r="X39" s="25">
        <f>IF(V39="","",U39/V39)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19">
        <f>IF(F40="","",D40/F40)</f>
        <v/>
      </c>
      <c r="H40" s="19">
        <f>IF(F40="","",E40/F40)</f>
        <v/>
      </c>
      <c r="I40" s="26">
        <f>IF(OR(D40="",D28=""),"",D40/D28-1)</f>
        <v/>
      </c>
      <c r="J40" s="19">
        <f>IF(OR(E40="",E28=""),"",E40/E28-1)</f>
        <v/>
      </c>
      <c r="K40" s="19">
        <f>IF(OR(F40="",F28=""),"",F40/F28-1)</f>
        <v/>
      </c>
      <c r="L40" s="19">
        <f>IF(OR(D40="",D39=""),"",D40/D39-1)</f>
        <v/>
      </c>
      <c r="M40" s="19">
        <f>IF(OR(E40="",E39=""),"",E40/E39-1)</f>
        <v/>
      </c>
      <c r="N40" s="19">
        <f>IF(OR(F40="",F39=""),"",F40/F39-1)</f>
        <v/>
      </c>
      <c r="O40" s="22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IF(Q40="","",O40/Q40)</f>
        <v/>
      </c>
      <c r="S40" s="23">
        <f>IF(Q40="","",P40/Q40)</f>
        <v/>
      </c>
      <c r="T40" s="24">
        <f>IF(SUMIFS('Monthly NSE Equity Options'!$L:$L,'Monthly NSE Equity Options'!$A:$A,$A40)=0,"",SUMIFS('Monthly NSE Equity Options'!$L:$L,'Monthly NSE Equity Options'!$A:$A,$A40))</f>
        <v/>
      </c>
      <c r="U40" s="9">
        <f>IF(SUMIFS('Monthly BSE Equity Options'!$L:$L,'Monthly BSE Equity Options'!$A:$A,$A40)=0,"",SUMIFS('Monthly BSE Equity Options'!$L:$L,'Monthly BSE Equity Options'!$A:$A,$A40))</f>
        <v/>
      </c>
      <c r="V40" s="9">
        <f>IF(OR(T40="",U40=""),"",T40+U40)</f>
        <v/>
      </c>
      <c r="W40" s="25">
        <f>IF(V40="","",T40/V40)</f>
        <v/>
      </c>
      <c r="X40" s="25">
        <f>IF(V40="","",U40/V40)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19">
        <f>IF(F41="","",D41/F41)</f>
        <v/>
      </c>
      <c r="H41" s="19">
        <f>IF(F41="","",E41/F41)</f>
        <v/>
      </c>
      <c r="I41" s="26">
        <f>IF(OR(D41="",D29=""),"",D41/D29-1)</f>
        <v/>
      </c>
      <c r="J41" s="19">
        <f>IF(OR(E41="",E29=""),"",E41/E29-1)</f>
        <v/>
      </c>
      <c r="K41" s="19">
        <f>IF(OR(F41="",F29=""),"",F41/F29-1)</f>
        <v/>
      </c>
      <c r="L41" s="19">
        <f>IF(OR(D41="",D40=""),"",D41/D40-1)</f>
        <v/>
      </c>
      <c r="M41" s="19">
        <f>IF(OR(E41="",E40=""),"",E41/E40-1)</f>
        <v/>
      </c>
      <c r="N41" s="19">
        <f>IF(OR(F41="",F40=""),"",F41/F40-1)</f>
        <v/>
      </c>
      <c r="O41" s="22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IF(Q41="","",O41/Q41)</f>
        <v/>
      </c>
      <c r="S41" s="23">
        <f>IF(Q41="","",P41/Q41)</f>
        <v/>
      </c>
      <c r="T41" s="24">
        <f>IF(SUMIFS('Monthly NSE Equity Options'!$L:$L,'Monthly NSE Equity Options'!$A:$A,$A41)=0,"",SUMIFS('Monthly NSE Equity Options'!$L:$L,'Monthly NSE Equity Options'!$A:$A,$A41))</f>
        <v/>
      </c>
      <c r="U41" s="9">
        <f>IF(SUMIFS('Monthly BSE Equity Options'!$L:$L,'Monthly BSE Equity Options'!$A:$A,$A41)=0,"",SUMIFS('Monthly BSE Equity Options'!$L:$L,'Monthly BSE Equity Options'!$A:$A,$A41))</f>
        <v/>
      </c>
      <c r="V41" s="9">
        <f>IF(OR(T41="",U41=""),"",T41+U41)</f>
        <v/>
      </c>
      <c r="W41" s="25">
        <f>IF(V41="","",T41/V41)</f>
        <v/>
      </c>
      <c r="X41" s="25">
        <f>IF(V41="","",U41/V41)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19">
        <f>IF(F42="","",D42/F42)</f>
        <v/>
      </c>
      <c r="H42" s="19">
        <f>IF(F42="","",E42/F42)</f>
        <v/>
      </c>
      <c r="I42" s="26">
        <f>IF(OR(D42="",D30=""),"",D42/D30-1)</f>
        <v/>
      </c>
      <c r="J42" s="19">
        <f>IF(OR(E42="",E30=""),"",E42/E30-1)</f>
        <v/>
      </c>
      <c r="K42" s="19">
        <f>IF(OR(F42="",F30=""),"",F42/F30-1)</f>
        <v/>
      </c>
      <c r="L42" s="19">
        <f>IF(OR(D42="",D41=""),"",D42/D41-1)</f>
        <v/>
      </c>
      <c r="M42" s="19">
        <f>IF(OR(E42="",E41=""),"",E42/E41-1)</f>
        <v/>
      </c>
      <c r="N42" s="19">
        <f>IF(OR(F42="",F41=""),"",F42/F41-1)</f>
        <v/>
      </c>
      <c r="O42" s="22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IF(Q42="","",O42/Q42)</f>
        <v/>
      </c>
      <c r="S42" s="23">
        <f>IF(Q42="","",P42/Q42)</f>
        <v/>
      </c>
      <c r="T42" s="24">
        <f>IF(SUMIFS('Monthly NSE Equity Options'!$L:$L,'Monthly NSE Equity Options'!$A:$A,$A42)=0,"",SUMIFS('Monthly NSE Equity Options'!$L:$L,'Monthly NSE Equity Options'!$A:$A,$A42))</f>
        <v/>
      </c>
      <c r="U42" s="9">
        <f>IF(SUMIFS('Monthly BSE Equity Options'!$L:$L,'Monthly BSE Equity Options'!$A:$A,$A42)=0,"",SUMIFS('Monthly BSE Equity Options'!$L:$L,'Monthly BSE Equity Options'!$A:$A,$A42))</f>
        <v/>
      </c>
      <c r="V42" s="9">
        <f>IF(OR(T42="",U42=""),"",T42+U42)</f>
        <v/>
      </c>
      <c r="W42" s="25">
        <f>IF(V42="","",T42/V42)</f>
        <v/>
      </c>
      <c r="X42" s="25">
        <f>IF(V42="","",U42/V42)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19">
        <f>IF(F43="","",D43/F43)</f>
        <v/>
      </c>
      <c r="H43" s="19">
        <f>IF(F43="","",E43/F43)</f>
        <v/>
      </c>
      <c r="I43" s="26">
        <f>IF(OR(D43="",D31=""),"",D43/D31-1)</f>
        <v/>
      </c>
      <c r="J43" s="19">
        <f>IF(OR(E43="",E31=""),"",E43/E31-1)</f>
        <v/>
      </c>
      <c r="K43" s="19">
        <f>IF(OR(F43="",F31=""),"",F43/F31-1)</f>
        <v/>
      </c>
      <c r="L43" s="19">
        <f>IF(OR(D43="",D42=""),"",D43/D42-1)</f>
        <v/>
      </c>
      <c r="M43" s="19">
        <f>IF(OR(E43="",E42=""),"",E43/E42-1)</f>
        <v/>
      </c>
      <c r="N43" s="19">
        <f>IF(OR(F43="",F42=""),"",F43/F42-1)</f>
        <v/>
      </c>
      <c r="O43" s="22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IF(Q43="","",O43/Q43)</f>
        <v/>
      </c>
      <c r="S43" s="23">
        <f>IF(Q43="","",P43/Q43)</f>
        <v/>
      </c>
      <c r="T43" s="24">
        <f>IF(SUMIFS('Monthly NSE Equity Options'!$L:$L,'Monthly NSE Equity Options'!$A:$A,$A43)=0,"",SUMIFS('Monthly NSE Equity Options'!$L:$L,'Monthly NSE Equity Options'!$A:$A,$A43))</f>
        <v/>
      </c>
      <c r="U43" s="9">
        <f>IF(SUMIFS('Monthly BSE Equity Options'!$L:$L,'Monthly BSE Equity Options'!$A:$A,$A43)=0,"",SUMIFS('Monthly BSE Equity Options'!$L:$L,'Monthly BSE Equity Options'!$A:$A,$A43))</f>
        <v/>
      </c>
      <c r="V43" s="9">
        <f>IF(OR(T43="",U43=""),"",T43+U43)</f>
        <v/>
      </c>
      <c r="W43" s="25">
        <f>IF(V43="","",T43/V43)</f>
        <v/>
      </c>
      <c r="X43" s="25">
        <f>IF(V43="","",U43/V43)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19">
        <f>IF(F44="","",D44/F44)</f>
        <v/>
      </c>
      <c r="H44" s="19">
        <f>IF(F44="","",E44/F44)</f>
        <v/>
      </c>
      <c r="I44" s="26">
        <f>IF(OR(D44="",D32=""),"",D44/D32-1)</f>
        <v/>
      </c>
      <c r="J44" s="19">
        <f>IF(OR(E44="",E32=""),"",E44/E32-1)</f>
        <v/>
      </c>
      <c r="K44" s="19">
        <f>IF(OR(F44="",F32=""),"",F44/F32-1)</f>
        <v/>
      </c>
      <c r="L44" s="19">
        <f>IF(OR(D44="",D43=""),"",D44/D43-1)</f>
        <v/>
      </c>
      <c r="M44" s="19">
        <f>IF(OR(E44="",E43=""),"",E44/E43-1)</f>
        <v/>
      </c>
      <c r="N44" s="19">
        <f>IF(OR(F44="",F43=""),"",F44/F43-1)</f>
        <v/>
      </c>
      <c r="O44" s="22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IF(Q44="","",O44/Q44)</f>
        <v/>
      </c>
      <c r="S44" s="23">
        <f>IF(Q44="","",P44/Q44)</f>
        <v/>
      </c>
      <c r="T44" s="24">
        <f>IF(SUMIFS('Monthly NSE Equity Options'!$L:$L,'Monthly NSE Equity Options'!$A:$A,$A44)=0,"",SUMIFS('Monthly NSE Equity Options'!$L:$L,'Monthly NSE Equity Options'!$A:$A,$A44))</f>
        <v/>
      </c>
      <c r="U44" s="9">
        <f>IF(SUMIFS('Monthly BSE Equity Options'!$L:$L,'Monthly BSE Equity Options'!$A:$A,$A44)=0,"",SUMIFS('Monthly BSE Equity Options'!$L:$L,'Monthly BSE Equity Options'!$A:$A,$A44))</f>
        <v/>
      </c>
      <c r="V44" s="9">
        <f>IF(OR(T44="",U44=""),"",T44+U44)</f>
        <v/>
      </c>
      <c r="W44" s="25">
        <f>IF(V44="","",T44/V44)</f>
        <v/>
      </c>
      <c r="X44" s="25">
        <f>IF(V44="","",U44/V44)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19">
        <f>IF(F45="","",D45/F45)</f>
        <v/>
      </c>
      <c r="H45" s="19">
        <f>IF(F45="","",E45/F45)</f>
        <v/>
      </c>
      <c r="I45" s="26">
        <f>IF(OR(D45="",D33=""),"",D45/D33-1)</f>
        <v/>
      </c>
      <c r="J45" s="19">
        <f>IF(OR(E45="",E33=""),"",E45/E33-1)</f>
        <v/>
      </c>
      <c r="K45" s="19">
        <f>IF(OR(F45="",F33=""),"",F45/F33-1)</f>
        <v/>
      </c>
      <c r="L45" s="19">
        <f>IF(OR(D45="",D44=""),"",D45/D44-1)</f>
        <v/>
      </c>
      <c r="M45" s="19">
        <f>IF(OR(E45="",E44=""),"",E45/E44-1)</f>
        <v/>
      </c>
      <c r="N45" s="19">
        <f>IF(OR(F45="",F44=""),"",F45/F44-1)</f>
        <v/>
      </c>
      <c r="O45" s="22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IF(Q45="","",O45/Q45)</f>
        <v/>
      </c>
      <c r="S45" s="23">
        <f>IF(Q45="","",P45/Q45)</f>
        <v/>
      </c>
      <c r="T45" s="24">
        <f>IF(SUMIFS('Monthly NSE Equity Options'!$L:$L,'Monthly NSE Equity Options'!$A:$A,$A45)=0,"",SUMIFS('Monthly NSE Equity Options'!$L:$L,'Monthly NSE Equity Options'!$A:$A,$A45))</f>
        <v/>
      </c>
      <c r="U45" s="9">
        <f>IF(SUMIFS('Monthly BSE Equity Options'!$L:$L,'Monthly BSE Equity Options'!$A:$A,$A45)=0,"",SUMIFS('Monthly BSE Equity Options'!$L:$L,'Monthly BSE Equity Options'!$A:$A,$A45))</f>
        <v/>
      </c>
      <c r="V45" s="9">
        <f>IF(OR(T45="",U45=""),"",T45+U45)</f>
        <v/>
      </c>
      <c r="W45" s="25">
        <f>IF(V45="","",T45/V45)</f>
        <v/>
      </c>
      <c r="X45" s="25">
        <f>IF(V45="","",U45/V45)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19">
        <f>IF(F46="","",D46/F46)</f>
        <v/>
      </c>
      <c r="H46" s="19">
        <f>IF(F46="","",E46/F46)</f>
        <v/>
      </c>
      <c r="I46" s="26">
        <f>IF(OR(D46="",D34=""),"",D46/D34-1)</f>
        <v/>
      </c>
      <c r="J46" s="19">
        <f>IF(OR(E46="",E34=""),"",E46/E34-1)</f>
        <v/>
      </c>
      <c r="K46" s="19">
        <f>IF(OR(F46="",F34=""),"",F46/F34-1)</f>
        <v/>
      </c>
      <c r="L46" s="19">
        <f>IF(OR(D46="",D45=""),"",D46/D45-1)</f>
        <v/>
      </c>
      <c r="M46" s="19">
        <f>IF(OR(E46="",E45=""),"",E46/E45-1)</f>
        <v/>
      </c>
      <c r="N46" s="19">
        <f>IF(OR(F46="",F45=""),"",F46/F45-1)</f>
        <v/>
      </c>
      <c r="O46" s="22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IF(Q46="","",O46/Q46)</f>
        <v/>
      </c>
      <c r="S46" s="23">
        <f>IF(Q46="","",P46/Q46)</f>
        <v/>
      </c>
      <c r="T46" s="24">
        <f>IF(SUMIFS('Monthly NSE Equity Options'!$L:$L,'Monthly NSE Equity Options'!$A:$A,$A46)=0,"",SUMIFS('Monthly NSE Equity Options'!$L:$L,'Monthly NSE Equity Options'!$A:$A,$A46))</f>
        <v/>
      </c>
      <c r="U46" s="9">
        <f>IF(SUMIFS('Monthly BSE Equity Options'!$L:$L,'Monthly BSE Equity Options'!$A:$A,$A46)=0,"",SUMIFS('Monthly BSE Equity Options'!$L:$L,'Monthly BSE Equity Options'!$A:$A,$A46))</f>
        <v/>
      </c>
      <c r="V46" s="9">
        <f>IF(OR(T46="",U46=""),"",T46+U46)</f>
        <v/>
      </c>
      <c r="W46" s="25">
        <f>IF(V46="","",T46/V46)</f>
        <v/>
      </c>
      <c r="X46" s="25">
        <f>IF(V46="","",U46/V46)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19">
        <f>IF(F47="","",D47/F47)</f>
        <v/>
      </c>
      <c r="H47" s="19">
        <f>IF(F47="","",E47/F47)</f>
        <v/>
      </c>
      <c r="I47" s="26">
        <f>IF(OR(D47="",D35=""),"",D47/D35-1)</f>
        <v/>
      </c>
      <c r="J47" s="19">
        <f>IF(OR(E47="",E35=""),"",E47/E35-1)</f>
        <v/>
      </c>
      <c r="K47" s="19">
        <f>IF(OR(F47="",F35=""),"",F47/F35-1)</f>
        <v/>
      </c>
      <c r="L47" s="19">
        <f>IF(OR(D47="",D46=""),"",D47/D46-1)</f>
        <v/>
      </c>
      <c r="M47" s="19">
        <f>IF(OR(E47="",E46=""),"",E47/E46-1)</f>
        <v/>
      </c>
      <c r="N47" s="19">
        <f>IF(OR(F47="",F46=""),"",F47/F46-1)</f>
        <v/>
      </c>
      <c r="O47" s="22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IF(Q47="","",O47/Q47)</f>
        <v/>
      </c>
      <c r="S47" s="23">
        <f>IF(Q47="","",P47/Q47)</f>
        <v/>
      </c>
      <c r="T47" s="24">
        <f>IF(SUMIFS('Monthly NSE Equity Options'!$L:$L,'Monthly NSE Equity Options'!$A:$A,$A47)=0,"",SUMIFS('Monthly NSE Equity Options'!$L:$L,'Monthly NSE Equity Options'!$A:$A,$A47))</f>
        <v/>
      </c>
      <c r="U47" s="9">
        <f>IF(SUMIFS('Monthly BSE Equity Options'!$L:$L,'Monthly BSE Equity Options'!$A:$A,$A47)=0,"",SUMIFS('Monthly BSE Equity Options'!$L:$L,'Monthly BSE Equity Options'!$A:$A,$A47))</f>
        <v/>
      </c>
      <c r="V47" s="9">
        <f>IF(OR(T47="",U47=""),"",T47+U47)</f>
        <v/>
      </c>
      <c r="W47" s="25">
        <f>IF(V47="","",T47/V47)</f>
        <v/>
      </c>
      <c r="X47" s="25">
        <f>IF(V47="","",U47/V47)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19">
        <f>IF(F48="","",D48/F48)</f>
        <v/>
      </c>
      <c r="H48" s="19">
        <f>IF(F48="","",E48/F48)</f>
        <v/>
      </c>
      <c r="I48" s="26">
        <f>IF(OR(D48="",D36=""),"",D48/D36-1)</f>
        <v/>
      </c>
      <c r="J48" s="19">
        <f>IF(OR(E48="",E36=""),"",E48/E36-1)</f>
        <v/>
      </c>
      <c r="K48" s="19">
        <f>IF(OR(F48="",F36=""),"",F48/F36-1)</f>
        <v/>
      </c>
      <c r="L48" s="19">
        <f>IF(OR(D48="",D47=""),"",D48/D47-1)</f>
        <v/>
      </c>
      <c r="M48" s="19">
        <f>IF(OR(E48="",E47=""),"",E48/E47-1)</f>
        <v/>
      </c>
      <c r="N48" s="19">
        <f>IF(OR(F48="",F47=""),"",F48/F47-1)</f>
        <v/>
      </c>
      <c r="O48" s="22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IF(Q48="","",O48/Q48)</f>
        <v/>
      </c>
      <c r="S48" s="23">
        <f>IF(Q48="","",P48/Q48)</f>
        <v/>
      </c>
      <c r="T48" s="24">
        <f>IF(SUMIFS('Monthly NSE Equity Options'!$L:$L,'Monthly NSE Equity Options'!$A:$A,$A48)=0,"",SUMIFS('Monthly NSE Equity Options'!$L:$L,'Monthly NSE Equity Options'!$A:$A,$A48))</f>
        <v/>
      </c>
      <c r="U48" s="9">
        <f>IF(SUMIFS('Monthly BSE Equity Options'!$L:$L,'Monthly BSE Equity Options'!$A:$A,$A48)=0,"",SUMIFS('Monthly BSE Equity Options'!$L:$L,'Monthly BSE Equity Options'!$A:$A,$A48))</f>
        <v/>
      </c>
      <c r="V48" s="9">
        <f>IF(OR(T48="",U48=""),"",T48+U48)</f>
        <v/>
      </c>
      <c r="W48" s="25">
        <f>IF(V48="","",T48/V48)</f>
        <v/>
      </c>
      <c r="X48" s="25">
        <f>IF(V48="","",U48/V48)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19">
        <f>IF(F49="","",D49/F49)</f>
        <v/>
      </c>
      <c r="H49" s="19">
        <f>IF(F49="","",E49/F49)</f>
        <v/>
      </c>
      <c r="I49" s="26">
        <f>IF(OR(D49="",D37=""),"",D49/D37-1)</f>
        <v/>
      </c>
      <c r="J49" s="19">
        <f>IF(OR(E49="",E37=""),"",E49/E37-1)</f>
        <v/>
      </c>
      <c r="K49" s="19">
        <f>IF(OR(F49="",F37=""),"",F49/F37-1)</f>
        <v/>
      </c>
      <c r="L49" s="19">
        <f>IF(OR(D49="",D48=""),"",D49/D48-1)</f>
        <v/>
      </c>
      <c r="M49" s="19">
        <f>IF(OR(E49="",E48=""),"",E49/E48-1)</f>
        <v/>
      </c>
      <c r="N49" s="19">
        <f>IF(OR(F49="",F48=""),"",F49/F48-1)</f>
        <v/>
      </c>
      <c r="O49" s="22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IF(Q49="","",O49/Q49)</f>
        <v/>
      </c>
      <c r="S49" s="23">
        <f>IF(Q49="","",P49/Q49)</f>
        <v/>
      </c>
      <c r="T49" s="24">
        <f>IF(SUMIFS('Monthly NSE Equity Options'!$L:$L,'Monthly NSE Equity Options'!$A:$A,$A49)=0,"",SUMIFS('Monthly NSE Equity Options'!$L:$L,'Monthly NSE Equity Options'!$A:$A,$A49))</f>
        <v/>
      </c>
      <c r="U49" s="9">
        <f>IF(SUMIFS('Monthly BSE Equity Options'!$L:$L,'Monthly BSE Equity Options'!$A:$A,$A49)=0,"",SUMIFS('Monthly BSE Equity Options'!$L:$L,'Monthly BSE Equity Options'!$A:$A,$A49))</f>
        <v/>
      </c>
      <c r="V49" s="9">
        <f>IF(OR(T49="",U49=""),"",T49+U49)</f>
        <v/>
      </c>
      <c r="W49" s="25">
        <f>IF(V49="","",T49/V49)</f>
        <v/>
      </c>
      <c r="X49" s="25">
        <f>IF(V49="","",U49/V49)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19">
        <f>IF(F50="","",D50/F50)</f>
        <v/>
      </c>
      <c r="H50" s="19">
        <f>IF(F50="","",E50/F50)</f>
        <v/>
      </c>
      <c r="I50" s="26">
        <f>IF(OR(D50="",D38=""),"",D50/D38-1)</f>
        <v/>
      </c>
      <c r="J50" s="19">
        <f>IF(OR(E50="",E38=""),"",E50/E38-1)</f>
        <v/>
      </c>
      <c r="K50" s="19">
        <f>IF(OR(F50="",F38=""),"",F50/F38-1)</f>
        <v/>
      </c>
      <c r="L50" s="19">
        <f>IF(OR(D50="",D49=""),"",D50/D49-1)</f>
        <v/>
      </c>
      <c r="M50" s="19">
        <f>IF(OR(E50="",E49=""),"",E50/E49-1)</f>
        <v/>
      </c>
      <c r="N50" s="19">
        <f>IF(OR(F50="",F49=""),"",F50/F49-1)</f>
        <v/>
      </c>
      <c r="O50" s="22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IF(Q50="","",O50/Q50)</f>
        <v/>
      </c>
      <c r="S50" s="23">
        <f>IF(Q50="","",P50/Q50)</f>
        <v/>
      </c>
      <c r="T50" s="24">
        <f>IF(SUMIFS('Monthly NSE Equity Options'!$L:$L,'Monthly NSE Equity Options'!$A:$A,$A50)=0,"",SUMIFS('Monthly NSE Equity Options'!$L:$L,'Monthly NSE Equity Options'!$A:$A,$A50))</f>
        <v/>
      </c>
      <c r="U50" s="9">
        <f>IF(SUMIFS('Monthly BSE Equity Options'!$L:$L,'Monthly BSE Equity Options'!$A:$A,$A50)=0,"",SUMIFS('Monthly BSE Equity Options'!$L:$L,'Monthly BSE Equity Options'!$A:$A,$A50))</f>
        <v/>
      </c>
      <c r="V50" s="9">
        <f>IF(OR(T50="",U50=""),"",T50+U50)</f>
        <v/>
      </c>
      <c r="W50" s="25">
        <f>IF(V50="","",T50/V50)</f>
        <v/>
      </c>
      <c r="X50" s="25">
        <f>IF(V50="","",U50/V50)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19">
        <f>IF(F51="","",D51/F51)</f>
        <v/>
      </c>
      <c r="H51" s="19">
        <f>IF(F51="","",E51/F51)</f>
        <v/>
      </c>
      <c r="I51" s="26">
        <f>IF(OR(D51="",D39=""),"",D51/D39-1)</f>
        <v/>
      </c>
      <c r="J51" s="19">
        <f>IF(OR(E51="",E39=""),"",E51/E39-1)</f>
        <v/>
      </c>
      <c r="K51" s="19">
        <f>IF(OR(F51="",F39=""),"",F51/F39-1)</f>
        <v/>
      </c>
      <c r="L51" s="19">
        <f>IF(OR(D51="",D50=""),"",D51/D50-1)</f>
        <v/>
      </c>
      <c r="M51" s="19">
        <f>IF(OR(E51="",E50=""),"",E51/E50-1)</f>
        <v/>
      </c>
      <c r="N51" s="19">
        <f>IF(OR(F51="",F50=""),"",F51/F50-1)</f>
        <v/>
      </c>
      <c r="O51" s="22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IF(Q51="","",O51/Q51)</f>
        <v/>
      </c>
      <c r="S51" s="23">
        <f>IF(Q51="","",P51/Q51)</f>
        <v/>
      </c>
      <c r="T51" s="24">
        <f>IF(SUMIFS('Monthly NSE Equity Options'!$L:$L,'Monthly NSE Equity Options'!$A:$A,$A51)=0,"",SUMIFS('Monthly NSE Equity Options'!$L:$L,'Monthly NSE Equity Options'!$A:$A,$A51))</f>
        <v/>
      </c>
      <c r="U51" s="9">
        <f>IF(SUMIFS('Monthly BSE Equity Options'!$L:$L,'Monthly BSE Equity Options'!$A:$A,$A51)=0,"",SUMIFS('Monthly BSE Equity Options'!$L:$L,'Monthly BSE Equity Options'!$A:$A,$A51))</f>
        <v/>
      </c>
      <c r="V51" s="9">
        <f>IF(OR(T51="",U51=""),"",T51+U51)</f>
        <v/>
      </c>
      <c r="W51" s="25">
        <f>IF(V51="","",T51/V51)</f>
        <v/>
      </c>
      <c r="X51" s="25">
        <f>IF(V51="","",U51/V51)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19">
        <f>IF(F52="","",D52/F52)</f>
        <v/>
      </c>
      <c r="H52" s="19">
        <f>IF(F52="","",E52/F52)</f>
        <v/>
      </c>
      <c r="I52" s="26">
        <f>IF(OR(D52="",D40=""),"",D52/D40-1)</f>
        <v/>
      </c>
      <c r="J52" s="19">
        <f>IF(OR(E52="",E40=""),"",E52/E40-1)</f>
        <v/>
      </c>
      <c r="K52" s="19">
        <f>IF(OR(F52="",F40=""),"",F52/F40-1)</f>
        <v/>
      </c>
      <c r="L52" s="19">
        <f>IF(OR(D52="",D51=""),"",D52/D51-1)</f>
        <v/>
      </c>
      <c r="M52" s="19">
        <f>IF(OR(E52="",E51=""),"",E52/E51-1)</f>
        <v/>
      </c>
      <c r="N52" s="19">
        <f>IF(OR(F52="",F51=""),"",F52/F51-1)</f>
        <v/>
      </c>
      <c r="O52" s="22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IF(Q52="","",O52/Q52)</f>
        <v/>
      </c>
      <c r="S52" s="23">
        <f>IF(Q52="","",P52/Q52)</f>
        <v/>
      </c>
      <c r="T52" s="24">
        <f>IF(SUMIFS('Monthly NSE Equity Options'!$L:$L,'Monthly NSE Equity Options'!$A:$A,$A52)=0,"",SUMIFS('Monthly NSE Equity Options'!$L:$L,'Monthly NSE Equity Options'!$A:$A,$A52))</f>
        <v/>
      </c>
      <c r="U52" s="9">
        <f>IF(SUMIFS('Monthly BSE Equity Options'!$L:$L,'Monthly BSE Equity Options'!$A:$A,$A52)=0,"",SUMIFS('Monthly BSE Equity Options'!$L:$L,'Monthly BSE Equity Options'!$A:$A,$A52))</f>
        <v/>
      </c>
      <c r="V52" s="9">
        <f>IF(OR(T52="",U52=""),"",T52+U52)</f>
        <v/>
      </c>
      <c r="W52" s="25">
        <f>IF(V52="","",T52/V52)</f>
        <v/>
      </c>
      <c r="X52" s="25">
        <f>IF(V52="","",U52/V52)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19">
        <f>IF(F53="","",D53/F53)</f>
        <v/>
      </c>
      <c r="H53" s="19">
        <f>IF(F53="","",E53/F53)</f>
        <v/>
      </c>
      <c r="I53" s="26">
        <f>IF(OR(D53="",D41=""),"",D53/D41-1)</f>
        <v/>
      </c>
      <c r="J53" s="19">
        <f>IF(OR(E53="",E41=""),"",E53/E41-1)</f>
        <v/>
      </c>
      <c r="K53" s="19">
        <f>IF(OR(F53="",F41=""),"",F53/F41-1)</f>
        <v/>
      </c>
      <c r="L53" s="19">
        <f>IF(OR(D53="",D52=""),"",D53/D52-1)</f>
        <v/>
      </c>
      <c r="M53" s="19">
        <f>IF(OR(E53="",E52=""),"",E53/E52-1)</f>
        <v/>
      </c>
      <c r="N53" s="19">
        <f>IF(OR(F53="",F52=""),"",F53/F52-1)</f>
        <v/>
      </c>
      <c r="O53" s="22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IF(Q53="","",O53/Q53)</f>
        <v/>
      </c>
      <c r="S53" s="23">
        <f>IF(Q53="","",P53/Q53)</f>
        <v/>
      </c>
      <c r="T53" s="24">
        <f>IF(SUMIFS('Monthly NSE Equity Options'!$L:$L,'Monthly NSE Equity Options'!$A:$A,$A53)=0,"",SUMIFS('Monthly NSE Equity Options'!$L:$L,'Monthly NSE Equity Options'!$A:$A,$A53))</f>
        <v/>
      </c>
      <c r="U53" s="9">
        <f>IF(SUMIFS('Monthly BSE Equity Options'!$L:$L,'Monthly BSE Equity Options'!$A:$A,$A53)=0,"",SUMIFS('Monthly BSE Equity Options'!$L:$L,'Monthly BSE Equity Options'!$A:$A,$A53))</f>
        <v/>
      </c>
      <c r="V53" s="9">
        <f>IF(OR(T53="",U53=""),"",T53+U53)</f>
        <v/>
      </c>
      <c r="W53" s="25">
        <f>IF(V53="","",T53/V53)</f>
        <v/>
      </c>
      <c r="X53" s="25">
        <f>IF(V53="","",U53/V53)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19">
        <f>IF(F54="","",D54/F54)</f>
        <v/>
      </c>
      <c r="H54" s="19">
        <f>IF(F54="","",E54/F54)</f>
        <v/>
      </c>
      <c r="I54" s="26">
        <f>IF(OR(D54="",D42=""),"",D54/D42-1)</f>
        <v/>
      </c>
      <c r="J54" s="19">
        <f>IF(OR(E54="",E42=""),"",E54/E42-1)</f>
        <v/>
      </c>
      <c r="K54" s="19">
        <f>IF(OR(F54="",F42=""),"",F54/F42-1)</f>
        <v/>
      </c>
      <c r="L54" s="19">
        <f>IF(OR(D54="",D53=""),"",D54/D53-1)</f>
        <v/>
      </c>
      <c r="M54" s="19">
        <f>IF(OR(E54="",E53=""),"",E54/E53-1)</f>
        <v/>
      </c>
      <c r="N54" s="19">
        <f>IF(OR(F54="",F53=""),"",F54/F53-1)</f>
        <v/>
      </c>
      <c r="O54" s="22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IF(Q54="","",O54/Q54)</f>
        <v/>
      </c>
      <c r="S54" s="23">
        <f>IF(Q54="","",P54/Q54)</f>
        <v/>
      </c>
      <c r="T54" s="24">
        <f>IF(SUMIFS('Monthly NSE Equity Options'!$L:$L,'Monthly NSE Equity Options'!$A:$A,$A54)=0,"",SUMIFS('Monthly NSE Equity Options'!$L:$L,'Monthly NSE Equity Options'!$A:$A,$A54))</f>
        <v/>
      </c>
      <c r="U54" s="9">
        <f>IF(SUMIFS('Monthly BSE Equity Options'!$L:$L,'Monthly BSE Equity Options'!$A:$A,$A54)=0,"",SUMIFS('Monthly BSE Equity Options'!$L:$L,'Monthly BSE Equity Options'!$A:$A,$A54))</f>
        <v/>
      </c>
      <c r="V54" s="9">
        <f>IF(OR(T54="",U54=""),"",T54+U54)</f>
        <v/>
      </c>
      <c r="W54" s="25">
        <f>IF(V54="","",T54/V54)</f>
        <v/>
      </c>
      <c r="X54" s="25">
        <f>IF(V54="","",U54/V54)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19">
        <f>IF(F55="","",D55/F55)</f>
        <v/>
      </c>
      <c r="H55" s="19">
        <f>IF(F55="","",E55/F55)</f>
        <v/>
      </c>
      <c r="I55" s="26">
        <f>IF(OR(D55="",D43=""),"",D55/D43-1)</f>
        <v/>
      </c>
      <c r="J55" s="19">
        <f>IF(OR(E55="",E43=""),"",E55/E43-1)</f>
        <v/>
      </c>
      <c r="K55" s="19">
        <f>IF(OR(F55="",F43=""),"",F55/F43-1)</f>
        <v/>
      </c>
      <c r="L55" s="19">
        <f>IF(OR(D55="",D54=""),"",D55/D54-1)</f>
        <v/>
      </c>
      <c r="M55" s="19">
        <f>IF(OR(E55="",E54=""),"",E55/E54-1)</f>
        <v/>
      </c>
      <c r="N55" s="19">
        <f>IF(OR(F55="",F54=""),"",F55/F54-1)</f>
        <v/>
      </c>
      <c r="O55" s="22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IF(Q55="","",O55/Q55)</f>
        <v/>
      </c>
      <c r="S55" s="23">
        <f>IF(Q55="","",P55/Q55)</f>
        <v/>
      </c>
      <c r="T55" s="24">
        <f>IF(SUMIFS('Monthly NSE Equity Options'!$L:$L,'Monthly NSE Equity Options'!$A:$A,$A55)=0,"",SUMIFS('Monthly NSE Equity Options'!$L:$L,'Monthly NSE Equity Options'!$A:$A,$A55))</f>
        <v/>
      </c>
      <c r="U55" s="9">
        <f>IF(SUMIFS('Monthly BSE Equity Options'!$L:$L,'Monthly BSE Equity Options'!$A:$A,$A55)=0,"",SUMIFS('Monthly BSE Equity Options'!$L:$L,'Monthly BSE Equity Options'!$A:$A,$A55))</f>
        <v/>
      </c>
      <c r="V55" s="9">
        <f>IF(OR(T55="",U55=""),"",T55+U55)</f>
        <v/>
      </c>
      <c r="W55" s="25">
        <f>IF(V55="","",T55/V55)</f>
        <v/>
      </c>
      <c r="X55" s="25">
        <f>IF(V55="","",U55/V55)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19">
        <f>IF(F56="","",D56/F56)</f>
        <v/>
      </c>
      <c r="H56" s="19">
        <f>IF(F56="","",E56/F56)</f>
        <v/>
      </c>
      <c r="I56" s="26">
        <f>IF(OR(D56="",D44=""),"",D56/D44-1)</f>
        <v/>
      </c>
      <c r="J56" s="19">
        <f>IF(OR(E56="",E44=""),"",E56/E44-1)</f>
        <v/>
      </c>
      <c r="K56" s="19">
        <f>IF(OR(F56="",F44=""),"",F56/F44-1)</f>
        <v/>
      </c>
      <c r="L56" s="19">
        <f>IF(OR(D56="",D55=""),"",D56/D55-1)</f>
        <v/>
      </c>
      <c r="M56" s="19">
        <f>IF(OR(E56="",E55=""),"",E56/E55-1)</f>
        <v/>
      </c>
      <c r="N56" s="19">
        <f>IF(OR(F56="",F55=""),"",F56/F55-1)</f>
        <v/>
      </c>
      <c r="O56" s="22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IF(Q56="","",O56/Q56)</f>
        <v/>
      </c>
      <c r="S56" s="23">
        <f>IF(Q56="","",P56/Q56)</f>
        <v/>
      </c>
      <c r="T56" s="24">
        <f>IF(SUMIFS('Monthly NSE Equity Options'!$L:$L,'Monthly NSE Equity Options'!$A:$A,$A56)=0,"",SUMIFS('Monthly NSE Equity Options'!$L:$L,'Monthly NSE Equity Options'!$A:$A,$A56))</f>
        <v/>
      </c>
      <c r="U56" s="9">
        <f>IF(SUMIFS('Monthly BSE Equity Options'!$L:$L,'Monthly BSE Equity Options'!$A:$A,$A56)=0,"",SUMIFS('Monthly BSE Equity Options'!$L:$L,'Monthly BSE Equity Options'!$A:$A,$A56))</f>
        <v/>
      </c>
      <c r="V56" s="9">
        <f>IF(OR(T56="",U56=""),"",T56+U56)</f>
        <v/>
      </c>
      <c r="W56" s="25">
        <f>IF(V56="","",T56/V56)</f>
        <v/>
      </c>
      <c r="X56" s="25">
        <f>IF(V56="","",U56/V56)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19">
        <f>IF(F57="","",D57/F57)</f>
        <v/>
      </c>
      <c r="H57" s="19">
        <f>IF(F57="","",E57/F57)</f>
        <v/>
      </c>
      <c r="I57" s="26">
        <f>IF(OR(D57="",D45=""),"",D57/D45-1)</f>
        <v/>
      </c>
      <c r="J57" s="19">
        <f>IF(OR(E57="",E45=""),"",E57/E45-1)</f>
        <v/>
      </c>
      <c r="K57" s="19">
        <f>IF(OR(F57="",F45=""),"",F57/F45-1)</f>
        <v/>
      </c>
      <c r="L57" s="19">
        <f>IF(OR(D57="",D56=""),"",D57/D56-1)</f>
        <v/>
      </c>
      <c r="M57" s="19">
        <f>IF(OR(E57="",E56=""),"",E57/E56-1)</f>
        <v/>
      </c>
      <c r="N57" s="19">
        <f>IF(OR(F57="",F56=""),"",F57/F56-1)</f>
        <v/>
      </c>
      <c r="O57" s="22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IF(Q57="","",O57/Q57)</f>
        <v/>
      </c>
      <c r="S57" s="23">
        <f>IF(Q57="","",P57/Q57)</f>
        <v/>
      </c>
      <c r="T57" s="24">
        <f>IF(SUMIFS('Monthly NSE Equity Options'!$L:$L,'Monthly NSE Equity Options'!$A:$A,$A57)=0,"",SUMIFS('Monthly NSE Equity Options'!$L:$L,'Monthly NSE Equity Options'!$A:$A,$A57))</f>
        <v/>
      </c>
      <c r="U57" s="9">
        <f>IF(SUMIFS('Monthly BSE Equity Options'!$L:$L,'Monthly BSE Equity Options'!$A:$A,$A57)=0,"",SUMIFS('Monthly BSE Equity Options'!$L:$L,'Monthly BSE Equity Options'!$A:$A,$A57))</f>
        <v/>
      </c>
      <c r="V57" s="9">
        <f>IF(OR(T57="",U57=""),"",T57+U57)</f>
        <v/>
      </c>
      <c r="W57" s="25">
        <f>IF(V57="","",T57/V57)</f>
        <v/>
      </c>
      <c r="X57" s="25">
        <f>IF(V57="","",U57/V57)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19">
        <f>IF(F58="","",D58/F58)</f>
        <v/>
      </c>
      <c r="H58" s="19">
        <f>IF(F58="","",E58/F58)</f>
        <v/>
      </c>
      <c r="I58" s="26">
        <f>IF(OR(D58="",D46=""),"",D58/D46-1)</f>
        <v/>
      </c>
      <c r="J58" s="19">
        <f>IF(OR(E58="",E46=""),"",E58/E46-1)</f>
        <v/>
      </c>
      <c r="K58" s="19">
        <f>IF(OR(F58="",F46=""),"",F58/F46-1)</f>
        <v/>
      </c>
      <c r="L58" s="19">
        <f>IF(OR(D58="",D57=""),"",D58/D57-1)</f>
        <v/>
      </c>
      <c r="M58" s="19">
        <f>IF(OR(E58="",E57=""),"",E58/E57-1)</f>
        <v/>
      </c>
      <c r="N58" s="19">
        <f>IF(OR(F58="",F57=""),"",F58/F57-1)</f>
        <v/>
      </c>
      <c r="O58" s="22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IF(Q58="","",O58/Q58)</f>
        <v/>
      </c>
      <c r="S58" s="23">
        <f>IF(Q58="","",P58/Q58)</f>
        <v/>
      </c>
      <c r="T58" s="24">
        <f>IF(SUMIFS('Monthly NSE Equity Options'!$L:$L,'Monthly NSE Equity Options'!$A:$A,$A58)=0,"",SUMIFS('Monthly NSE Equity Options'!$L:$L,'Monthly NSE Equity Options'!$A:$A,$A58))</f>
        <v/>
      </c>
      <c r="U58" s="9">
        <f>IF(SUMIFS('Monthly BSE Equity Options'!$L:$L,'Monthly BSE Equity Options'!$A:$A,$A58)=0,"",SUMIFS('Monthly BSE Equity Options'!$L:$L,'Monthly BSE Equity Options'!$A:$A,$A58))</f>
        <v/>
      </c>
      <c r="V58" s="9">
        <f>IF(OR(T58="",U58=""),"",T58+U58)</f>
        <v/>
      </c>
      <c r="W58" s="25">
        <f>IF(V58="","",T58/V58)</f>
        <v/>
      </c>
      <c r="X58" s="25">
        <f>IF(V58="","",U58/V58)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19">
        <f>IF(F59="","",D59/F59)</f>
        <v/>
      </c>
      <c r="H59" s="19">
        <f>IF(F59="","",E59/F59)</f>
        <v/>
      </c>
      <c r="I59" s="26">
        <f>IF(OR(D59="",D47=""),"",D59/D47-1)</f>
        <v/>
      </c>
      <c r="J59" s="19">
        <f>IF(OR(E59="",E47=""),"",E59/E47-1)</f>
        <v/>
      </c>
      <c r="K59" s="19">
        <f>IF(OR(F59="",F47=""),"",F59/F47-1)</f>
        <v/>
      </c>
      <c r="L59" s="19">
        <f>IF(OR(D59="",D58=""),"",D59/D58-1)</f>
        <v/>
      </c>
      <c r="M59" s="19">
        <f>IF(OR(E59="",E58=""),"",E59/E58-1)</f>
        <v/>
      </c>
      <c r="N59" s="19">
        <f>IF(OR(F59="",F58=""),"",F59/F58-1)</f>
        <v/>
      </c>
      <c r="O59" s="22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IF(Q59="","",O59/Q59)</f>
        <v/>
      </c>
      <c r="S59" s="23">
        <f>IF(Q59="","",P59/Q59)</f>
        <v/>
      </c>
      <c r="T59" s="24">
        <f>IF(SUMIFS('Monthly NSE Equity Options'!$L:$L,'Monthly NSE Equity Options'!$A:$A,$A59)=0,"",SUMIFS('Monthly NSE Equity Options'!$L:$L,'Monthly NSE Equity Options'!$A:$A,$A59))</f>
        <v/>
      </c>
      <c r="U59" s="9">
        <f>IF(SUMIFS('Monthly BSE Equity Options'!$L:$L,'Monthly BSE Equity Options'!$A:$A,$A59)=0,"",SUMIFS('Monthly BSE Equity Options'!$L:$L,'Monthly BSE Equity Options'!$A:$A,$A59))</f>
        <v/>
      </c>
      <c r="V59" s="9">
        <f>IF(OR(T59="",U59=""),"",T59+U59)</f>
        <v/>
      </c>
      <c r="W59" s="25">
        <f>IF(V59="","",T59/V59)</f>
        <v/>
      </c>
      <c r="X59" s="25">
        <f>IF(V59="","",U59/V59)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19">
        <f>IF(F60="","",D60/F60)</f>
        <v/>
      </c>
      <c r="H60" s="19">
        <f>IF(F60="","",E60/F60)</f>
        <v/>
      </c>
      <c r="I60" s="26">
        <f>IF(OR(D60="",D48=""),"",D60/D48-1)</f>
        <v/>
      </c>
      <c r="J60" s="19">
        <f>IF(OR(E60="",E48=""),"",E60/E48-1)</f>
        <v/>
      </c>
      <c r="K60" s="19">
        <f>IF(OR(F60="",F48=""),"",F60/F48-1)</f>
        <v/>
      </c>
      <c r="L60" s="19">
        <f>IF(OR(D60="",D59=""),"",D60/D59-1)</f>
        <v/>
      </c>
      <c r="M60" s="19">
        <f>IF(OR(E60="",E59=""),"",E60/E59-1)</f>
        <v/>
      </c>
      <c r="N60" s="19">
        <f>IF(OR(F60="",F59=""),"",F60/F59-1)</f>
        <v/>
      </c>
      <c r="O60" s="22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IF(Q60="","",O60/Q60)</f>
        <v/>
      </c>
      <c r="S60" s="23">
        <f>IF(Q60="","",P60/Q60)</f>
        <v/>
      </c>
      <c r="T60" s="24">
        <f>IF(SUMIFS('Monthly NSE Equity Options'!$L:$L,'Monthly NSE Equity Options'!$A:$A,$A60)=0,"",SUMIFS('Monthly NSE Equity Options'!$L:$L,'Monthly NSE Equity Options'!$A:$A,$A60))</f>
        <v/>
      </c>
      <c r="U60" s="9">
        <f>IF(SUMIFS('Monthly BSE Equity Options'!$L:$L,'Monthly BSE Equity Options'!$A:$A,$A60)=0,"",SUMIFS('Monthly BSE Equity Options'!$L:$L,'Monthly BSE Equity Options'!$A:$A,$A60))</f>
        <v/>
      </c>
      <c r="V60" s="9">
        <f>IF(OR(T60="",U60=""),"",T60+U60)</f>
        <v/>
      </c>
      <c r="W60" s="25">
        <f>IF(V60="","",T60/V60)</f>
        <v/>
      </c>
      <c r="X60" s="25">
        <f>IF(V60="","",U60/V60)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19">
        <f>IF(F61="","",D61/F61)</f>
        <v/>
      </c>
      <c r="H61" s="19">
        <f>IF(F61="","",E61/F61)</f>
        <v/>
      </c>
      <c r="I61" s="26">
        <f>IF(OR(D61="",D49=""),"",D61/D49-1)</f>
        <v/>
      </c>
      <c r="J61" s="19">
        <f>IF(OR(E61="",E49=""),"",E61/E49-1)</f>
        <v/>
      </c>
      <c r="K61" s="19">
        <f>IF(OR(F61="",F49=""),"",F61/F49-1)</f>
        <v/>
      </c>
      <c r="L61" s="19">
        <f>IF(OR(D61="",D60=""),"",D61/D60-1)</f>
        <v/>
      </c>
      <c r="M61" s="19">
        <f>IF(OR(E61="",E60=""),"",E61/E60-1)</f>
        <v/>
      </c>
      <c r="N61" s="19">
        <f>IF(OR(F61="",F60=""),"",F61/F60-1)</f>
        <v/>
      </c>
      <c r="O61" s="22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IF(Q61="","",O61/Q61)</f>
        <v/>
      </c>
      <c r="S61" s="23">
        <f>IF(Q61="","",P61/Q61)</f>
        <v/>
      </c>
      <c r="T61" s="24">
        <f>IF(SUMIFS('Monthly NSE Equity Options'!$L:$L,'Monthly NSE Equity Options'!$A:$A,$A61)=0,"",SUMIFS('Monthly NSE Equity Options'!$L:$L,'Monthly NSE Equity Options'!$A:$A,$A61))</f>
        <v/>
      </c>
      <c r="U61" s="9">
        <f>IF(SUMIFS('Monthly BSE Equity Options'!$L:$L,'Monthly BSE Equity Options'!$A:$A,$A61)=0,"",SUMIFS('Monthly BSE Equity Options'!$L:$L,'Monthly BSE Equity Options'!$A:$A,$A61))</f>
        <v/>
      </c>
      <c r="V61" s="9">
        <f>IF(OR(T61="",U61=""),"",T61+U61)</f>
        <v/>
      </c>
      <c r="W61" s="25">
        <f>IF(V61="","",T61/V61)</f>
        <v/>
      </c>
      <c r="X61" s="25">
        <f>IF(V61="","",U61/V61)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19">
        <f>IF(F62="","",D62/F62)</f>
        <v/>
      </c>
      <c r="H62" s="19">
        <f>IF(F62="","",E62/F62)</f>
        <v/>
      </c>
      <c r="I62" s="26">
        <f>IF(OR(D62="",D50=""),"",D62/D50-1)</f>
        <v/>
      </c>
      <c r="J62" s="19">
        <f>IF(OR(E62="",E50=""),"",E62/E50-1)</f>
        <v/>
      </c>
      <c r="K62" s="19">
        <f>IF(OR(F62="",F50=""),"",F62/F50-1)</f>
        <v/>
      </c>
      <c r="L62" s="19">
        <f>IF(OR(D62="",D61=""),"",D62/D61-1)</f>
        <v/>
      </c>
      <c r="M62" s="19">
        <f>IF(OR(E62="",E61=""),"",E62/E61-1)</f>
        <v/>
      </c>
      <c r="N62" s="19">
        <f>IF(OR(F62="",F61=""),"",F62/F61-1)</f>
        <v/>
      </c>
      <c r="O62" s="22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IF(Q62="","",O62/Q62)</f>
        <v/>
      </c>
      <c r="S62" s="23">
        <f>IF(Q62="","",P62/Q62)</f>
        <v/>
      </c>
      <c r="T62" s="24">
        <f>IF(SUMIFS('Monthly NSE Equity Options'!$L:$L,'Monthly NSE Equity Options'!$A:$A,$A62)=0,"",SUMIFS('Monthly NSE Equity Options'!$L:$L,'Monthly NSE Equity Options'!$A:$A,$A62))</f>
        <v/>
      </c>
      <c r="U62" s="9">
        <f>IF(SUMIFS('Monthly BSE Equity Options'!$L:$L,'Monthly BSE Equity Options'!$A:$A,$A62)=0,"",SUMIFS('Monthly BSE Equity Options'!$L:$L,'Monthly BSE Equity Options'!$A:$A,$A62))</f>
        <v/>
      </c>
      <c r="V62" s="9">
        <f>IF(OR(T62="",U62=""),"",T62+U62)</f>
        <v/>
      </c>
      <c r="W62" s="25">
        <f>IF(V62="","",T62/V62)</f>
        <v/>
      </c>
      <c r="X62" s="25">
        <f>IF(V62="","",U62/V62)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19">
        <f>IF(F63="","",D63/F63)</f>
        <v/>
      </c>
      <c r="H63" s="19">
        <f>IF(F63="","",E63/F63)</f>
        <v/>
      </c>
      <c r="I63" s="26">
        <f>IF(OR(D63="",D51=""),"",D63/D51-1)</f>
        <v/>
      </c>
      <c r="J63" s="19">
        <f>IF(OR(E63="",E51=""),"",E63/E51-1)</f>
        <v/>
      </c>
      <c r="K63" s="19">
        <f>IF(OR(F63="",F51=""),"",F63/F51-1)</f>
        <v/>
      </c>
      <c r="L63" s="19">
        <f>IF(OR(D63="",D62=""),"",D63/D62-1)</f>
        <v/>
      </c>
      <c r="M63" s="19">
        <f>IF(OR(E63="",E62=""),"",E63/E62-1)</f>
        <v/>
      </c>
      <c r="N63" s="19">
        <f>IF(OR(F63="",F62=""),"",F63/F62-1)</f>
        <v/>
      </c>
      <c r="O63" s="22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IF(Q63="","",O63/Q63)</f>
        <v/>
      </c>
      <c r="S63" s="23">
        <f>IF(Q63="","",P63/Q63)</f>
        <v/>
      </c>
      <c r="T63" s="24">
        <f>IF(SUMIFS('Monthly NSE Equity Options'!$L:$L,'Monthly NSE Equity Options'!$A:$A,$A63)=0,"",SUMIFS('Monthly NSE Equity Options'!$L:$L,'Monthly NSE Equity Options'!$A:$A,$A63))</f>
        <v/>
      </c>
      <c r="U63" s="9">
        <f>IF(SUMIFS('Monthly BSE Equity Options'!$L:$L,'Monthly BSE Equity Options'!$A:$A,$A63)=0,"",SUMIFS('Monthly BSE Equity Options'!$L:$L,'Monthly BSE Equity Options'!$A:$A,$A63))</f>
        <v/>
      </c>
      <c r="V63" s="9">
        <f>IF(OR(T63="",U63=""),"",T63+U63)</f>
        <v/>
      </c>
      <c r="W63" s="25">
        <f>IF(V63="","",T63/V63)</f>
        <v/>
      </c>
      <c r="X63" s="25">
        <f>IF(V63="","",U63/V63)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19">
        <f>IF(F64="","",D64/F64)</f>
        <v/>
      </c>
      <c r="H64" s="19">
        <f>IF(F64="","",E64/F64)</f>
        <v/>
      </c>
      <c r="I64" s="26">
        <f>IF(OR(D64="",D52=""),"",D64/D52-1)</f>
        <v/>
      </c>
      <c r="J64" s="19">
        <f>IF(OR(E64="",E52=""),"",E64/E52-1)</f>
        <v/>
      </c>
      <c r="K64" s="19">
        <f>IF(OR(F64="",F52=""),"",F64/F52-1)</f>
        <v/>
      </c>
      <c r="L64" s="19">
        <f>IF(OR(D64="",D63=""),"",D64/D63-1)</f>
        <v/>
      </c>
      <c r="M64" s="19">
        <f>IF(OR(E64="",E63=""),"",E64/E63-1)</f>
        <v/>
      </c>
      <c r="N64" s="19">
        <f>IF(OR(F64="",F63=""),"",F64/F63-1)</f>
        <v/>
      </c>
      <c r="O64" s="22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IF(Q64="","",O64/Q64)</f>
        <v/>
      </c>
      <c r="S64" s="23">
        <f>IF(Q64="","",P64/Q64)</f>
        <v/>
      </c>
      <c r="T64" s="24">
        <f>IF(SUMIFS('Monthly NSE Equity Options'!$L:$L,'Monthly NSE Equity Options'!$A:$A,$A64)=0,"",SUMIFS('Monthly NSE Equity Options'!$L:$L,'Monthly NSE Equity Options'!$A:$A,$A64))</f>
        <v/>
      </c>
      <c r="U64" s="9">
        <f>IF(SUMIFS('Monthly BSE Equity Options'!$L:$L,'Monthly BSE Equity Options'!$A:$A,$A64)=0,"",SUMIFS('Monthly BSE Equity Options'!$L:$L,'Monthly BSE Equity Options'!$A:$A,$A64))</f>
        <v/>
      </c>
      <c r="V64" s="9">
        <f>IF(OR(T64="",U64=""),"",T64+U64)</f>
        <v/>
      </c>
      <c r="W64" s="25">
        <f>IF(V64="","",T64/V64)</f>
        <v/>
      </c>
      <c r="X64" s="25">
        <f>IF(V64="","",U64/V64)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19">
        <f>IF(F65="","",D65/F65)</f>
        <v/>
      </c>
      <c r="H65" s="19">
        <f>IF(F65="","",E65/F65)</f>
        <v/>
      </c>
      <c r="I65" s="26">
        <f>IF(OR(D65="",D53=""),"",D65/D53-1)</f>
        <v/>
      </c>
      <c r="J65" s="19">
        <f>IF(OR(E65="",E53=""),"",E65/E53-1)</f>
        <v/>
      </c>
      <c r="K65" s="19">
        <f>IF(OR(F65="",F53=""),"",F65/F53-1)</f>
        <v/>
      </c>
      <c r="L65" s="19">
        <f>IF(OR(D65="",D64=""),"",D65/D64-1)</f>
        <v/>
      </c>
      <c r="M65" s="19">
        <f>IF(OR(E65="",E64=""),"",E65/E64-1)</f>
        <v/>
      </c>
      <c r="N65" s="19">
        <f>IF(OR(F65="",F64=""),"",F65/F64-1)</f>
        <v/>
      </c>
      <c r="O65" s="22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IF(Q65="","",O65/Q65)</f>
        <v/>
      </c>
      <c r="S65" s="23">
        <f>IF(Q65="","",P65/Q65)</f>
        <v/>
      </c>
      <c r="T65" s="24">
        <f>IF(SUMIFS('Monthly NSE Equity Options'!$L:$L,'Monthly NSE Equity Options'!$A:$A,$A65)=0,"",SUMIFS('Monthly NSE Equity Options'!$L:$L,'Monthly NSE Equity Options'!$A:$A,$A65))</f>
        <v/>
      </c>
      <c r="U65" s="9">
        <f>IF(SUMIFS('Monthly BSE Equity Options'!$L:$L,'Monthly BSE Equity Options'!$A:$A,$A65)=0,"",SUMIFS('Monthly BSE Equity Options'!$L:$L,'Monthly BSE Equity Options'!$A:$A,$A65))</f>
        <v/>
      </c>
      <c r="V65" s="9">
        <f>IF(OR(T65="",U65=""),"",T65+U65)</f>
        <v/>
      </c>
      <c r="W65" s="25">
        <f>IF(V65="","",T65/V65)</f>
        <v/>
      </c>
      <c r="X65" s="25">
        <f>IF(V65="","",U65/V65)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19">
        <f>IF(F66="","",D66/F66)</f>
        <v/>
      </c>
      <c r="H66" s="19">
        <f>IF(F66="","",E66/F66)</f>
        <v/>
      </c>
      <c r="I66" s="26">
        <f>IF(OR(D66="",D54=""),"",D66/D54-1)</f>
        <v/>
      </c>
      <c r="J66" s="19">
        <f>IF(OR(E66="",E54=""),"",E66/E54-1)</f>
        <v/>
      </c>
      <c r="K66" s="19">
        <f>IF(OR(F66="",F54=""),"",F66/F54-1)</f>
        <v/>
      </c>
      <c r="L66" s="19">
        <f>IF(OR(D66="",D65=""),"",D66/D65-1)</f>
        <v/>
      </c>
      <c r="M66" s="19">
        <f>IF(OR(E66="",E65=""),"",E66/E65-1)</f>
        <v/>
      </c>
      <c r="N66" s="19">
        <f>IF(OR(F66="",F65=""),"",F66/F65-1)</f>
        <v/>
      </c>
      <c r="O66" s="22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IF(Q66="","",O66/Q66)</f>
        <v/>
      </c>
      <c r="S66" s="23">
        <f>IF(Q66="","",P66/Q66)</f>
        <v/>
      </c>
      <c r="T66" s="24">
        <f>IF(SUMIFS('Monthly NSE Equity Options'!$L:$L,'Monthly NSE Equity Options'!$A:$A,$A66)=0,"",SUMIFS('Monthly NSE Equity Options'!$L:$L,'Monthly NSE Equity Options'!$A:$A,$A66))</f>
        <v/>
      </c>
      <c r="U66" s="9">
        <f>IF(SUMIFS('Monthly BSE Equity Options'!$L:$L,'Monthly BSE Equity Options'!$A:$A,$A66)=0,"",SUMIFS('Monthly BSE Equity Options'!$L:$L,'Monthly BSE Equity Options'!$A:$A,$A66))</f>
        <v/>
      </c>
      <c r="V66" s="9">
        <f>IF(OR(T66="",U66=""),"",T66+U66)</f>
        <v/>
      </c>
      <c r="W66" s="25">
        <f>IF(V66="","",T66/V66)</f>
        <v/>
      </c>
      <c r="X66" s="25">
        <f>IF(V66="","",U66/V66)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19">
        <f>IF(F67="","",D67/F67)</f>
        <v/>
      </c>
      <c r="H67" s="19">
        <f>IF(F67="","",E67/F67)</f>
        <v/>
      </c>
      <c r="I67" s="26">
        <f>IF(OR(D67="",D55=""),"",D67/D55-1)</f>
        <v/>
      </c>
      <c r="J67" s="19">
        <f>IF(OR(E67="",E55=""),"",E67/E55-1)</f>
        <v/>
      </c>
      <c r="K67" s="19">
        <f>IF(OR(F67="",F55=""),"",F67/F55-1)</f>
        <v/>
      </c>
      <c r="L67" s="19">
        <f>IF(OR(D67="",D66=""),"",D67/D66-1)</f>
        <v/>
      </c>
      <c r="M67" s="19">
        <f>IF(OR(E67="",E66=""),"",E67/E66-1)</f>
        <v/>
      </c>
      <c r="N67" s="19">
        <f>IF(OR(F67="",F66=""),"",F67/F66-1)</f>
        <v/>
      </c>
      <c r="O67" s="22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IF(Q67="","",O67/Q67)</f>
        <v/>
      </c>
      <c r="S67" s="23">
        <f>IF(Q67="","",P67/Q67)</f>
        <v/>
      </c>
      <c r="T67" s="24">
        <f>IF(SUMIFS('Monthly NSE Equity Options'!$L:$L,'Monthly NSE Equity Options'!$A:$A,$A67)=0,"",SUMIFS('Monthly NSE Equity Options'!$L:$L,'Monthly NSE Equity Options'!$A:$A,$A67))</f>
        <v/>
      </c>
      <c r="U67" s="9">
        <f>IF(SUMIFS('Monthly BSE Equity Options'!$L:$L,'Monthly BSE Equity Options'!$A:$A,$A67)=0,"",SUMIFS('Monthly BSE Equity Options'!$L:$L,'Monthly BSE Equity Options'!$A:$A,$A67))</f>
        <v/>
      </c>
      <c r="V67" s="9">
        <f>IF(OR(T67="",U67=""),"",T67+U67)</f>
        <v/>
      </c>
      <c r="W67" s="25">
        <f>IF(V67="","",T67/V67)</f>
        <v/>
      </c>
      <c r="X67" s="25">
        <f>IF(V67="","",U67/V67)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19">
        <f>IF(F68="","",D68/F68)</f>
        <v/>
      </c>
      <c r="H68" s="19">
        <f>IF(F68="","",E68/F68)</f>
        <v/>
      </c>
      <c r="I68" s="26">
        <f>IF(OR(D68="",D56=""),"",D68/D56-1)</f>
        <v/>
      </c>
      <c r="J68" s="19">
        <f>IF(OR(E68="",E56=""),"",E68/E56-1)</f>
        <v/>
      </c>
      <c r="K68" s="19">
        <f>IF(OR(F68="",F56=""),"",F68/F56-1)</f>
        <v/>
      </c>
      <c r="L68" s="19">
        <f>IF(OR(D68="",D67=""),"",D68/D67-1)</f>
        <v/>
      </c>
      <c r="M68" s="19">
        <f>IF(OR(E68="",E67=""),"",E68/E67-1)</f>
        <v/>
      </c>
      <c r="N68" s="19">
        <f>IF(OR(F68="",F67=""),"",F68/F67-1)</f>
        <v/>
      </c>
      <c r="O68" s="22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IF(Q68="","",O68/Q68)</f>
        <v/>
      </c>
      <c r="S68" s="23">
        <f>IF(Q68="","",P68/Q68)</f>
        <v/>
      </c>
      <c r="T68" s="24">
        <f>IF(SUMIFS('Monthly NSE Equity Options'!$L:$L,'Monthly NSE Equity Options'!$A:$A,$A68)=0,"",SUMIFS('Monthly NSE Equity Options'!$L:$L,'Monthly NSE Equity Options'!$A:$A,$A68))</f>
        <v/>
      </c>
      <c r="U68" s="9">
        <f>IF(SUMIFS('Monthly BSE Equity Options'!$L:$L,'Monthly BSE Equity Options'!$A:$A,$A68)=0,"",SUMIFS('Monthly BSE Equity Options'!$L:$L,'Monthly BSE Equity Options'!$A:$A,$A68))</f>
        <v/>
      </c>
      <c r="V68" s="9">
        <f>IF(OR(T68="",U68=""),"",T68+U68)</f>
        <v/>
      </c>
      <c r="W68" s="25">
        <f>IF(V68="","",T68/V68)</f>
        <v/>
      </c>
      <c r="X68" s="25">
        <f>IF(V68="","",U68/V68)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19">
        <f>IF(F69="","",D69/F69)</f>
        <v/>
      </c>
      <c r="H69" s="19">
        <f>IF(F69="","",E69/F69)</f>
        <v/>
      </c>
      <c r="I69" s="26">
        <f>IF(OR(D69="",D57=""),"",D69/D57-1)</f>
        <v/>
      </c>
      <c r="J69" s="19">
        <f>IF(OR(E69="",E57=""),"",E69/E57-1)</f>
        <v/>
      </c>
      <c r="K69" s="19">
        <f>IF(OR(F69="",F57=""),"",F69/F57-1)</f>
        <v/>
      </c>
      <c r="L69" s="19">
        <f>IF(OR(D69="",D68=""),"",D69/D68-1)</f>
        <v/>
      </c>
      <c r="M69" s="19">
        <f>IF(OR(E69="",E68=""),"",E69/E68-1)</f>
        <v/>
      </c>
      <c r="N69" s="19">
        <f>IF(OR(F69="",F68=""),"",F69/F68-1)</f>
        <v/>
      </c>
      <c r="O69" s="22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IF(Q69="","",O69/Q69)</f>
        <v/>
      </c>
      <c r="S69" s="23">
        <f>IF(Q69="","",P69/Q69)</f>
        <v/>
      </c>
      <c r="T69" s="24">
        <f>IF(SUMIFS('Monthly NSE Equity Options'!$L:$L,'Monthly NSE Equity Options'!$A:$A,$A69)=0,"",SUMIFS('Monthly NSE Equity Options'!$L:$L,'Monthly NSE Equity Options'!$A:$A,$A69))</f>
        <v/>
      </c>
      <c r="U69" s="9">
        <f>IF(SUMIFS('Monthly BSE Equity Options'!$L:$L,'Monthly BSE Equity Options'!$A:$A,$A69)=0,"",SUMIFS('Monthly BSE Equity Options'!$L:$L,'Monthly BSE Equity Options'!$A:$A,$A69))</f>
        <v/>
      </c>
      <c r="V69" s="9">
        <f>IF(OR(T69="",U69=""),"",T69+U69)</f>
        <v/>
      </c>
      <c r="W69" s="25">
        <f>IF(V69="","",T69/V69)</f>
        <v/>
      </c>
      <c r="X69" s="25">
        <f>IF(V69="","",U69/V69)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19">
        <f>IF(F70="","",D70/F70)</f>
        <v/>
      </c>
      <c r="H70" s="19">
        <f>IF(F70="","",E70/F70)</f>
        <v/>
      </c>
      <c r="I70" s="26">
        <f>IF(OR(D70="",D58=""),"",D70/D58-1)</f>
        <v/>
      </c>
      <c r="J70" s="19">
        <f>IF(OR(E70="",E58=""),"",E70/E58-1)</f>
        <v/>
      </c>
      <c r="K70" s="19">
        <f>IF(OR(F70="",F58=""),"",F70/F58-1)</f>
        <v/>
      </c>
      <c r="L70" s="19">
        <f>IF(OR(D70="",D69=""),"",D70/D69-1)</f>
        <v/>
      </c>
      <c r="M70" s="19">
        <f>IF(OR(E70="",E69=""),"",E70/E69-1)</f>
        <v/>
      </c>
      <c r="N70" s="19">
        <f>IF(OR(F70="",F69=""),"",F70/F69-1)</f>
        <v/>
      </c>
      <c r="O70" s="22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IF(Q70="","",O70/Q70)</f>
        <v/>
      </c>
      <c r="S70" s="23">
        <f>IF(Q70="","",P70/Q70)</f>
        <v/>
      </c>
      <c r="T70" s="24">
        <f>IF(SUMIFS('Monthly NSE Equity Options'!$L:$L,'Monthly NSE Equity Options'!$A:$A,$A70)=0,"",SUMIFS('Monthly NSE Equity Options'!$L:$L,'Monthly NSE Equity Options'!$A:$A,$A70))</f>
        <v/>
      </c>
      <c r="U70" s="9">
        <f>IF(SUMIFS('Monthly BSE Equity Options'!$L:$L,'Monthly BSE Equity Options'!$A:$A,$A70)=0,"",SUMIFS('Monthly BSE Equity Options'!$L:$L,'Monthly BSE Equity Options'!$A:$A,$A70))</f>
        <v/>
      </c>
      <c r="V70" s="9">
        <f>IF(OR(T70="",U70=""),"",T70+U70)</f>
        <v/>
      </c>
      <c r="W70" s="25">
        <f>IF(V70="","",T70/V70)</f>
        <v/>
      </c>
      <c r="X70" s="25">
        <f>IF(V70="","",U70/V70)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19">
        <f>IF(F71="","",D71/F71)</f>
        <v/>
      </c>
      <c r="H71" s="19">
        <f>IF(F71="","",E71/F71)</f>
        <v/>
      </c>
      <c r="I71" s="26">
        <f>IF(OR(D71="",D59=""),"",D71/D59-1)</f>
        <v/>
      </c>
      <c r="J71" s="19">
        <f>IF(OR(E71="",E59=""),"",E71/E59-1)</f>
        <v/>
      </c>
      <c r="K71" s="19">
        <f>IF(OR(F71="",F59=""),"",F71/F59-1)</f>
        <v/>
      </c>
      <c r="L71" s="19">
        <f>IF(OR(D71="",D70=""),"",D71/D70-1)</f>
        <v/>
      </c>
      <c r="M71" s="19">
        <f>IF(OR(E71="",E70=""),"",E71/E70-1)</f>
        <v/>
      </c>
      <c r="N71" s="19">
        <f>IF(OR(F71="",F70=""),"",F71/F70-1)</f>
        <v/>
      </c>
      <c r="O71" s="22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IF(Q71="","",O71/Q71)</f>
        <v/>
      </c>
      <c r="S71" s="23">
        <f>IF(Q71="","",P71/Q71)</f>
        <v/>
      </c>
      <c r="T71" s="24">
        <f>IF(SUMIFS('Monthly NSE Equity Options'!$L:$L,'Monthly NSE Equity Options'!$A:$A,$A71)=0,"",SUMIFS('Monthly NSE Equity Options'!$L:$L,'Monthly NSE Equity Options'!$A:$A,$A71))</f>
        <v/>
      </c>
      <c r="U71" s="9">
        <f>IF(SUMIFS('Monthly BSE Equity Options'!$L:$L,'Monthly BSE Equity Options'!$A:$A,$A71)=0,"",SUMIFS('Monthly BSE Equity Options'!$L:$L,'Monthly BSE Equity Options'!$A:$A,$A71))</f>
        <v/>
      </c>
      <c r="V71" s="9">
        <f>IF(OR(T71="",U71=""),"",T71+U71)</f>
        <v/>
      </c>
      <c r="W71" s="25">
        <f>IF(V71="","",T71/V71)</f>
        <v/>
      </c>
      <c r="X71" s="25">
        <f>IF(V71="","",U71/V71)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19">
        <f>IF(F72="","",D72/F72)</f>
        <v/>
      </c>
      <c r="H72" s="19">
        <f>IF(F72="","",E72/F72)</f>
        <v/>
      </c>
      <c r="I72" s="26">
        <f>IF(OR(D72="",D60=""),"",D72/D60-1)</f>
        <v/>
      </c>
      <c r="J72" s="19">
        <f>IF(OR(E72="",E60=""),"",E72/E60-1)</f>
        <v/>
      </c>
      <c r="K72" s="19">
        <f>IF(OR(F72="",F60=""),"",F72/F60-1)</f>
        <v/>
      </c>
      <c r="L72" s="19">
        <f>IF(OR(D72="",D71=""),"",D72/D71-1)</f>
        <v/>
      </c>
      <c r="M72" s="19">
        <f>IF(OR(E72="",E71=""),"",E72/E71-1)</f>
        <v/>
      </c>
      <c r="N72" s="19">
        <f>IF(OR(F72="",F71=""),"",F72/F71-1)</f>
        <v/>
      </c>
      <c r="O72" s="22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IF(Q72="","",O72/Q72)</f>
        <v/>
      </c>
      <c r="S72" s="23">
        <f>IF(Q72="","",P72/Q72)</f>
        <v/>
      </c>
      <c r="T72" s="24">
        <f>IF(SUMIFS('Monthly NSE Equity Options'!$L:$L,'Monthly NSE Equity Options'!$A:$A,$A72)=0,"",SUMIFS('Monthly NSE Equity Options'!$L:$L,'Monthly NSE Equity Options'!$A:$A,$A72))</f>
        <v/>
      </c>
      <c r="U72" s="9">
        <f>IF(SUMIFS('Monthly BSE Equity Options'!$L:$L,'Monthly BSE Equity Options'!$A:$A,$A72)=0,"",SUMIFS('Monthly BSE Equity Options'!$L:$L,'Monthly BSE Equity Options'!$A:$A,$A72))</f>
        <v/>
      </c>
      <c r="V72" s="9">
        <f>IF(OR(T72="",U72=""),"",T72+U72)</f>
        <v/>
      </c>
      <c r="W72" s="25">
        <f>IF(V72="","",T72/V72)</f>
        <v/>
      </c>
      <c r="X72" s="25">
        <f>IF(V72="","",U72/V72)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19">
        <f>IF(F73="","",D73/F73)</f>
        <v/>
      </c>
      <c r="H73" s="19">
        <f>IF(F73="","",E73/F73)</f>
        <v/>
      </c>
      <c r="I73" s="26">
        <f>IF(OR(D73="",D61=""),"",D73/D61-1)</f>
        <v/>
      </c>
      <c r="J73" s="19">
        <f>IF(OR(E73="",E61=""),"",E73/E61-1)</f>
        <v/>
      </c>
      <c r="K73" s="19">
        <f>IF(OR(F73="",F61=""),"",F73/F61-1)</f>
        <v/>
      </c>
      <c r="L73" s="19">
        <f>IF(OR(D73="",D72=""),"",D73/D72-1)</f>
        <v/>
      </c>
      <c r="M73" s="19">
        <f>IF(OR(E73="",E72=""),"",E73/E72-1)</f>
        <v/>
      </c>
      <c r="N73" s="19">
        <f>IF(OR(F73="",F72=""),"",F73/F72-1)</f>
        <v/>
      </c>
      <c r="O73" s="22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IF(Q73="","",O73/Q73)</f>
        <v/>
      </c>
      <c r="S73" s="23">
        <f>IF(Q73="","",P73/Q73)</f>
        <v/>
      </c>
      <c r="T73" s="24">
        <f>IF(SUMIFS('Monthly NSE Equity Options'!$L:$L,'Monthly NSE Equity Options'!$A:$A,$A73)=0,"",SUMIFS('Monthly NSE Equity Options'!$L:$L,'Monthly NSE Equity Options'!$A:$A,$A73))</f>
        <v/>
      </c>
      <c r="U73" s="9">
        <f>IF(SUMIFS('Monthly BSE Equity Options'!$L:$L,'Monthly BSE Equity Options'!$A:$A,$A73)=0,"",SUMIFS('Monthly BSE Equity Options'!$L:$L,'Monthly BSE Equity Options'!$A:$A,$A73))</f>
        <v/>
      </c>
      <c r="V73" s="9">
        <f>IF(OR(T73="",U73=""),"",T73+U73)</f>
        <v/>
      </c>
      <c r="W73" s="25">
        <f>IF(V73="","",T73/V73)</f>
        <v/>
      </c>
      <c r="X73" s="25">
        <f>IF(V73="","",U73/V73)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19">
        <f>IF(F74="","",D74/F74)</f>
        <v/>
      </c>
      <c r="H74" s="19">
        <f>IF(F74="","",E74/F74)</f>
        <v/>
      </c>
      <c r="I74" s="26">
        <f>IF(OR(D74="",D62=""),"",D74/D62-1)</f>
        <v/>
      </c>
      <c r="J74" s="19">
        <f>IF(OR(E74="",E62=""),"",E74/E62-1)</f>
        <v/>
      </c>
      <c r="K74" s="19">
        <f>IF(OR(F74="",F62=""),"",F74/F62-1)</f>
        <v/>
      </c>
      <c r="L74" s="19">
        <f>IF(OR(D74="",D73=""),"",D74/D73-1)</f>
        <v/>
      </c>
      <c r="M74" s="19">
        <f>IF(OR(E74="",E73=""),"",E74/E73-1)</f>
        <v/>
      </c>
      <c r="N74" s="19">
        <f>IF(OR(F74="",F73=""),"",F74/F73-1)</f>
        <v/>
      </c>
      <c r="O74" s="22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IF(Q74="","",O74/Q74)</f>
        <v/>
      </c>
      <c r="S74" s="23">
        <f>IF(Q74="","",P74/Q74)</f>
        <v/>
      </c>
      <c r="T74" s="24">
        <f>IF(SUMIFS('Monthly NSE Equity Options'!$L:$L,'Monthly NSE Equity Options'!$A:$A,$A74)=0,"",SUMIFS('Monthly NSE Equity Options'!$L:$L,'Monthly NSE Equity Options'!$A:$A,$A74))</f>
        <v/>
      </c>
      <c r="U74" s="9">
        <f>IF(SUMIFS('Monthly BSE Equity Options'!$L:$L,'Monthly BSE Equity Options'!$A:$A,$A74)=0,"",SUMIFS('Monthly BSE Equity Options'!$L:$L,'Monthly BSE Equity Options'!$A:$A,$A74))</f>
        <v/>
      </c>
      <c r="V74" s="9">
        <f>IF(OR(T74="",U74=""),"",T74+U74)</f>
        <v/>
      </c>
      <c r="W74" s="25">
        <f>IF(V74="","",T74/V74)</f>
        <v/>
      </c>
      <c r="X74" s="25">
        <f>IF(V74="","",U74/V74)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19">
        <f>IF(F75="","",D75/F75)</f>
        <v/>
      </c>
      <c r="H75" s="19">
        <f>IF(F75="","",E75/F75)</f>
        <v/>
      </c>
      <c r="I75" s="26">
        <f>IF(OR(D75="",D63=""),"",D75/D63-1)</f>
        <v/>
      </c>
      <c r="J75" s="19">
        <f>IF(OR(E75="",E63=""),"",E75/E63-1)</f>
        <v/>
      </c>
      <c r="K75" s="19">
        <f>IF(OR(F75="",F63=""),"",F75/F63-1)</f>
        <v/>
      </c>
      <c r="L75" s="19">
        <f>IF(OR(D75="",D74=""),"",D75/D74-1)</f>
        <v/>
      </c>
      <c r="M75" s="19">
        <f>IF(OR(E75="",E74=""),"",E75/E74-1)</f>
        <v/>
      </c>
      <c r="N75" s="19">
        <f>IF(OR(F75="",F74=""),"",F75/F74-1)</f>
        <v/>
      </c>
      <c r="O75" s="22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IF(Q75="","",O75/Q75)</f>
        <v/>
      </c>
      <c r="S75" s="23">
        <f>IF(Q75="","",P75/Q75)</f>
        <v/>
      </c>
      <c r="T75" s="24">
        <f>IF(SUMIFS('Monthly NSE Equity Options'!$L:$L,'Monthly NSE Equity Options'!$A:$A,$A75)=0,"",SUMIFS('Monthly NSE Equity Options'!$L:$L,'Monthly NSE Equity Options'!$A:$A,$A75))</f>
        <v/>
      </c>
      <c r="U75" s="9">
        <f>IF(SUMIFS('Monthly BSE Equity Options'!$L:$L,'Monthly BSE Equity Options'!$A:$A,$A75)=0,"",SUMIFS('Monthly BSE Equity Options'!$L:$L,'Monthly BSE Equity Options'!$A:$A,$A75))</f>
        <v/>
      </c>
      <c r="V75" s="9">
        <f>IF(OR(T75="",U75=""),"",T75+U75)</f>
        <v/>
      </c>
      <c r="W75" s="25">
        <f>IF(V75="","",T75/V75)</f>
        <v/>
      </c>
      <c r="X75" s="25">
        <f>IF(V75="","",U75/V75)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19">
        <f>IF(F76="","",D76/F76)</f>
        <v/>
      </c>
      <c r="H76" s="19">
        <f>IF(F76="","",E76/F76)</f>
        <v/>
      </c>
      <c r="I76" s="26">
        <f>IF(OR(D76="",D64=""),"",D76/D64-1)</f>
        <v/>
      </c>
      <c r="J76" s="19">
        <f>IF(OR(E76="",E64=""),"",E76/E64-1)</f>
        <v/>
      </c>
      <c r="K76" s="19">
        <f>IF(OR(F76="",F64=""),"",F76/F64-1)</f>
        <v/>
      </c>
      <c r="L76" s="19">
        <f>IF(OR(D76="",D75=""),"",D76/D75-1)</f>
        <v/>
      </c>
      <c r="M76" s="19">
        <f>IF(OR(E76="",E75=""),"",E76/E75-1)</f>
        <v/>
      </c>
      <c r="N76" s="19">
        <f>IF(OR(F76="",F75=""),"",F76/F75-1)</f>
        <v/>
      </c>
      <c r="O76" s="22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IF(Q76="","",O76/Q76)</f>
        <v/>
      </c>
      <c r="S76" s="23">
        <f>IF(Q76="","",P76/Q76)</f>
        <v/>
      </c>
      <c r="T76" s="24">
        <f>IF(SUMIFS('Monthly NSE Equity Options'!$L:$L,'Monthly NSE Equity Options'!$A:$A,$A76)=0,"",SUMIFS('Monthly NSE Equity Options'!$L:$L,'Monthly NSE Equity Options'!$A:$A,$A76))</f>
        <v/>
      </c>
      <c r="U76" s="9">
        <f>IF(SUMIFS('Monthly BSE Equity Options'!$L:$L,'Monthly BSE Equity Options'!$A:$A,$A76)=0,"",SUMIFS('Monthly BSE Equity Options'!$L:$L,'Monthly BSE Equity Options'!$A:$A,$A76))</f>
        <v/>
      </c>
      <c r="V76" s="9">
        <f>IF(OR(T76="",U76=""),"",T76+U76)</f>
        <v/>
      </c>
      <c r="W76" s="25">
        <f>IF(V76="","",T76/V76)</f>
        <v/>
      </c>
      <c r="X76" s="25">
        <f>IF(V76="","",U76/V76)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19">
        <f>IF(F77="","",D77/F77)</f>
        <v/>
      </c>
      <c r="H77" s="19">
        <f>IF(F77="","",E77/F77)</f>
        <v/>
      </c>
      <c r="I77" s="26">
        <f>IF(OR(D77="",D65=""),"",D77/D65-1)</f>
        <v/>
      </c>
      <c r="J77" s="19">
        <f>IF(OR(E77="",E65=""),"",E77/E65-1)</f>
        <v/>
      </c>
      <c r="K77" s="19">
        <f>IF(OR(F77="",F65=""),"",F77/F65-1)</f>
        <v/>
      </c>
      <c r="L77" s="19">
        <f>IF(OR(D77="",D76=""),"",D77/D76-1)</f>
        <v/>
      </c>
      <c r="M77" s="19">
        <f>IF(OR(E77="",E76=""),"",E77/E76-1)</f>
        <v/>
      </c>
      <c r="N77" s="19">
        <f>IF(OR(F77="",F76=""),"",F77/F76-1)</f>
        <v/>
      </c>
      <c r="O77" s="22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IF(Q77="","",O77/Q77)</f>
        <v/>
      </c>
      <c r="S77" s="23">
        <f>IF(Q77="","",P77/Q77)</f>
        <v/>
      </c>
      <c r="T77" s="24">
        <f>IF(SUMIFS('Monthly NSE Equity Options'!$L:$L,'Monthly NSE Equity Options'!$A:$A,$A77)=0,"",SUMIFS('Monthly NSE Equity Options'!$L:$L,'Monthly NSE Equity Options'!$A:$A,$A77))</f>
        <v/>
      </c>
      <c r="U77" s="9">
        <f>IF(SUMIFS('Monthly BSE Equity Options'!$L:$L,'Monthly BSE Equity Options'!$A:$A,$A77)=0,"",SUMIFS('Monthly BSE Equity Options'!$L:$L,'Monthly BSE Equity Options'!$A:$A,$A77))</f>
        <v/>
      </c>
      <c r="V77" s="9">
        <f>IF(OR(T77="",U77=""),"",T77+U77)</f>
        <v/>
      </c>
      <c r="W77" s="25">
        <f>IF(V77="","",T77/V77)</f>
        <v/>
      </c>
      <c r="X77" s="25">
        <f>IF(V77="","",U77/V77)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19">
        <f>IF(F78="","",D78/F78)</f>
        <v/>
      </c>
      <c r="H78" s="19">
        <f>IF(F78="","",E78/F78)</f>
        <v/>
      </c>
      <c r="I78" s="26">
        <f>IF(OR(D78="",D66=""),"",D78/D66-1)</f>
        <v/>
      </c>
      <c r="J78" s="19">
        <f>IF(OR(E78="",E66=""),"",E78/E66-1)</f>
        <v/>
      </c>
      <c r="K78" s="19">
        <f>IF(OR(F78="",F66=""),"",F78/F66-1)</f>
        <v/>
      </c>
      <c r="L78" s="19">
        <f>IF(OR(D78="",D77=""),"",D78/D77-1)</f>
        <v/>
      </c>
      <c r="M78" s="19">
        <f>IF(OR(E78="",E77=""),"",E78/E77-1)</f>
        <v/>
      </c>
      <c r="N78" s="19">
        <f>IF(OR(F78="",F77=""),"",F78/F77-1)</f>
        <v/>
      </c>
      <c r="O78" s="22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IF(Q78="","",O78/Q78)</f>
        <v/>
      </c>
      <c r="S78" s="23">
        <f>IF(Q78="","",P78/Q78)</f>
        <v/>
      </c>
      <c r="T78" s="24">
        <f>IF(SUMIFS('Monthly NSE Equity Options'!$L:$L,'Monthly NSE Equity Options'!$A:$A,$A78)=0,"",SUMIFS('Monthly NSE Equity Options'!$L:$L,'Monthly NSE Equity Options'!$A:$A,$A78))</f>
        <v/>
      </c>
      <c r="U78" s="9">
        <f>IF(SUMIFS('Monthly BSE Equity Options'!$L:$L,'Monthly BSE Equity Options'!$A:$A,$A78)=0,"",SUMIFS('Monthly BSE Equity Options'!$L:$L,'Monthly BSE Equity Options'!$A:$A,$A78))</f>
        <v/>
      </c>
      <c r="V78" s="9">
        <f>IF(OR(T78="",U78=""),"",T78+U78)</f>
        <v/>
      </c>
      <c r="W78" s="25">
        <f>IF(V78="","",T78/V78)</f>
        <v/>
      </c>
      <c r="X78" s="25">
        <f>IF(V78="","",U78/V78)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19">
        <f>IF(F79="","",D79/F79)</f>
        <v/>
      </c>
      <c r="H79" s="19">
        <f>IF(F79="","",E79/F79)</f>
        <v/>
      </c>
      <c r="I79" s="26">
        <f>IF(OR(D79="",D67=""),"",D79/D67-1)</f>
        <v/>
      </c>
      <c r="J79" s="19">
        <f>IF(OR(E79="",E67=""),"",E79/E67-1)</f>
        <v/>
      </c>
      <c r="K79" s="19">
        <f>IF(OR(F79="",F67=""),"",F79/F67-1)</f>
        <v/>
      </c>
      <c r="L79" s="19">
        <f>IF(OR(D79="",D78=""),"",D79/D78-1)</f>
        <v/>
      </c>
      <c r="M79" s="19">
        <f>IF(OR(E79="",E78=""),"",E79/E78-1)</f>
        <v/>
      </c>
      <c r="N79" s="19">
        <f>IF(OR(F79="",F78=""),"",F79/F78-1)</f>
        <v/>
      </c>
      <c r="O79" s="22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IF(Q79="","",O79/Q79)</f>
        <v/>
      </c>
      <c r="S79" s="23">
        <f>IF(Q79="","",P79/Q79)</f>
        <v/>
      </c>
      <c r="T79" s="24">
        <f>IF(SUMIFS('Monthly NSE Equity Options'!$L:$L,'Monthly NSE Equity Options'!$A:$A,$A79)=0,"",SUMIFS('Monthly NSE Equity Options'!$L:$L,'Monthly NSE Equity Options'!$A:$A,$A79))</f>
        <v/>
      </c>
      <c r="U79" s="9">
        <f>IF(SUMIFS('Monthly BSE Equity Options'!$L:$L,'Monthly BSE Equity Options'!$A:$A,$A79)=0,"",SUMIFS('Monthly BSE Equity Options'!$L:$L,'Monthly BSE Equity Options'!$A:$A,$A79))</f>
        <v/>
      </c>
      <c r="V79" s="9">
        <f>IF(OR(T79="",U79=""),"",T79+U79)</f>
        <v/>
      </c>
      <c r="W79" s="25">
        <f>IF(V79="","",T79/V79)</f>
        <v/>
      </c>
      <c r="X79" s="25">
        <f>IF(V79="","",U79/V79)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19">
        <f>IF(F80="","",D80/F80)</f>
        <v/>
      </c>
      <c r="H80" s="19">
        <f>IF(F80="","",E80/F80)</f>
        <v/>
      </c>
      <c r="I80" s="26">
        <f>IF(OR(D80="",D68=""),"",D80/D68-1)</f>
        <v/>
      </c>
      <c r="J80" s="19">
        <f>IF(OR(E80="",E68=""),"",E80/E68-1)</f>
        <v/>
      </c>
      <c r="K80" s="19">
        <f>IF(OR(F80="",F68=""),"",F80/F68-1)</f>
        <v/>
      </c>
      <c r="L80" s="19">
        <f>IF(OR(D80="",D79=""),"",D80/D79-1)</f>
        <v/>
      </c>
      <c r="M80" s="19">
        <f>IF(OR(E80="",E79=""),"",E80/E79-1)</f>
        <v/>
      </c>
      <c r="N80" s="19">
        <f>IF(OR(F80="",F79=""),"",F80/F79-1)</f>
        <v/>
      </c>
      <c r="O80" s="22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IF(Q80="","",O80/Q80)</f>
        <v/>
      </c>
      <c r="S80" s="23">
        <f>IF(Q80="","",P80/Q80)</f>
        <v/>
      </c>
      <c r="T80" s="24">
        <f>IF(SUMIFS('Monthly NSE Equity Options'!$L:$L,'Monthly NSE Equity Options'!$A:$A,$A80)=0,"",SUMIFS('Monthly NSE Equity Options'!$L:$L,'Monthly NSE Equity Options'!$A:$A,$A80))</f>
        <v/>
      </c>
      <c r="U80" s="9">
        <f>IF(SUMIFS('Monthly BSE Equity Options'!$L:$L,'Monthly BSE Equity Options'!$A:$A,$A80)=0,"",SUMIFS('Monthly BSE Equity Options'!$L:$L,'Monthly BSE Equity Options'!$A:$A,$A80))</f>
        <v/>
      </c>
      <c r="V80" s="9">
        <f>IF(OR(T80="",U80=""),"",T80+U80)</f>
        <v/>
      </c>
      <c r="W80" s="25">
        <f>IF(V80="","",T80/V80)</f>
        <v/>
      </c>
      <c r="X80" s="25">
        <f>IF(V80="","",U80/V80)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19">
        <f>IF(F81="","",D81/F81)</f>
        <v/>
      </c>
      <c r="H81" s="19">
        <f>IF(F81="","",E81/F81)</f>
        <v/>
      </c>
      <c r="I81" s="26">
        <f>IF(OR(D81="",D69=""),"",D81/D69-1)</f>
        <v/>
      </c>
      <c r="J81" s="19">
        <f>IF(OR(E81="",E69=""),"",E81/E69-1)</f>
        <v/>
      </c>
      <c r="K81" s="19">
        <f>IF(OR(F81="",F69=""),"",F81/F69-1)</f>
        <v/>
      </c>
      <c r="L81" s="19">
        <f>IF(OR(D81="",D80=""),"",D81/D80-1)</f>
        <v/>
      </c>
      <c r="M81" s="19">
        <f>IF(OR(E81="",E80=""),"",E81/E80-1)</f>
        <v/>
      </c>
      <c r="N81" s="19">
        <f>IF(OR(F81="",F80=""),"",F81/F80-1)</f>
        <v/>
      </c>
      <c r="O81" s="22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IF(Q81="","",O81/Q81)</f>
        <v/>
      </c>
      <c r="S81" s="23">
        <f>IF(Q81="","",P81/Q81)</f>
        <v/>
      </c>
      <c r="T81" s="24">
        <f>IF(SUMIFS('Monthly NSE Equity Options'!$L:$L,'Monthly NSE Equity Options'!$A:$A,$A81)=0,"",SUMIFS('Monthly NSE Equity Options'!$L:$L,'Monthly NSE Equity Options'!$A:$A,$A81))</f>
        <v/>
      </c>
      <c r="U81" s="9">
        <f>IF(SUMIFS('Monthly BSE Equity Options'!$L:$L,'Monthly BSE Equity Options'!$A:$A,$A81)=0,"",SUMIFS('Monthly BSE Equity Options'!$L:$L,'Monthly BSE Equity Options'!$A:$A,$A81))</f>
        <v/>
      </c>
      <c r="V81" s="9">
        <f>IF(OR(T81="",U81=""),"",T81+U81)</f>
        <v/>
      </c>
      <c r="W81" s="25">
        <f>IF(V81="","",T81/V81)</f>
        <v/>
      </c>
      <c r="X81" s="25">
        <f>IF(V81="","",U81/V81)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19">
        <f>IF(F82="","",D82/F82)</f>
        <v/>
      </c>
      <c r="H82" s="19">
        <f>IF(F82="","",E82/F82)</f>
        <v/>
      </c>
      <c r="I82" s="26">
        <f>IF(OR(D82="",D70=""),"",D82/D70-1)</f>
        <v/>
      </c>
      <c r="J82" s="19">
        <f>IF(OR(E82="",E70=""),"",E82/E70-1)</f>
        <v/>
      </c>
      <c r="K82" s="19">
        <f>IF(OR(F82="",F70=""),"",F82/F70-1)</f>
        <v/>
      </c>
      <c r="L82" s="19">
        <f>IF(OR(D82="",D81=""),"",D82/D81-1)</f>
        <v/>
      </c>
      <c r="M82" s="19">
        <f>IF(OR(E82="",E81=""),"",E82/E81-1)</f>
        <v/>
      </c>
      <c r="N82" s="19">
        <f>IF(OR(F82="",F81=""),"",F82/F81-1)</f>
        <v/>
      </c>
      <c r="O82" s="22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IF(Q82="","",O82/Q82)</f>
        <v/>
      </c>
      <c r="S82" s="23">
        <f>IF(Q82="","",P82/Q82)</f>
        <v/>
      </c>
      <c r="T82" s="24">
        <f>IF(SUMIFS('Monthly NSE Equity Options'!$L:$L,'Monthly NSE Equity Options'!$A:$A,$A82)=0,"",SUMIFS('Monthly NSE Equity Options'!$L:$L,'Monthly NSE Equity Options'!$A:$A,$A82))</f>
        <v/>
      </c>
      <c r="U82" s="9">
        <f>IF(SUMIFS('Monthly BSE Equity Options'!$L:$L,'Monthly BSE Equity Options'!$A:$A,$A82)=0,"",SUMIFS('Monthly BSE Equity Options'!$L:$L,'Monthly BSE Equity Options'!$A:$A,$A82))</f>
        <v/>
      </c>
      <c r="V82" s="9">
        <f>IF(OR(T82="",U82=""),"",T82+U82)</f>
        <v/>
      </c>
      <c r="W82" s="25">
        <f>IF(V82="","",T82/V82)</f>
        <v/>
      </c>
      <c r="X82" s="25">
        <f>IF(V82="","",U82/V82)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19">
        <f>IF(F83="","",D83/F83)</f>
        <v/>
      </c>
      <c r="H83" s="19">
        <f>IF(F83="","",E83/F83)</f>
        <v/>
      </c>
      <c r="I83" s="26">
        <f>IF(OR(D83="",D71=""),"",D83/D71-1)</f>
        <v/>
      </c>
      <c r="J83" s="19">
        <f>IF(OR(E83="",E71=""),"",E83/E71-1)</f>
        <v/>
      </c>
      <c r="K83" s="19">
        <f>IF(OR(F83="",F71=""),"",F83/F71-1)</f>
        <v/>
      </c>
      <c r="L83" s="19">
        <f>IF(OR(D83="",D82=""),"",D83/D82-1)</f>
        <v/>
      </c>
      <c r="M83" s="19">
        <f>IF(OR(E83="",E82=""),"",E83/E82-1)</f>
        <v/>
      </c>
      <c r="N83" s="19">
        <f>IF(OR(F83="",F82=""),"",F83/F82-1)</f>
        <v/>
      </c>
      <c r="O83" s="22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IF(Q83="","",O83/Q83)</f>
        <v/>
      </c>
      <c r="S83" s="23">
        <f>IF(Q83="","",P83/Q83)</f>
        <v/>
      </c>
      <c r="T83" s="24">
        <f>IF(SUMIFS('Monthly NSE Equity Options'!$L:$L,'Monthly NSE Equity Options'!$A:$A,$A83)=0,"",SUMIFS('Monthly NSE Equity Options'!$L:$L,'Monthly NSE Equity Options'!$A:$A,$A83))</f>
        <v/>
      </c>
      <c r="U83" s="9">
        <f>IF(SUMIFS('Monthly BSE Equity Options'!$L:$L,'Monthly BSE Equity Options'!$A:$A,$A83)=0,"",SUMIFS('Monthly BSE Equity Options'!$L:$L,'Monthly BSE Equity Options'!$A:$A,$A83))</f>
        <v/>
      </c>
      <c r="V83" s="9">
        <f>IF(OR(T83="",U83=""),"",T83+U83)</f>
        <v/>
      </c>
      <c r="W83" s="25">
        <f>IF(V83="","",T83/V83)</f>
        <v/>
      </c>
      <c r="X83" s="25">
        <f>IF(V83="","",U83/V83)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19">
        <f>IF(F84="","",D84/F84)</f>
        <v/>
      </c>
      <c r="H84" s="19">
        <f>IF(F84="","",E84/F84)</f>
        <v/>
      </c>
      <c r="I84" s="26">
        <f>IF(OR(D84="",D72=""),"",D84/D72-1)</f>
        <v/>
      </c>
      <c r="J84" s="19">
        <f>IF(OR(E84="",E72=""),"",E84/E72-1)</f>
        <v/>
      </c>
      <c r="K84" s="19">
        <f>IF(OR(F84="",F72=""),"",F84/F72-1)</f>
        <v/>
      </c>
      <c r="L84" s="19">
        <f>IF(OR(D84="",D83=""),"",D84/D83-1)</f>
        <v/>
      </c>
      <c r="M84" s="19">
        <f>IF(OR(E84="",E83=""),"",E84/E83-1)</f>
        <v/>
      </c>
      <c r="N84" s="19">
        <f>IF(OR(F84="",F83=""),"",F84/F83-1)</f>
        <v/>
      </c>
      <c r="O84" s="22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IF(Q84="","",O84/Q84)</f>
        <v/>
      </c>
      <c r="S84" s="23">
        <f>IF(Q84="","",P84/Q84)</f>
        <v/>
      </c>
      <c r="T84" s="24">
        <f>IF(SUMIFS('Monthly NSE Equity Options'!$L:$L,'Monthly NSE Equity Options'!$A:$A,$A84)=0,"",SUMIFS('Monthly NSE Equity Options'!$L:$L,'Monthly NSE Equity Options'!$A:$A,$A84))</f>
        <v/>
      </c>
      <c r="U84" s="9">
        <f>IF(SUMIFS('Monthly BSE Equity Options'!$L:$L,'Monthly BSE Equity Options'!$A:$A,$A84)=0,"",SUMIFS('Monthly BSE Equity Options'!$L:$L,'Monthly BSE Equity Options'!$A:$A,$A84))</f>
        <v/>
      </c>
      <c r="V84" s="9">
        <f>IF(OR(T84="",U84=""),"",T84+U84)</f>
        <v/>
      </c>
      <c r="W84" s="25">
        <f>IF(V84="","",T84/V84)</f>
        <v/>
      </c>
      <c r="X84" s="25">
        <f>IF(V84="","",U84/V84)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19">
        <f>IF(F85="","",D85/F85)</f>
        <v/>
      </c>
      <c r="H85" s="19">
        <f>IF(F85="","",E85/F85)</f>
        <v/>
      </c>
      <c r="I85" s="26">
        <f>IF(OR(D85="",D73=""),"",D85/D73-1)</f>
        <v/>
      </c>
      <c r="J85" s="19">
        <f>IF(OR(E85="",E73=""),"",E85/E73-1)</f>
        <v/>
      </c>
      <c r="K85" s="19">
        <f>IF(OR(F85="",F73=""),"",F85/F73-1)</f>
        <v/>
      </c>
      <c r="L85" s="19">
        <f>IF(OR(D85="",D84=""),"",D85/D84-1)</f>
        <v/>
      </c>
      <c r="M85" s="19">
        <f>IF(OR(E85="",E84=""),"",E85/E84-1)</f>
        <v/>
      </c>
      <c r="N85" s="19">
        <f>IF(OR(F85="",F84=""),"",F85/F84-1)</f>
        <v/>
      </c>
      <c r="O85" s="22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IF(Q85="","",O85/Q85)</f>
        <v/>
      </c>
      <c r="S85" s="23">
        <f>IF(Q85="","",P85/Q85)</f>
        <v/>
      </c>
      <c r="T85" s="24">
        <f>IF(SUMIFS('Monthly NSE Equity Options'!$L:$L,'Monthly NSE Equity Options'!$A:$A,$A85)=0,"",SUMIFS('Monthly NSE Equity Options'!$L:$L,'Monthly NSE Equity Options'!$A:$A,$A85))</f>
        <v/>
      </c>
      <c r="U85" s="9">
        <f>IF(SUMIFS('Monthly BSE Equity Options'!$L:$L,'Monthly BSE Equity Options'!$A:$A,$A85)=0,"",SUMIFS('Monthly BSE Equity Options'!$L:$L,'Monthly BSE Equity Options'!$A:$A,$A85))</f>
        <v/>
      </c>
      <c r="V85" s="9">
        <f>IF(OR(T85="",U85=""),"",T85+U85)</f>
        <v/>
      </c>
      <c r="W85" s="25">
        <f>IF(V85="","",T85/V85)</f>
        <v/>
      </c>
      <c r="X85" s="25">
        <f>IF(V85="","",U85/V85)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19">
        <f>IF(F86="","",D86/F86)</f>
        <v/>
      </c>
      <c r="H86" s="19">
        <f>IF(F86="","",E86/F86)</f>
        <v/>
      </c>
      <c r="I86" s="26">
        <f>IF(OR(D86="",D74=""),"",D86/D74-1)</f>
        <v/>
      </c>
      <c r="J86" s="19">
        <f>IF(OR(E86="",E74=""),"",E86/E74-1)</f>
        <v/>
      </c>
      <c r="K86" s="19">
        <f>IF(OR(F86="",F74=""),"",F86/F74-1)</f>
        <v/>
      </c>
      <c r="L86" s="19">
        <f>IF(OR(D86="",D85=""),"",D86/D85-1)</f>
        <v/>
      </c>
      <c r="M86" s="19">
        <f>IF(OR(E86="",E85=""),"",E86/E85-1)</f>
        <v/>
      </c>
      <c r="N86" s="19">
        <f>IF(OR(F86="",F85=""),"",F86/F85-1)</f>
        <v/>
      </c>
      <c r="O86" s="22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IF(Q86="","",O86/Q86)</f>
        <v/>
      </c>
      <c r="S86" s="23">
        <f>IF(Q86="","",P86/Q86)</f>
        <v/>
      </c>
      <c r="T86" s="24">
        <f>IF(SUMIFS('Monthly NSE Equity Options'!$L:$L,'Monthly NSE Equity Options'!$A:$A,$A86)=0,"",SUMIFS('Monthly NSE Equity Options'!$L:$L,'Monthly NSE Equity Options'!$A:$A,$A86))</f>
        <v/>
      </c>
      <c r="U86" s="9">
        <f>IF(SUMIFS('Monthly BSE Equity Options'!$L:$L,'Monthly BSE Equity Options'!$A:$A,$A86)=0,"",SUMIFS('Monthly BSE Equity Options'!$L:$L,'Monthly BSE Equity Options'!$A:$A,$A86))</f>
        <v/>
      </c>
      <c r="V86" s="9">
        <f>IF(OR(T86="",U86=""),"",T86+U86)</f>
        <v/>
      </c>
      <c r="W86" s="25">
        <f>IF(V86="","",T86/V86)</f>
        <v/>
      </c>
      <c r="X86" s="25">
        <f>IF(V86="","",U86/V86)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19">
        <f>IF(F87="","",D87/F87)</f>
        <v/>
      </c>
      <c r="H87" s="19">
        <f>IF(F87="","",E87/F87)</f>
        <v/>
      </c>
      <c r="I87" s="26">
        <f>IF(OR(D87="",D75=""),"",D87/D75-1)</f>
        <v/>
      </c>
      <c r="J87" s="19">
        <f>IF(OR(E87="",E75=""),"",E87/E75-1)</f>
        <v/>
      </c>
      <c r="K87" s="19">
        <f>IF(OR(F87="",F75=""),"",F87/F75-1)</f>
        <v/>
      </c>
      <c r="L87" s="19">
        <f>IF(OR(D87="",D86=""),"",D87/D86-1)</f>
        <v/>
      </c>
      <c r="M87" s="19">
        <f>IF(OR(E87="",E86=""),"",E87/E86-1)</f>
        <v/>
      </c>
      <c r="N87" s="19">
        <f>IF(OR(F87="",F86=""),"",F87/F86-1)</f>
        <v/>
      </c>
      <c r="O87" s="22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IF(Q87="","",O87/Q87)</f>
        <v/>
      </c>
      <c r="S87" s="23">
        <f>IF(Q87="","",P87/Q87)</f>
        <v/>
      </c>
      <c r="T87" s="24">
        <f>IF(SUMIFS('Monthly NSE Equity Options'!$L:$L,'Monthly NSE Equity Options'!$A:$A,$A87)=0,"",SUMIFS('Monthly NSE Equity Options'!$L:$L,'Monthly NSE Equity Options'!$A:$A,$A87))</f>
        <v/>
      </c>
      <c r="U87" s="9">
        <f>IF(SUMIFS('Monthly BSE Equity Options'!$L:$L,'Monthly BSE Equity Options'!$A:$A,$A87)=0,"",SUMIFS('Monthly BSE Equity Options'!$L:$L,'Monthly BSE Equity Options'!$A:$A,$A87))</f>
        <v/>
      </c>
      <c r="V87" s="9">
        <f>IF(OR(T87="",U87=""),"",T87+U87)</f>
        <v/>
      </c>
      <c r="W87" s="25">
        <f>IF(V87="","",T87/V87)</f>
        <v/>
      </c>
      <c r="X87" s="25">
        <f>IF(V87="","",U87/V87)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19">
        <f>IF(F88="","",D88/F88)</f>
        <v/>
      </c>
      <c r="H88" s="19">
        <f>IF(F88="","",E88/F88)</f>
        <v/>
      </c>
      <c r="I88" s="26">
        <f>IF(OR(D88="",D76=""),"",D88/D76-1)</f>
        <v/>
      </c>
      <c r="J88" s="19">
        <f>IF(OR(E88="",E76=""),"",E88/E76-1)</f>
        <v/>
      </c>
      <c r="K88" s="19">
        <f>IF(OR(F88="",F76=""),"",F88/F76-1)</f>
        <v/>
      </c>
      <c r="L88" s="19">
        <f>IF(OR(D88="",D87=""),"",D88/D87-1)</f>
        <v/>
      </c>
      <c r="M88" s="19">
        <f>IF(OR(E88="",E87=""),"",E88/E87-1)</f>
        <v/>
      </c>
      <c r="N88" s="19">
        <f>IF(OR(F88="",F87=""),"",F88/F87-1)</f>
        <v/>
      </c>
      <c r="O88" s="22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IF(Q88="","",O88/Q88)</f>
        <v/>
      </c>
      <c r="S88" s="23">
        <f>IF(Q88="","",P88/Q88)</f>
        <v/>
      </c>
      <c r="T88" s="24">
        <f>IF(SUMIFS('Monthly NSE Equity Options'!$L:$L,'Monthly NSE Equity Options'!$A:$A,$A88)=0,"",SUMIFS('Monthly NSE Equity Options'!$L:$L,'Monthly NSE Equity Options'!$A:$A,$A88))</f>
        <v/>
      </c>
      <c r="U88" s="9">
        <f>IF(SUMIFS('Monthly BSE Equity Options'!$L:$L,'Monthly BSE Equity Options'!$A:$A,$A88)=0,"",SUMIFS('Monthly BSE Equity Options'!$L:$L,'Monthly BSE Equity Options'!$A:$A,$A88))</f>
        <v/>
      </c>
      <c r="V88" s="9">
        <f>IF(OR(T88="",U88=""),"",T88+U88)</f>
        <v/>
      </c>
      <c r="W88" s="25">
        <f>IF(V88="","",T88/V88)</f>
        <v/>
      </c>
      <c r="X88" s="25">
        <f>IF(V88="","",U88/V88)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19">
        <f>IF(F89="","",D89/F89)</f>
        <v/>
      </c>
      <c r="H89" s="19">
        <f>IF(F89="","",E89/F89)</f>
        <v/>
      </c>
      <c r="I89" s="26">
        <f>IF(OR(D89="",D77=""),"",D89/D77-1)</f>
        <v/>
      </c>
      <c r="J89" s="19">
        <f>IF(OR(E89="",E77=""),"",E89/E77-1)</f>
        <v/>
      </c>
      <c r="K89" s="19">
        <f>IF(OR(F89="",F77=""),"",F89/F77-1)</f>
        <v/>
      </c>
      <c r="L89" s="19">
        <f>IF(OR(D89="",D88=""),"",D89/D88-1)</f>
        <v/>
      </c>
      <c r="M89" s="19">
        <f>IF(OR(E89="",E88=""),"",E89/E88-1)</f>
        <v/>
      </c>
      <c r="N89" s="19">
        <f>IF(OR(F89="",F88=""),"",F89/F88-1)</f>
        <v/>
      </c>
      <c r="O89" s="22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IF(Q89="","",O89/Q89)</f>
        <v/>
      </c>
      <c r="S89" s="23">
        <f>IF(Q89="","",P89/Q89)</f>
        <v/>
      </c>
      <c r="T89" s="24">
        <f>IF(SUMIFS('Monthly NSE Equity Options'!$L:$L,'Monthly NSE Equity Options'!$A:$A,$A89)=0,"",SUMIFS('Monthly NSE Equity Options'!$L:$L,'Monthly NSE Equity Options'!$A:$A,$A89))</f>
        <v/>
      </c>
      <c r="U89" s="9">
        <f>IF(SUMIFS('Monthly BSE Equity Options'!$L:$L,'Monthly BSE Equity Options'!$A:$A,$A89)=0,"",SUMIFS('Monthly BSE Equity Options'!$L:$L,'Monthly BSE Equity Options'!$A:$A,$A89))</f>
        <v/>
      </c>
      <c r="V89" s="9">
        <f>IF(OR(T89="",U89=""),"",T89+U89)</f>
        <v/>
      </c>
      <c r="W89" s="25">
        <f>IF(V89="","",T89/V89)</f>
        <v/>
      </c>
      <c r="X89" s="25">
        <f>IF(V89="","",U89/V89)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19">
        <f>IF(F90="","",D90/F90)</f>
        <v/>
      </c>
      <c r="H90" s="19">
        <f>IF(F90="","",E90/F90)</f>
        <v/>
      </c>
      <c r="I90" s="26">
        <f>IF(OR(D90="",D78=""),"",D90/D78-1)</f>
        <v/>
      </c>
      <c r="J90" s="19">
        <f>IF(OR(E90="",E78=""),"",E90/E78-1)</f>
        <v/>
      </c>
      <c r="K90" s="19">
        <f>IF(OR(F90="",F78=""),"",F90/F78-1)</f>
        <v/>
      </c>
      <c r="L90" s="19">
        <f>IF(OR(D90="",D89=""),"",D90/D89-1)</f>
        <v/>
      </c>
      <c r="M90" s="19">
        <f>IF(OR(E90="",E89=""),"",E90/E89-1)</f>
        <v/>
      </c>
      <c r="N90" s="19">
        <f>IF(OR(F90="",F89=""),"",F90/F89-1)</f>
        <v/>
      </c>
      <c r="O90" s="22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IF(Q90="","",O90/Q90)</f>
        <v/>
      </c>
      <c r="S90" s="23">
        <f>IF(Q90="","",P90/Q90)</f>
        <v/>
      </c>
      <c r="T90" s="24">
        <f>IF(SUMIFS('Monthly NSE Equity Options'!$L:$L,'Monthly NSE Equity Options'!$A:$A,$A90)=0,"",SUMIFS('Monthly NSE Equity Options'!$L:$L,'Monthly NSE Equity Options'!$A:$A,$A90))</f>
        <v/>
      </c>
      <c r="U90" s="9">
        <f>IF(SUMIFS('Monthly BSE Equity Options'!$L:$L,'Monthly BSE Equity Options'!$A:$A,$A90)=0,"",SUMIFS('Monthly BSE Equity Options'!$L:$L,'Monthly BSE Equity Options'!$A:$A,$A90))</f>
        <v/>
      </c>
      <c r="V90" s="9">
        <f>IF(OR(T90="",U90=""),"",T90+U90)</f>
        <v/>
      </c>
      <c r="W90" s="25">
        <f>IF(V90="","",T90/V90)</f>
        <v/>
      </c>
      <c r="X90" s="25">
        <f>IF(V90="","",U90/V90)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19">
        <f>IF(F91="","",D91/F91)</f>
        <v/>
      </c>
      <c r="H91" s="19">
        <f>IF(F91="","",E91/F91)</f>
        <v/>
      </c>
      <c r="I91" s="26">
        <f>IF(OR(D91="",D79=""),"",D91/D79-1)</f>
        <v/>
      </c>
      <c r="J91" s="19">
        <f>IF(OR(E91="",E79=""),"",E91/E79-1)</f>
        <v/>
      </c>
      <c r="K91" s="19">
        <f>IF(OR(F91="",F79=""),"",F91/F79-1)</f>
        <v/>
      </c>
      <c r="L91" s="19">
        <f>IF(OR(D91="",D90=""),"",D91/D90-1)</f>
        <v/>
      </c>
      <c r="M91" s="19">
        <f>IF(OR(E91="",E90=""),"",E91/E90-1)</f>
        <v/>
      </c>
      <c r="N91" s="19">
        <f>IF(OR(F91="",F90=""),"",F91/F90-1)</f>
        <v/>
      </c>
      <c r="O91" s="22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IF(Q91="","",O91/Q91)</f>
        <v/>
      </c>
      <c r="S91" s="23">
        <f>IF(Q91="","",P91/Q91)</f>
        <v/>
      </c>
      <c r="T91" s="24">
        <f>IF(SUMIFS('Monthly NSE Equity Options'!$L:$L,'Monthly NSE Equity Options'!$A:$A,$A91)=0,"",SUMIFS('Monthly NSE Equity Options'!$L:$L,'Monthly NSE Equity Options'!$A:$A,$A91))</f>
        <v/>
      </c>
      <c r="U91" s="9">
        <f>IF(SUMIFS('Monthly BSE Equity Options'!$L:$L,'Monthly BSE Equity Options'!$A:$A,$A91)=0,"",SUMIFS('Monthly BSE Equity Options'!$L:$L,'Monthly BSE Equity Options'!$A:$A,$A91))</f>
        <v/>
      </c>
      <c r="V91" s="9">
        <f>IF(OR(T91="",U91=""),"",T91+U91)</f>
        <v/>
      </c>
      <c r="W91" s="25">
        <f>IF(V91="","",T91/V91)</f>
        <v/>
      </c>
      <c r="X91" s="25">
        <f>IF(V91="","",U91/V91)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19">
        <f>IF(F92="","",D92/F92)</f>
        <v/>
      </c>
      <c r="H92" s="19">
        <f>IF(F92="","",E92/F92)</f>
        <v/>
      </c>
      <c r="I92" s="26">
        <f>IF(OR(D92="",D80=""),"",D92/D80-1)</f>
        <v/>
      </c>
      <c r="J92" s="19">
        <f>IF(OR(E92="",E80=""),"",E92/E80-1)</f>
        <v/>
      </c>
      <c r="K92" s="19">
        <f>IF(OR(F92="",F80=""),"",F92/F80-1)</f>
        <v/>
      </c>
      <c r="L92" s="19">
        <f>IF(OR(D92="",D91=""),"",D92/D91-1)</f>
        <v/>
      </c>
      <c r="M92" s="19">
        <f>IF(OR(E92="",E91=""),"",E92/E91-1)</f>
        <v/>
      </c>
      <c r="N92" s="19">
        <f>IF(OR(F92="",F91=""),"",F92/F91-1)</f>
        <v/>
      </c>
      <c r="O92" s="22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IF(Q92="","",O92/Q92)</f>
        <v/>
      </c>
      <c r="S92" s="23">
        <f>IF(Q92="","",P92/Q92)</f>
        <v/>
      </c>
      <c r="T92" s="24">
        <f>IF(SUMIFS('Monthly NSE Equity Options'!$L:$L,'Monthly NSE Equity Options'!$A:$A,$A92)=0,"",SUMIFS('Monthly NSE Equity Options'!$L:$L,'Monthly NSE Equity Options'!$A:$A,$A92))</f>
        <v/>
      </c>
      <c r="U92" s="9">
        <f>IF(SUMIFS('Monthly BSE Equity Options'!$L:$L,'Monthly BSE Equity Options'!$A:$A,$A92)=0,"",SUMIFS('Monthly BSE Equity Options'!$L:$L,'Monthly BSE Equity Options'!$A:$A,$A92))</f>
        <v/>
      </c>
      <c r="V92" s="9">
        <f>IF(OR(T92="",U92=""),"",T92+U92)</f>
        <v/>
      </c>
      <c r="W92" s="25">
        <f>IF(V92="","",T92/V92)</f>
        <v/>
      </c>
      <c r="X92" s="25">
        <f>IF(V92="","",U92/V92)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19">
        <f>IF(F93="","",D93/F93)</f>
        <v/>
      </c>
      <c r="H93" s="19">
        <f>IF(F93="","",E93/F93)</f>
        <v/>
      </c>
      <c r="I93" s="26">
        <f>IF(OR(D93="",D81=""),"",D93/D81-1)</f>
        <v/>
      </c>
      <c r="J93" s="19">
        <f>IF(OR(E93="",E81=""),"",E93/E81-1)</f>
        <v/>
      </c>
      <c r="K93" s="19">
        <f>IF(OR(F93="",F81=""),"",F93/F81-1)</f>
        <v/>
      </c>
      <c r="L93" s="19">
        <f>IF(OR(D93="",D92=""),"",D93/D92-1)</f>
        <v/>
      </c>
      <c r="M93" s="19">
        <f>IF(OR(E93="",E92=""),"",E93/E92-1)</f>
        <v/>
      </c>
      <c r="N93" s="19">
        <f>IF(OR(F93="",F92=""),"",F93/F92-1)</f>
        <v/>
      </c>
      <c r="O93" s="22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IF(Q93="","",O93/Q93)</f>
        <v/>
      </c>
      <c r="S93" s="23">
        <f>IF(Q93="","",P93/Q93)</f>
        <v/>
      </c>
      <c r="T93" s="24">
        <f>IF(SUMIFS('Monthly NSE Equity Options'!$L:$L,'Monthly NSE Equity Options'!$A:$A,$A93)=0,"",SUMIFS('Monthly NSE Equity Options'!$L:$L,'Monthly NSE Equity Options'!$A:$A,$A93))</f>
        <v/>
      </c>
      <c r="U93" s="9">
        <f>IF(SUMIFS('Monthly BSE Equity Options'!$L:$L,'Monthly BSE Equity Options'!$A:$A,$A93)=0,"",SUMIFS('Monthly BSE Equity Options'!$L:$L,'Monthly BSE Equity Options'!$A:$A,$A93))</f>
        <v/>
      </c>
      <c r="V93" s="9">
        <f>IF(OR(T93="",U93=""),"",T93+U93)</f>
        <v/>
      </c>
      <c r="W93" s="25">
        <f>IF(V93="","",T93/V93)</f>
        <v/>
      </c>
      <c r="X93" s="25">
        <f>IF(V93="","",U93/V93)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19">
        <f>IF(F94="","",D94/F94)</f>
        <v/>
      </c>
      <c r="H94" s="19">
        <f>IF(F94="","",E94/F94)</f>
        <v/>
      </c>
      <c r="I94" s="26">
        <f>IF(OR(D94="",D82=""),"",D94/D82-1)</f>
        <v/>
      </c>
      <c r="J94" s="19">
        <f>IF(OR(E94="",E82=""),"",E94/E82-1)</f>
        <v/>
      </c>
      <c r="K94" s="19">
        <f>IF(OR(F94="",F82=""),"",F94/F82-1)</f>
        <v/>
      </c>
      <c r="L94" s="19">
        <f>IF(OR(D94="",D93=""),"",D94/D93-1)</f>
        <v/>
      </c>
      <c r="M94" s="19">
        <f>IF(OR(E94="",E93=""),"",E94/E93-1)</f>
        <v/>
      </c>
      <c r="N94" s="19">
        <f>IF(OR(F94="",F93=""),"",F94/F93-1)</f>
        <v/>
      </c>
      <c r="O94" s="22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IF(Q94="","",O94/Q94)</f>
        <v/>
      </c>
      <c r="S94" s="23">
        <f>IF(Q94="","",P94/Q94)</f>
        <v/>
      </c>
      <c r="T94" s="24">
        <f>IF(SUMIFS('Monthly NSE Equity Options'!$L:$L,'Monthly NSE Equity Options'!$A:$A,$A94)=0,"",SUMIFS('Monthly NSE Equity Options'!$L:$L,'Monthly NSE Equity Options'!$A:$A,$A94))</f>
        <v/>
      </c>
      <c r="U94" s="9">
        <f>IF(SUMIFS('Monthly BSE Equity Options'!$L:$L,'Monthly BSE Equity Options'!$A:$A,$A94)=0,"",SUMIFS('Monthly BSE Equity Options'!$L:$L,'Monthly BSE Equity Options'!$A:$A,$A94))</f>
        <v/>
      </c>
      <c r="V94" s="9">
        <f>IF(OR(T94="",U94=""),"",T94+U94)</f>
        <v/>
      </c>
      <c r="W94" s="25">
        <f>IF(V94="","",T94/V94)</f>
        <v/>
      </c>
      <c r="X94" s="25">
        <f>IF(V94="","",U94/V94)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19">
        <f>IF(F95="","",D95/F95)</f>
        <v/>
      </c>
      <c r="H95" s="19">
        <f>IF(F95="","",E95/F95)</f>
        <v/>
      </c>
      <c r="I95" s="26">
        <f>IF(OR(D95="",D83=""),"",D95/D83-1)</f>
        <v/>
      </c>
      <c r="J95" s="19">
        <f>IF(OR(E95="",E83=""),"",E95/E83-1)</f>
        <v/>
      </c>
      <c r="K95" s="19">
        <f>IF(OR(F95="",F83=""),"",F95/F83-1)</f>
        <v/>
      </c>
      <c r="L95" s="19">
        <f>IF(OR(D95="",D94=""),"",D95/D94-1)</f>
        <v/>
      </c>
      <c r="M95" s="19">
        <f>IF(OR(E95="",E94=""),"",E95/E94-1)</f>
        <v/>
      </c>
      <c r="N95" s="19">
        <f>IF(OR(F95="",F94=""),"",F95/F94-1)</f>
        <v/>
      </c>
      <c r="O95" s="22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IF(Q95="","",O95/Q95)</f>
        <v/>
      </c>
      <c r="S95" s="23">
        <f>IF(Q95="","",P95/Q95)</f>
        <v/>
      </c>
      <c r="T95" s="24">
        <f>IF(SUMIFS('Monthly NSE Equity Options'!$L:$L,'Monthly NSE Equity Options'!$A:$A,$A95)=0,"",SUMIFS('Monthly NSE Equity Options'!$L:$L,'Monthly NSE Equity Options'!$A:$A,$A95))</f>
        <v/>
      </c>
      <c r="U95" s="9">
        <f>IF(SUMIFS('Monthly BSE Equity Options'!$L:$L,'Monthly BSE Equity Options'!$A:$A,$A95)=0,"",SUMIFS('Monthly BSE Equity Options'!$L:$L,'Monthly BSE Equity Options'!$A:$A,$A95))</f>
        <v/>
      </c>
      <c r="V95" s="9">
        <f>IF(OR(T95="",U95=""),"",T95+U95)</f>
        <v/>
      </c>
      <c r="W95" s="25">
        <f>IF(V95="","",T95/V95)</f>
        <v/>
      </c>
      <c r="X95" s="25">
        <f>IF(V95="","",U95/V95)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19">
        <f>IF(F96="","",D96/F96)</f>
        <v/>
      </c>
      <c r="H96" s="19">
        <f>IF(F96="","",E96/F96)</f>
        <v/>
      </c>
      <c r="I96" s="26">
        <f>IF(OR(D96="",D84=""),"",D96/D84-1)</f>
        <v/>
      </c>
      <c r="J96" s="19">
        <f>IF(OR(E96="",E84=""),"",E96/E84-1)</f>
        <v/>
      </c>
      <c r="K96" s="19">
        <f>IF(OR(F96="",F84=""),"",F96/F84-1)</f>
        <v/>
      </c>
      <c r="L96" s="19">
        <f>IF(OR(D96="",D95=""),"",D96/D95-1)</f>
        <v/>
      </c>
      <c r="M96" s="19">
        <f>IF(OR(E96="",E95=""),"",E96/E95-1)</f>
        <v/>
      </c>
      <c r="N96" s="19">
        <f>IF(OR(F96="",F95=""),"",F96/F95-1)</f>
        <v/>
      </c>
      <c r="O96" s="22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IF(Q96="","",O96/Q96)</f>
        <v/>
      </c>
      <c r="S96" s="23">
        <f>IF(Q96="","",P96/Q96)</f>
        <v/>
      </c>
      <c r="T96" s="24">
        <f>IF(SUMIFS('Monthly NSE Equity Options'!$L:$L,'Monthly NSE Equity Options'!$A:$A,$A96)=0,"",SUMIFS('Monthly NSE Equity Options'!$L:$L,'Monthly NSE Equity Options'!$A:$A,$A96))</f>
        <v/>
      </c>
      <c r="U96" s="9">
        <f>IF(SUMIFS('Monthly BSE Equity Options'!$L:$L,'Monthly BSE Equity Options'!$A:$A,$A96)=0,"",SUMIFS('Monthly BSE Equity Options'!$L:$L,'Monthly BSE Equity Options'!$A:$A,$A96))</f>
        <v/>
      </c>
      <c r="V96" s="9">
        <f>IF(OR(T96="",U96=""),"",T96+U96)</f>
        <v/>
      </c>
      <c r="W96" s="25">
        <f>IF(V96="","",T96/V96)</f>
        <v/>
      </c>
      <c r="X96" s="25">
        <f>IF(V96="","",U96/V96)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19">
        <f>IF(F97="","",D97/F97)</f>
        <v/>
      </c>
      <c r="H97" s="19">
        <f>IF(F97="","",E97/F97)</f>
        <v/>
      </c>
      <c r="I97" s="26">
        <f>IF(OR(D97="",D85=""),"",D97/D85-1)</f>
        <v/>
      </c>
      <c r="J97" s="19">
        <f>IF(OR(E97="",E85=""),"",E97/E85-1)</f>
        <v/>
      </c>
      <c r="K97" s="19">
        <f>IF(OR(F97="",F85=""),"",F97/F85-1)</f>
        <v/>
      </c>
      <c r="L97" s="19">
        <f>IF(OR(D97="",D96=""),"",D97/D96-1)</f>
        <v/>
      </c>
      <c r="M97" s="19">
        <f>IF(OR(E97="",E96=""),"",E97/E96-1)</f>
        <v/>
      </c>
      <c r="N97" s="19">
        <f>IF(OR(F97="",F96=""),"",F97/F96-1)</f>
        <v/>
      </c>
      <c r="O97" s="22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IF(Q97="","",O97/Q97)</f>
        <v/>
      </c>
      <c r="S97" s="23">
        <f>IF(Q97="","",P97/Q97)</f>
        <v/>
      </c>
      <c r="T97" s="24">
        <f>IF(SUMIFS('Monthly NSE Equity Options'!$L:$L,'Monthly NSE Equity Options'!$A:$A,$A97)=0,"",SUMIFS('Monthly NSE Equity Options'!$L:$L,'Monthly NSE Equity Options'!$A:$A,$A97))</f>
        <v/>
      </c>
      <c r="U97" s="9">
        <f>IF(SUMIFS('Monthly BSE Equity Options'!$L:$L,'Monthly BSE Equity Options'!$A:$A,$A97)=0,"",SUMIFS('Monthly BSE Equity Options'!$L:$L,'Monthly BSE Equity Options'!$A:$A,$A97))</f>
        <v/>
      </c>
      <c r="V97" s="9">
        <f>IF(OR(T97="",U97=""),"",T97+U97)</f>
        <v/>
      </c>
      <c r="W97" s="25">
        <f>IF(V97="","",T97/V97)</f>
        <v/>
      </c>
      <c r="X97" s="25">
        <f>IF(V97="","",U97/V97)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19">
        <f>IF(F98="","",D98/F98)</f>
        <v/>
      </c>
      <c r="H98" s="19">
        <f>IF(F98="","",E98/F98)</f>
        <v/>
      </c>
      <c r="I98" s="26">
        <f>IF(OR(D98="",D86=""),"",D98/D86-1)</f>
        <v/>
      </c>
      <c r="J98" s="19">
        <f>IF(OR(E98="",E86=""),"",E98/E86-1)</f>
        <v/>
      </c>
      <c r="K98" s="19">
        <f>IF(OR(F98="",F86=""),"",F98/F86-1)</f>
        <v/>
      </c>
      <c r="L98" s="19">
        <f>IF(OR(D98="",D97=""),"",D98/D97-1)</f>
        <v/>
      </c>
      <c r="M98" s="19">
        <f>IF(OR(E98="",E97=""),"",E98/E97-1)</f>
        <v/>
      </c>
      <c r="N98" s="19">
        <f>IF(OR(F98="",F97=""),"",F98/F97-1)</f>
        <v/>
      </c>
      <c r="O98" s="22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IF(Q98="","",O98/Q98)</f>
        <v/>
      </c>
      <c r="S98" s="23">
        <f>IF(Q98="","",P98/Q98)</f>
        <v/>
      </c>
      <c r="T98" s="24">
        <f>IF(SUMIFS('Monthly NSE Equity Options'!$L:$L,'Monthly NSE Equity Options'!$A:$A,$A98)=0,"",SUMIFS('Monthly NSE Equity Options'!$L:$L,'Monthly NSE Equity Options'!$A:$A,$A98))</f>
        <v/>
      </c>
      <c r="U98" s="9">
        <f>IF(SUMIFS('Monthly BSE Equity Options'!$L:$L,'Monthly BSE Equity Options'!$A:$A,$A98)=0,"",SUMIFS('Monthly BSE Equity Options'!$L:$L,'Monthly BSE Equity Options'!$A:$A,$A98))</f>
        <v/>
      </c>
      <c r="V98" s="9">
        <f>IF(OR(T98="",U98=""),"",T98+U98)</f>
        <v/>
      </c>
      <c r="W98" s="25">
        <f>IF(V98="","",T98/V98)</f>
        <v/>
      </c>
      <c r="X98" s="25">
        <f>IF(V98="","",U98/V98)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19">
        <f>IF(F99="","",D99/F99)</f>
        <v/>
      </c>
      <c r="H99" s="19">
        <f>IF(F99="","",E99/F99)</f>
        <v/>
      </c>
      <c r="I99" s="26">
        <f>IF(OR(D99="",D87=""),"",D99/D87-1)</f>
        <v/>
      </c>
      <c r="J99" s="19">
        <f>IF(OR(E99="",E87=""),"",E99/E87-1)</f>
        <v/>
      </c>
      <c r="K99" s="19">
        <f>IF(OR(F99="",F87=""),"",F99/F87-1)</f>
        <v/>
      </c>
      <c r="L99" s="19">
        <f>IF(OR(D99="",D98=""),"",D99/D98-1)</f>
        <v/>
      </c>
      <c r="M99" s="19">
        <f>IF(OR(E99="",E98=""),"",E99/E98-1)</f>
        <v/>
      </c>
      <c r="N99" s="19">
        <f>IF(OR(F99="",F98=""),"",F99/F98-1)</f>
        <v/>
      </c>
      <c r="O99" s="22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IF(Q99="","",O99/Q99)</f>
        <v/>
      </c>
      <c r="S99" s="23">
        <f>IF(Q99="","",P99/Q99)</f>
        <v/>
      </c>
      <c r="T99" s="24">
        <f>IF(SUMIFS('Monthly NSE Equity Options'!$L:$L,'Monthly NSE Equity Options'!$A:$A,$A99)=0,"",SUMIFS('Monthly NSE Equity Options'!$L:$L,'Monthly NSE Equity Options'!$A:$A,$A99))</f>
        <v/>
      </c>
      <c r="U99" s="9">
        <f>IF(SUMIFS('Monthly BSE Equity Options'!$L:$L,'Monthly BSE Equity Options'!$A:$A,$A99)=0,"",SUMIFS('Monthly BSE Equity Options'!$L:$L,'Monthly BSE Equity Options'!$A:$A,$A99))</f>
        <v/>
      </c>
      <c r="V99" s="9">
        <f>IF(OR(T99="",U99=""),"",T99+U99)</f>
        <v/>
      </c>
      <c r="W99" s="25">
        <f>IF(V99="","",T99/V99)</f>
        <v/>
      </c>
      <c r="X99" s="25">
        <f>IF(V99="","",U99/V99)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19">
        <f>IF(F100="","",D100/F100)</f>
        <v/>
      </c>
      <c r="H100" s="19">
        <f>IF(F100="","",E100/F100)</f>
        <v/>
      </c>
      <c r="I100" s="26">
        <f>IF(OR(D100="",D88=""),"",D100/D88-1)</f>
        <v/>
      </c>
      <c r="J100" s="19">
        <f>IF(OR(E100="",E88=""),"",E100/E88-1)</f>
        <v/>
      </c>
      <c r="K100" s="19">
        <f>IF(OR(F100="",F88=""),"",F100/F88-1)</f>
        <v/>
      </c>
      <c r="L100" s="19">
        <f>IF(OR(D100="",D99=""),"",D100/D99-1)</f>
        <v/>
      </c>
      <c r="M100" s="19">
        <f>IF(OR(E100="",E99=""),"",E100/E99-1)</f>
        <v/>
      </c>
      <c r="N100" s="19">
        <f>IF(OR(F100="",F99=""),"",F100/F99-1)</f>
        <v/>
      </c>
      <c r="O100" s="22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IF(Q100="","",O100/Q100)</f>
        <v/>
      </c>
      <c r="S100" s="23">
        <f>IF(Q100="","",P100/Q100)</f>
        <v/>
      </c>
      <c r="T100" s="24">
        <f>IF(SUMIFS('Monthly NSE Equity Options'!$L:$L,'Monthly NSE Equity Options'!$A:$A,$A100)=0,"",SUMIFS('Monthly NSE Equity Options'!$L:$L,'Monthly NSE Equity Options'!$A:$A,$A100))</f>
        <v/>
      </c>
      <c r="U100" s="9">
        <f>IF(SUMIFS('Monthly BSE Equity Options'!$L:$L,'Monthly BSE Equity Options'!$A:$A,$A100)=0,"",SUMIFS('Monthly BSE Equity Options'!$L:$L,'Monthly BSE Equity Options'!$A:$A,$A100))</f>
        <v/>
      </c>
      <c r="V100" s="9">
        <f>IF(OR(T100="",U100=""),"",T100+U100)</f>
        <v/>
      </c>
      <c r="W100" s="25">
        <f>IF(V100="","",T100/V100)</f>
        <v/>
      </c>
      <c r="X100" s="25">
        <f>IF(V100="","",U100/V100)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19">
        <f>IF(F101="","",D101/F101)</f>
        <v/>
      </c>
      <c r="H101" s="19">
        <f>IF(F101="","",E101/F101)</f>
        <v/>
      </c>
      <c r="I101" s="26">
        <f>IF(OR(D101="",D89=""),"",D101/D89-1)</f>
        <v/>
      </c>
      <c r="J101" s="19">
        <f>IF(OR(E101="",E89=""),"",E101/E89-1)</f>
        <v/>
      </c>
      <c r="K101" s="19">
        <f>IF(OR(F101="",F89=""),"",F101/F89-1)</f>
        <v/>
      </c>
      <c r="L101" s="19">
        <f>IF(OR(D101="",D100=""),"",D101/D100-1)</f>
        <v/>
      </c>
      <c r="M101" s="19">
        <f>IF(OR(E101="",E100=""),"",E101/E100-1)</f>
        <v/>
      </c>
      <c r="N101" s="19">
        <f>IF(OR(F101="",F100=""),"",F101/F100-1)</f>
        <v/>
      </c>
      <c r="O101" s="22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IF(Q101="","",O101/Q101)</f>
        <v/>
      </c>
      <c r="S101" s="23">
        <f>IF(Q101="","",P101/Q101)</f>
        <v/>
      </c>
      <c r="T101" s="24">
        <f>IF(SUMIFS('Monthly NSE Equity Options'!$L:$L,'Monthly NSE Equity Options'!$A:$A,$A101)=0,"",SUMIFS('Monthly NSE Equity Options'!$L:$L,'Monthly NSE Equity Options'!$A:$A,$A101))</f>
        <v/>
      </c>
      <c r="U101" s="9">
        <f>IF(SUMIFS('Monthly BSE Equity Options'!$L:$L,'Monthly BSE Equity Options'!$A:$A,$A101)=0,"",SUMIFS('Monthly BSE Equity Options'!$L:$L,'Monthly BSE Equity Options'!$A:$A,$A101))</f>
        <v/>
      </c>
      <c r="V101" s="9">
        <f>IF(OR(T101="",U101=""),"",T101+U101)</f>
        <v/>
      </c>
      <c r="W101" s="25">
        <f>IF(V101="","",T101/V101)</f>
        <v/>
      </c>
      <c r="X101" s="25">
        <f>IF(V101="","",U101/V101)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19">
        <f>IF(F102="","",D102/F102)</f>
        <v/>
      </c>
      <c r="H102" s="19">
        <f>IF(F102="","",E102/F102)</f>
        <v/>
      </c>
      <c r="I102" s="26">
        <f>IF(OR(D102="",D90=""),"",D102/D90-1)</f>
        <v/>
      </c>
      <c r="J102" s="19">
        <f>IF(OR(E102="",E90=""),"",E102/E90-1)</f>
        <v/>
      </c>
      <c r="K102" s="19">
        <f>IF(OR(F102="",F90=""),"",F102/F90-1)</f>
        <v/>
      </c>
      <c r="L102" s="19">
        <f>IF(OR(D102="",D101=""),"",D102/D101-1)</f>
        <v/>
      </c>
      <c r="M102" s="19">
        <f>IF(OR(E102="",E101=""),"",E102/E101-1)</f>
        <v/>
      </c>
      <c r="N102" s="19">
        <f>IF(OR(F102="",F101=""),"",F102/F101-1)</f>
        <v/>
      </c>
      <c r="O102" s="22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IF(Q102="","",O102/Q102)</f>
        <v/>
      </c>
      <c r="S102" s="23">
        <f>IF(Q102="","",P102/Q102)</f>
        <v/>
      </c>
      <c r="T102" s="24">
        <f>IF(SUMIFS('Monthly NSE Equity Options'!$L:$L,'Monthly NSE Equity Options'!$A:$A,$A102)=0,"",SUMIFS('Monthly NSE Equity Options'!$L:$L,'Monthly NSE Equity Options'!$A:$A,$A102))</f>
        <v/>
      </c>
      <c r="U102" s="9">
        <f>IF(SUMIFS('Monthly BSE Equity Options'!$L:$L,'Monthly BSE Equity Options'!$A:$A,$A102)=0,"",SUMIFS('Monthly BSE Equity Options'!$L:$L,'Monthly BSE Equity Options'!$A:$A,$A102))</f>
        <v/>
      </c>
      <c r="V102" s="9">
        <f>IF(OR(T102="",U102=""),"",T102+U102)</f>
        <v/>
      </c>
      <c r="W102" s="25">
        <f>IF(V102="","",T102/V102)</f>
        <v/>
      </c>
      <c r="X102" s="25">
        <f>IF(V102="","",U102/V102)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19">
        <f>IF(F103="","",D103/F103)</f>
        <v/>
      </c>
      <c r="H103" s="19">
        <f>IF(F103="","",E103/F103)</f>
        <v/>
      </c>
      <c r="I103" s="26">
        <f>IF(OR(D103="",D91=""),"",D103/D91-1)</f>
        <v/>
      </c>
      <c r="J103" s="19">
        <f>IF(OR(E103="",E91=""),"",E103/E91-1)</f>
        <v/>
      </c>
      <c r="K103" s="19">
        <f>IF(OR(F103="",F91=""),"",F103/F91-1)</f>
        <v/>
      </c>
      <c r="L103" s="19">
        <f>IF(OR(D103="",D102=""),"",D103/D102-1)</f>
        <v/>
      </c>
      <c r="M103" s="19">
        <f>IF(OR(E103="",E102=""),"",E103/E102-1)</f>
        <v/>
      </c>
      <c r="N103" s="19">
        <f>IF(OR(F103="",F102=""),"",F103/F102-1)</f>
        <v/>
      </c>
      <c r="O103" s="22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IF(Q103="","",O103/Q103)</f>
        <v/>
      </c>
      <c r="S103" s="23">
        <f>IF(Q103="","",P103/Q103)</f>
        <v/>
      </c>
      <c r="T103" s="24">
        <f>IF(SUMIFS('Monthly NSE Equity Options'!$L:$L,'Monthly NSE Equity Options'!$A:$A,$A103)=0,"",SUMIFS('Monthly NSE Equity Options'!$L:$L,'Monthly NSE Equity Options'!$A:$A,$A103))</f>
        <v/>
      </c>
      <c r="U103" s="9">
        <f>IF(SUMIFS('Monthly BSE Equity Options'!$L:$L,'Monthly BSE Equity Options'!$A:$A,$A103)=0,"",SUMIFS('Monthly BSE Equity Options'!$L:$L,'Monthly BSE Equity Options'!$A:$A,$A103))</f>
        <v/>
      </c>
      <c r="V103" s="9">
        <f>IF(OR(T103="",U103=""),"",T103+U103)</f>
        <v/>
      </c>
      <c r="W103" s="25">
        <f>IF(V103="","",T103/V103)</f>
        <v/>
      </c>
      <c r="X103" s="25">
        <f>IF(V103="","",U103/V103)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19">
        <f>IF(F104="","",D104/F104)</f>
        <v/>
      </c>
      <c r="H104" s="19">
        <f>IF(F104="","",E104/F104)</f>
        <v/>
      </c>
      <c r="I104" s="26">
        <f>IF(OR(D104="",D92=""),"",D104/D92-1)</f>
        <v/>
      </c>
      <c r="J104" s="19">
        <f>IF(OR(E104="",E92=""),"",E104/E92-1)</f>
        <v/>
      </c>
      <c r="K104" s="19">
        <f>IF(OR(F104="",F92=""),"",F104/F92-1)</f>
        <v/>
      </c>
      <c r="L104" s="19">
        <f>IF(OR(D104="",D103=""),"",D104/D103-1)</f>
        <v/>
      </c>
      <c r="M104" s="19">
        <f>IF(OR(E104="",E103=""),"",E104/E103-1)</f>
        <v/>
      </c>
      <c r="N104" s="19">
        <f>IF(OR(F104="",F103=""),"",F104/F103-1)</f>
        <v/>
      </c>
      <c r="O104" s="22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IF(Q104="","",O104/Q104)</f>
        <v/>
      </c>
      <c r="S104" s="23">
        <f>IF(Q104="","",P104/Q104)</f>
        <v/>
      </c>
      <c r="T104" s="24">
        <f>IF(SUMIFS('Monthly NSE Equity Options'!$L:$L,'Monthly NSE Equity Options'!$A:$A,$A104)=0,"",SUMIFS('Monthly NSE Equity Options'!$L:$L,'Monthly NSE Equity Options'!$A:$A,$A104))</f>
        <v/>
      </c>
      <c r="U104" s="9">
        <f>IF(SUMIFS('Monthly BSE Equity Options'!$L:$L,'Monthly BSE Equity Options'!$A:$A,$A104)=0,"",SUMIFS('Monthly BSE Equity Options'!$L:$L,'Monthly BSE Equity Options'!$A:$A,$A104))</f>
        <v/>
      </c>
      <c r="V104" s="9">
        <f>IF(OR(T104="",U104=""),"",T104+U104)</f>
        <v/>
      </c>
      <c r="W104" s="25">
        <f>IF(V104="","",T104/V104)</f>
        <v/>
      </c>
      <c r="X104" s="25">
        <f>IF(V104="","",U104/V104)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19">
        <f>IF(F105="","",D105/F105)</f>
        <v/>
      </c>
      <c r="H105" s="19">
        <f>IF(F105="","",E105/F105)</f>
        <v/>
      </c>
      <c r="I105" s="26">
        <f>IF(OR(D105="",D93=""),"",D105/D93-1)</f>
        <v/>
      </c>
      <c r="J105" s="19">
        <f>IF(OR(E105="",E93=""),"",E105/E93-1)</f>
        <v/>
      </c>
      <c r="K105" s="19">
        <f>IF(OR(F105="",F93=""),"",F105/F93-1)</f>
        <v/>
      </c>
      <c r="L105" s="19">
        <f>IF(OR(D105="",D104=""),"",D105/D104-1)</f>
        <v/>
      </c>
      <c r="M105" s="19">
        <f>IF(OR(E105="",E104=""),"",E105/E104-1)</f>
        <v/>
      </c>
      <c r="N105" s="19">
        <f>IF(OR(F105="",F104=""),"",F105/F104-1)</f>
        <v/>
      </c>
      <c r="O105" s="22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IF(Q105="","",O105/Q105)</f>
        <v/>
      </c>
      <c r="S105" s="23">
        <f>IF(Q105="","",P105/Q105)</f>
        <v/>
      </c>
      <c r="T105" s="24">
        <f>IF(SUMIFS('Monthly NSE Equity Options'!$L:$L,'Monthly NSE Equity Options'!$A:$A,$A105)=0,"",SUMIFS('Monthly NSE Equity Options'!$L:$L,'Monthly NSE Equity Options'!$A:$A,$A105))</f>
        <v/>
      </c>
      <c r="U105" s="9">
        <f>IF(SUMIFS('Monthly BSE Equity Options'!$L:$L,'Monthly BSE Equity Options'!$A:$A,$A105)=0,"",SUMIFS('Monthly BSE Equity Options'!$L:$L,'Monthly BSE Equity Options'!$A:$A,$A105))</f>
        <v/>
      </c>
      <c r="V105" s="9">
        <f>IF(OR(T105="",U105=""),"",T105+U105)</f>
        <v/>
      </c>
      <c r="W105" s="25">
        <f>IF(V105="","",T105/V105)</f>
        <v/>
      </c>
      <c r="X105" s="25">
        <f>IF(V105="","",U105/V105)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19">
        <f>IF(F106="","",D106/F106)</f>
        <v/>
      </c>
      <c r="H106" s="19">
        <f>IF(F106="","",E106/F106)</f>
        <v/>
      </c>
      <c r="I106" s="26">
        <f>IF(OR(D106="",D94=""),"",D106/D94-1)</f>
        <v/>
      </c>
      <c r="J106" s="19">
        <f>IF(OR(E106="",E94=""),"",E106/E94-1)</f>
        <v/>
      </c>
      <c r="K106" s="19">
        <f>IF(OR(F106="",F94=""),"",F106/F94-1)</f>
        <v/>
      </c>
      <c r="L106" s="19">
        <f>IF(OR(D106="",D105=""),"",D106/D105-1)</f>
        <v/>
      </c>
      <c r="M106" s="19">
        <f>IF(OR(E106="",E105=""),"",E106/E105-1)</f>
        <v/>
      </c>
      <c r="N106" s="19">
        <f>IF(OR(F106="",F105=""),"",F106/F105-1)</f>
        <v/>
      </c>
      <c r="O106" s="22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IF(Q106="","",O106/Q106)</f>
        <v/>
      </c>
      <c r="S106" s="23">
        <f>IF(Q106="","",P106/Q106)</f>
        <v/>
      </c>
      <c r="T106" s="24">
        <f>IF(SUMIFS('Monthly NSE Equity Options'!$L:$L,'Monthly NSE Equity Options'!$A:$A,$A106)=0,"",SUMIFS('Monthly NSE Equity Options'!$L:$L,'Monthly NSE Equity Options'!$A:$A,$A106))</f>
        <v/>
      </c>
      <c r="U106" s="9">
        <f>IF(SUMIFS('Monthly BSE Equity Options'!$L:$L,'Monthly BSE Equity Options'!$A:$A,$A106)=0,"",SUMIFS('Monthly BSE Equity Options'!$L:$L,'Monthly BSE Equity Options'!$A:$A,$A106))</f>
        <v/>
      </c>
      <c r="V106" s="9">
        <f>IF(OR(T106="",U106=""),"",T106+U106)</f>
        <v/>
      </c>
      <c r="W106" s="25">
        <f>IF(V106="","",T106/V106)</f>
        <v/>
      </c>
      <c r="X106" s="25">
        <f>IF(V106="","",U106/V106)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19">
        <f>IF(F107="","",D107/F107)</f>
        <v/>
      </c>
      <c r="H107" s="19">
        <f>IF(F107="","",E107/F107)</f>
        <v/>
      </c>
      <c r="I107" s="26">
        <f>IF(OR(D107="",D95=""),"",D107/D95-1)</f>
        <v/>
      </c>
      <c r="J107" s="19">
        <f>IF(OR(E107="",E95=""),"",E107/E95-1)</f>
        <v/>
      </c>
      <c r="K107" s="19">
        <f>IF(OR(F107="",F95=""),"",F107/F95-1)</f>
        <v/>
      </c>
      <c r="L107" s="19">
        <f>IF(OR(D107="",D106=""),"",D107/D106-1)</f>
        <v/>
      </c>
      <c r="M107" s="19">
        <f>IF(OR(E107="",E106=""),"",E107/E106-1)</f>
        <v/>
      </c>
      <c r="N107" s="19">
        <f>IF(OR(F107="",F106=""),"",F107/F106-1)</f>
        <v/>
      </c>
      <c r="O107" s="22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IF(Q107="","",O107/Q107)</f>
        <v/>
      </c>
      <c r="S107" s="23">
        <f>IF(Q107="","",P107/Q107)</f>
        <v/>
      </c>
      <c r="T107" s="24">
        <f>IF(SUMIFS('Monthly NSE Equity Options'!$L:$L,'Monthly NSE Equity Options'!$A:$A,$A107)=0,"",SUMIFS('Monthly NSE Equity Options'!$L:$L,'Monthly NSE Equity Options'!$A:$A,$A107))</f>
        <v/>
      </c>
      <c r="U107" s="9">
        <f>IF(SUMIFS('Monthly BSE Equity Options'!$L:$L,'Monthly BSE Equity Options'!$A:$A,$A107)=0,"",SUMIFS('Monthly BSE Equity Options'!$L:$L,'Monthly BSE Equity Options'!$A:$A,$A107))</f>
        <v/>
      </c>
      <c r="V107" s="9">
        <f>IF(OR(T107="",U107=""),"",T107+U107)</f>
        <v/>
      </c>
      <c r="W107" s="25">
        <f>IF(V107="","",T107/V107)</f>
        <v/>
      </c>
      <c r="X107" s="25">
        <f>IF(V107="","",U107/V107)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19">
        <f>IF(F108="","",D108/F108)</f>
        <v/>
      </c>
      <c r="H108" s="19">
        <f>IF(F108="","",E108/F108)</f>
        <v/>
      </c>
      <c r="I108" s="26">
        <f>IF(OR(D108="",D96=""),"",D108/D96-1)</f>
        <v/>
      </c>
      <c r="J108" s="19">
        <f>IF(OR(E108="",E96=""),"",E108/E96-1)</f>
        <v/>
      </c>
      <c r="K108" s="19">
        <f>IF(OR(F108="",F96=""),"",F108/F96-1)</f>
        <v/>
      </c>
      <c r="L108" s="19">
        <f>IF(OR(D108="",D107=""),"",D108/D107-1)</f>
        <v/>
      </c>
      <c r="M108" s="19">
        <f>IF(OR(E108="",E107=""),"",E108/E107-1)</f>
        <v/>
      </c>
      <c r="N108" s="19">
        <f>IF(OR(F108="",F107=""),"",F108/F107-1)</f>
        <v/>
      </c>
      <c r="O108" s="22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IF(Q108="","",O108/Q108)</f>
        <v/>
      </c>
      <c r="S108" s="23">
        <f>IF(Q108="","",P108/Q108)</f>
        <v/>
      </c>
      <c r="T108" s="24">
        <f>IF(SUMIFS('Monthly NSE Equity Options'!$L:$L,'Monthly NSE Equity Options'!$A:$A,$A108)=0,"",SUMIFS('Monthly NSE Equity Options'!$L:$L,'Monthly NSE Equity Options'!$A:$A,$A108))</f>
        <v/>
      </c>
      <c r="U108" s="9">
        <f>IF(SUMIFS('Monthly BSE Equity Options'!$L:$L,'Monthly BSE Equity Options'!$A:$A,$A108)=0,"",SUMIFS('Monthly BSE Equity Options'!$L:$L,'Monthly BSE Equity Options'!$A:$A,$A108))</f>
        <v/>
      </c>
      <c r="V108" s="9">
        <f>IF(OR(T108="",U108=""),"",T108+U108)</f>
        <v/>
      </c>
      <c r="W108" s="25">
        <f>IF(V108="","",T108/V108)</f>
        <v/>
      </c>
      <c r="X108" s="25">
        <f>IF(V108="","",U108/V108)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19">
        <f>IF(F109="","",D109/F109)</f>
        <v/>
      </c>
      <c r="H109" s="19">
        <f>IF(F109="","",E109/F109)</f>
        <v/>
      </c>
      <c r="I109" s="26">
        <f>IF(OR(D109="",D97=""),"",D109/D97-1)</f>
        <v/>
      </c>
      <c r="J109" s="19">
        <f>IF(OR(E109="",E97=""),"",E109/E97-1)</f>
        <v/>
      </c>
      <c r="K109" s="19">
        <f>IF(OR(F109="",F97=""),"",F109/F97-1)</f>
        <v/>
      </c>
      <c r="L109" s="19">
        <f>IF(OR(D109="",D108=""),"",D109/D108-1)</f>
        <v/>
      </c>
      <c r="M109" s="19">
        <f>IF(OR(E109="",E108=""),"",E109/E108-1)</f>
        <v/>
      </c>
      <c r="N109" s="19">
        <f>IF(OR(F109="",F108=""),"",F109/F108-1)</f>
        <v/>
      </c>
      <c r="O109" s="22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IF(Q109="","",O109/Q109)</f>
        <v/>
      </c>
      <c r="S109" s="23">
        <f>IF(Q109="","",P109/Q109)</f>
        <v/>
      </c>
      <c r="T109" s="24">
        <f>IF(SUMIFS('Monthly NSE Equity Options'!$L:$L,'Monthly NSE Equity Options'!$A:$A,$A109)=0,"",SUMIFS('Monthly NSE Equity Options'!$L:$L,'Monthly NSE Equity Options'!$A:$A,$A109))</f>
        <v/>
      </c>
      <c r="U109" s="9">
        <f>IF(SUMIFS('Monthly BSE Equity Options'!$L:$L,'Monthly BSE Equity Options'!$A:$A,$A109)=0,"",SUMIFS('Monthly BSE Equity Options'!$L:$L,'Monthly BSE Equity Options'!$A:$A,$A109))</f>
        <v/>
      </c>
      <c r="V109" s="9">
        <f>IF(OR(T109="",U109=""),"",T109+U109)</f>
        <v/>
      </c>
      <c r="W109" s="25">
        <f>IF(V109="","",T109/V109)</f>
        <v/>
      </c>
      <c r="X109" s="25">
        <f>IF(V109="","",U109/V109)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19">
        <f>IF(F110="","",D110/F110)</f>
        <v/>
      </c>
      <c r="H110" s="19">
        <f>IF(F110="","",E110/F110)</f>
        <v/>
      </c>
      <c r="I110" s="26">
        <f>IF(OR(D110="",D98=""),"",D110/D98-1)</f>
        <v/>
      </c>
      <c r="J110" s="19">
        <f>IF(OR(E110="",E98=""),"",E110/E98-1)</f>
        <v/>
      </c>
      <c r="K110" s="19">
        <f>IF(OR(F110="",F98=""),"",F110/F98-1)</f>
        <v/>
      </c>
      <c r="L110" s="19">
        <f>IF(OR(D110="",D109=""),"",D110/D109-1)</f>
        <v/>
      </c>
      <c r="M110" s="19">
        <f>IF(OR(E110="",E109=""),"",E110/E109-1)</f>
        <v/>
      </c>
      <c r="N110" s="19">
        <f>IF(OR(F110="",F109=""),"",F110/F109-1)</f>
        <v/>
      </c>
      <c r="O110" s="22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IF(Q110="","",O110/Q110)</f>
        <v/>
      </c>
      <c r="S110" s="23">
        <f>IF(Q110="","",P110/Q110)</f>
        <v/>
      </c>
      <c r="T110" s="24">
        <f>IF(SUMIFS('Monthly NSE Equity Options'!$L:$L,'Monthly NSE Equity Options'!$A:$A,$A110)=0,"",SUMIFS('Monthly NSE Equity Options'!$L:$L,'Monthly NSE Equity Options'!$A:$A,$A110))</f>
        <v/>
      </c>
      <c r="U110" s="9">
        <f>IF(SUMIFS('Monthly BSE Equity Options'!$L:$L,'Monthly BSE Equity Options'!$A:$A,$A110)=0,"",SUMIFS('Monthly BSE Equity Options'!$L:$L,'Monthly BSE Equity Options'!$A:$A,$A110))</f>
        <v/>
      </c>
      <c r="V110" s="9">
        <f>IF(OR(T110="",U110=""),"",T110+U110)</f>
        <v/>
      </c>
      <c r="W110" s="25">
        <f>IF(V110="","",T110/V110)</f>
        <v/>
      </c>
      <c r="X110" s="25">
        <f>IF(V110="","",U110/V110)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19">
        <f>IF(F111="","",D111/F111)</f>
        <v/>
      </c>
      <c r="H111" s="19">
        <f>IF(F111="","",E111/F111)</f>
        <v/>
      </c>
      <c r="I111" s="26">
        <f>IF(OR(D111="",D99=""),"",D111/D99-1)</f>
        <v/>
      </c>
      <c r="J111" s="19">
        <f>IF(OR(E111="",E99=""),"",E111/E99-1)</f>
        <v/>
      </c>
      <c r="K111" s="19">
        <f>IF(OR(F111="",F99=""),"",F111/F99-1)</f>
        <v/>
      </c>
      <c r="L111" s="19">
        <f>IF(OR(D111="",D110=""),"",D111/D110-1)</f>
        <v/>
      </c>
      <c r="M111" s="19">
        <f>IF(OR(E111="",E110=""),"",E111/E110-1)</f>
        <v/>
      </c>
      <c r="N111" s="19">
        <f>IF(OR(F111="",F110=""),"",F111/F110-1)</f>
        <v/>
      </c>
      <c r="O111" s="22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IF(Q111="","",O111/Q111)</f>
        <v/>
      </c>
      <c r="S111" s="23">
        <f>IF(Q111="","",P111/Q111)</f>
        <v/>
      </c>
      <c r="T111" s="24">
        <f>IF(SUMIFS('Monthly NSE Equity Options'!$L:$L,'Monthly NSE Equity Options'!$A:$A,$A111)=0,"",SUMIFS('Monthly NSE Equity Options'!$L:$L,'Monthly NSE Equity Options'!$A:$A,$A111))</f>
        <v/>
      </c>
      <c r="U111" s="9">
        <f>IF(SUMIFS('Monthly BSE Equity Options'!$L:$L,'Monthly BSE Equity Options'!$A:$A,$A111)=0,"",SUMIFS('Monthly BSE Equity Options'!$L:$L,'Monthly BSE Equity Options'!$A:$A,$A111))</f>
        <v/>
      </c>
      <c r="V111" s="9">
        <f>IF(OR(T111="",U111=""),"",T111+U111)</f>
        <v/>
      </c>
      <c r="W111" s="25">
        <f>IF(V111="","",T111/V111)</f>
        <v/>
      </c>
      <c r="X111" s="25">
        <f>IF(V111="","",U111/V111)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19">
        <f>IF(F112="","",D112/F112)</f>
        <v/>
      </c>
      <c r="H112" s="19">
        <f>IF(F112="","",E112/F112)</f>
        <v/>
      </c>
      <c r="I112" s="26">
        <f>IF(OR(D112="",D100=""),"",D112/D100-1)</f>
        <v/>
      </c>
      <c r="J112" s="19">
        <f>IF(OR(E112="",E100=""),"",E112/E100-1)</f>
        <v/>
      </c>
      <c r="K112" s="19">
        <f>IF(OR(F112="",F100=""),"",F112/F100-1)</f>
        <v/>
      </c>
      <c r="L112" s="19">
        <f>IF(OR(D112="",D111=""),"",D112/D111-1)</f>
        <v/>
      </c>
      <c r="M112" s="19">
        <f>IF(OR(E112="",E111=""),"",E112/E111-1)</f>
        <v/>
      </c>
      <c r="N112" s="19">
        <f>IF(OR(F112="",F111=""),"",F112/F111-1)</f>
        <v/>
      </c>
      <c r="O112" s="22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IF(Q112="","",O112/Q112)</f>
        <v/>
      </c>
      <c r="S112" s="23">
        <f>IF(Q112="","",P112/Q112)</f>
        <v/>
      </c>
      <c r="T112" s="24">
        <f>IF(SUMIFS('Monthly NSE Equity Options'!$L:$L,'Monthly NSE Equity Options'!$A:$A,$A112)=0,"",SUMIFS('Monthly NSE Equity Options'!$L:$L,'Monthly NSE Equity Options'!$A:$A,$A112))</f>
        <v/>
      </c>
      <c r="U112" s="9">
        <f>IF(SUMIFS('Monthly BSE Equity Options'!$L:$L,'Monthly BSE Equity Options'!$A:$A,$A112)=0,"",SUMIFS('Monthly BSE Equity Options'!$L:$L,'Monthly BSE Equity Options'!$A:$A,$A112))</f>
        <v/>
      </c>
      <c r="V112" s="9">
        <f>IF(OR(T112="",U112=""),"",T112+U112)</f>
        <v/>
      </c>
      <c r="W112" s="25">
        <f>IF(V112="","",T112/V112)</f>
        <v/>
      </c>
      <c r="X112" s="25">
        <f>IF(V112="","",U112/V112)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19">
        <f>IF(F113="","",D113/F113)</f>
        <v/>
      </c>
      <c r="H113" s="19">
        <f>IF(F113="","",E113/F113)</f>
        <v/>
      </c>
      <c r="I113" s="26">
        <f>IF(OR(D113="",D101=""),"",D113/D101-1)</f>
        <v/>
      </c>
      <c r="J113" s="19">
        <f>IF(OR(E113="",E101=""),"",E113/E101-1)</f>
        <v/>
      </c>
      <c r="K113" s="19">
        <f>IF(OR(F113="",F101=""),"",F113/F101-1)</f>
        <v/>
      </c>
      <c r="L113" s="19">
        <f>IF(OR(D113="",D112=""),"",D113/D112-1)</f>
        <v/>
      </c>
      <c r="M113" s="19">
        <f>IF(OR(E113="",E112=""),"",E113/E112-1)</f>
        <v/>
      </c>
      <c r="N113" s="19">
        <f>IF(OR(F113="",F112=""),"",F113/F112-1)</f>
        <v/>
      </c>
      <c r="O113" s="22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IF(Q113="","",O113/Q113)</f>
        <v/>
      </c>
      <c r="S113" s="23">
        <f>IF(Q113="","",P113/Q113)</f>
        <v/>
      </c>
      <c r="T113" s="24">
        <f>IF(SUMIFS('Monthly NSE Equity Options'!$L:$L,'Monthly NSE Equity Options'!$A:$A,$A113)=0,"",SUMIFS('Monthly NSE Equity Options'!$L:$L,'Monthly NSE Equity Options'!$A:$A,$A113))</f>
        <v/>
      </c>
      <c r="U113" s="9">
        <f>IF(SUMIFS('Monthly BSE Equity Options'!$L:$L,'Monthly BSE Equity Options'!$A:$A,$A113)=0,"",SUMIFS('Monthly BSE Equity Options'!$L:$L,'Monthly BSE Equity Options'!$A:$A,$A113))</f>
        <v/>
      </c>
      <c r="V113" s="9">
        <f>IF(OR(T113="",U113=""),"",T113+U113)</f>
        <v/>
      </c>
      <c r="W113" s="25">
        <f>IF(V113="","",T113/V113)</f>
        <v/>
      </c>
      <c r="X113" s="25">
        <f>IF(V113="","",U113/V113)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19">
        <f>IF(F114="","",D114/F114)</f>
        <v/>
      </c>
      <c r="H114" s="19">
        <f>IF(F114="","",E114/F114)</f>
        <v/>
      </c>
      <c r="I114" s="26">
        <f>IF(OR(D114="",D102=""),"",D114/D102-1)</f>
        <v/>
      </c>
      <c r="J114" s="19">
        <f>IF(OR(E114="",E102=""),"",E114/E102-1)</f>
        <v/>
      </c>
      <c r="K114" s="19">
        <f>IF(OR(F114="",F102=""),"",F114/F102-1)</f>
        <v/>
      </c>
      <c r="L114" s="19">
        <f>IF(OR(D114="",D113=""),"",D114/D113-1)</f>
        <v/>
      </c>
      <c r="M114" s="19">
        <f>IF(OR(E114="",E113=""),"",E114/E113-1)</f>
        <v/>
      </c>
      <c r="N114" s="19">
        <f>IF(OR(F114="",F113=""),"",F114/F113-1)</f>
        <v/>
      </c>
      <c r="O114" s="22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IF(Q114="","",O114/Q114)</f>
        <v/>
      </c>
      <c r="S114" s="23">
        <f>IF(Q114="","",P114/Q114)</f>
        <v/>
      </c>
      <c r="T114" s="24">
        <f>IF(SUMIFS('Monthly NSE Equity Options'!$L:$L,'Monthly NSE Equity Options'!$A:$A,$A114)=0,"",SUMIFS('Monthly NSE Equity Options'!$L:$L,'Monthly NSE Equity Options'!$A:$A,$A114))</f>
        <v/>
      </c>
      <c r="U114" s="9">
        <f>IF(SUMIFS('Monthly BSE Equity Options'!$L:$L,'Monthly BSE Equity Options'!$A:$A,$A114)=0,"",SUMIFS('Monthly BSE Equity Options'!$L:$L,'Monthly BSE Equity Options'!$A:$A,$A114))</f>
        <v/>
      </c>
      <c r="V114" s="9">
        <f>IF(OR(T114="",U114=""),"",T114+U114)</f>
        <v/>
      </c>
      <c r="W114" s="25">
        <f>IF(V114="","",T114/V114)</f>
        <v/>
      </c>
      <c r="X114" s="25">
        <f>IF(V114="","",U114/V114)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19">
        <f>IF(F115="","",D115/F115)</f>
        <v/>
      </c>
      <c r="H115" s="19">
        <f>IF(F115="","",E115/F115)</f>
        <v/>
      </c>
      <c r="I115" s="26">
        <f>IF(OR(D115="",D103=""),"",D115/D103-1)</f>
        <v/>
      </c>
      <c r="J115" s="19">
        <f>IF(OR(E115="",E103=""),"",E115/E103-1)</f>
        <v/>
      </c>
      <c r="K115" s="19">
        <f>IF(OR(F115="",F103=""),"",F115/F103-1)</f>
        <v/>
      </c>
      <c r="L115" s="19">
        <f>IF(OR(D115="",D114=""),"",D115/D114-1)</f>
        <v/>
      </c>
      <c r="M115" s="19">
        <f>IF(OR(E115="",E114=""),"",E115/E114-1)</f>
        <v/>
      </c>
      <c r="N115" s="19">
        <f>IF(OR(F115="",F114=""),"",F115/F114-1)</f>
        <v/>
      </c>
      <c r="O115" s="22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IF(Q115="","",O115/Q115)</f>
        <v/>
      </c>
      <c r="S115" s="23">
        <f>IF(Q115="","",P115/Q115)</f>
        <v/>
      </c>
      <c r="T115" s="24">
        <f>IF(SUMIFS('Monthly NSE Equity Options'!$L:$L,'Monthly NSE Equity Options'!$A:$A,$A115)=0,"",SUMIFS('Monthly NSE Equity Options'!$L:$L,'Monthly NSE Equity Options'!$A:$A,$A115))</f>
        <v/>
      </c>
      <c r="U115" s="9">
        <f>IF(SUMIFS('Monthly BSE Equity Options'!$L:$L,'Monthly BSE Equity Options'!$A:$A,$A115)=0,"",SUMIFS('Monthly BSE Equity Options'!$L:$L,'Monthly BSE Equity Options'!$A:$A,$A115))</f>
        <v/>
      </c>
      <c r="V115" s="9">
        <f>IF(OR(T115="",U115=""),"",T115+U115)</f>
        <v/>
      </c>
      <c r="W115" s="25">
        <f>IF(V115="","",T115/V115)</f>
        <v/>
      </c>
      <c r="X115" s="25">
        <f>IF(V115="","",U115/V115)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19">
        <f>IF(F116="","",D116/F116)</f>
        <v/>
      </c>
      <c r="H116" s="19">
        <f>IF(F116="","",E116/F116)</f>
        <v/>
      </c>
      <c r="I116" s="26">
        <f>IF(OR(D116="",D104=""),"",D116/D104-1)</f>
        <v/>
      </c>
      <c r="J116" s="19">
        <f>IF(OR(E116="",E104=""),"",E116/E104-1)</f>
        <v/>
      </c>
      <c r="K116" s="19">
        <f>IF(OR(F116="",F104=""),"",F116/F104-1)</f>
        <v/>
      </c>
      <c r="L116" s="19">
        <f>IF(OR(D116="",D115=""),"",D116/D115-1)</f>
        <v/>
      </c>
      <c r="M116" s="19">
        <f>IF(OR(E116="",E115=""),"",E116/E115-1)</f>
        <v/>
      </c>
      <c r="N116" s="19">
        <f>IF(OR(F116="",F115=""),"",F116/F115-1)</f>
        <v/>
      </c>
      <c r="O116" s="22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IF(Q116="","",O116/Q116)</f>
        <v/>
      </c>
      <c r="S116" s="23">
        <f>IF(Q116="","",P116/Q116)</f>
        <v/>
      </c>
      <c r="T116" s="24">
        <f>IF(SUMIFS('Monthly NSE Equity Options'!$L:$L,'Monthly NSE Equity Options'!$A:$A,$A116)=0,"",SUMIFS('Monthly NSE Equity Options'!$L:$L,'Monthly NSE Equity Options'!$A:$A,$A116))</f>
        <v/>
      </c>
      <c r="U116" s="9">
        <f>IF(SUMIFS('Monthly BSE Equity Options'!$L:$L,'Monthly BSE Equity Options'!$A:$A,$A116)=0,"",SUMIFS('Monthly BSE Equity Options'!$L:$L,'Monthly BSE Equity Options'!$A:$A,$A116))</f>
        <v/>
      </c>
      <c r="V116" s="9">
        <f>IF(OR(T116="",U116=""),"",T116+U116)</f>
        <v/>
      </c>
      <c r="W116" s="25">
        <f>IF(V116="","",T116/V116)</f>
        <v/>
      </c>
      <c r="X116" s="25">
        <f>IF(V116="","",U116/V116)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19">
        <f>IF(F117="","",D117/F117)</f>
        <v/>
      </c>
      <c r="H117" s="19">
        <f>IF(F117="","",E117/F117)</f>
        <v/>
      </c>
      <c r="I117" s="26">
        <f>IF(OR(D117="",D105=""),"",D117/D105-1)</f>
        <v/>
      </c>
      <c r="J117" s="19">
        <f>IF(OR(E117="",E105=""),"",E117/E105-1)</f>
        <v/>
      </c>
      <c r="K117" s="19">
        <f>IF(OR(F117="",F105=""),"",F117/F105-1)</f>
        <v/>
      </c>
      <c r="L117" s="19">
        <f>IF(OR(D117="",D116=""),"",D117/D116-1)</f>
        <v/>
      </c>
      <c r="M117" s="19">
        <f>IF(OR(E117="",E116=""),"",E117/E116-1)</f>
        <v/>
      </c>
      <c r="N117" s="19">
        <f>IF(OR(F117="",F116=""),"",F117/F116-1)</f>
        <v/>
      </c>
      <c r="O117" s="22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IF(Q117="","",O117/Q117)</f>
        <v/>
      </c>
      <c r="S117" s="23">
        <f>IF(Q117="","",P117/Q117)</f>
        <v/>
      </c>
      <c r="T117" s="24">
        <f>IF(SUMIFS('Monthly NSE Equity Options'!$L:$L,'Monthly NSE Equity Options'!$A:$A,$A117)=0,"",SUMIFS('Monthly NSE Equity Options'!$L:$L,'Monthly NSE Equity Options'!$A:$A,$A117))</f>
        <v/>
      </c>
      <c r="U117" s="9">
        <f>IF(SUMIFS('Monthly BSE Equity Options'!$L:$L,'Monthly BSE Equity Options'!$A:$A,$A117)=0,"",SUMIFS('Monthly BSE Equity Options'!$L:$L,'Monthly BSE Equity Options'!$A:$A,$A117))</f>
        <v/>
      </c>
      <c r="V117" s="9">
        <f>IF(OR(T117="",U117=""),"",T117+U117)</f>
        <v/>
      </c>
      <c r="W117" s="25">
        <f>IF(V117="","",T117/V117)</f>
        <v/>
      </c>
      <c r="X117" s="25">
        <f>IF(V117="","",U117/V117)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19">
        <f>IF(F118="","",D118/F118)</f>
        <v/>
      </c>
      <c r="H118" s="19">
        <f>IF(F118="","",E118/F118)</f>
        <v/>
      </c>
      <c r="I118" s="26">
        <f>IF(OR(D118="",D106=""),"",D118/D106-1)</f>
        <v/>
      </c>
      <c r="J118" s="19">
        <f>IF(OR(E118="",E106=""),"",E118/E106-1)</f>
        <v/>
      </c>
      <c r="K118" s="19">
        <f>IF(OR(F118="",F106=""),"",F118/F106-1)</f>
        <v/>
      </c>
      <c r="L118" s="19">
        <f>IF(OR(D118="",D117=""),"",D118/D117-1)</f>
        <v/>
      </c>
      <c r="M118" s="19">
        <f>IF(OR(E118="",E117=""),"",E118/E117-1)</f>
        <v/>
      </c>
      <c r="N118" s="19">
        <f>IF(OR(F118="",F117=""),"",F118/F117-1)</f>
        <v/>
      </c>
      <c r="O118" s="22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IF(Q118="","",O118/Q118)</f>
        <v/>
      </c>
      <c r="S118" s="23">
        <f>IF(Q118="","",P118/Q118)</f>
        <v/>
      </c>
      <c r="T118" s="24">
        <f>IF(SUMIFS('Monthly NSE Equity Options'!$L:$L,'Monthly NSE Equity Options'!$A:$A,$A118)=0,"",SUMIFS('Monthly NSE Equity Options'!$L:$L,'Monthly NSE Equity Options'!$A:$A,$A118))</f>
        <v/>
      </c>
      <c r="U118" s="9">
        <f>IF(SUMIFS('Monthly BSE Equity Options'!$L:$L,'Monthly BSE Equity Options'!$A:$A,$A118)=0,"",SUMIFS('Monthly BSE Equity Options'!$L:$L,'Monthly BSE Equity Options'!$A:$A,$A118))</f>
        <v/>
      </c>
      <c r="V118" s="9">
        <f>IF(OR(T118="",U118=""),"",T118+U118)</f>
        <v/>
      </c>
      <c r="W118" s="25">
        <f>IF(V118="","",T118/V118)</f>
        <v/>
      </c>
      <c r="X118" s="25">
        <f>IF(V118="","",U118/V118)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19">
        <f>IF(F119="","",D119/F119)</f>
        <v/>
      </c>
      <c r="H119" s="19">
        <f>IF(F119="","",E119/F119)</f>
        <v/>
      </c>
      <c r="I119" s="26">
        <f>IF(OR(D119="",D107=""),"",D119/D107-1)</f>
        <v/>
      </c>
      <c r="J119" s="19">
        <f>IF(OR(E119="",E107=""),"",E119/E107-1)</f>
        <v/>
      </c>
      <c r="K119" s="19">
        <f>IF(OR(F119="",F107=""),"",F119/F107-1)</f>
        <v/>
      </c>
      <c r="L119" s="19">
        <f>IF(OR(D119="",D118=""),"",D119/D118-1)</f>
        <v/>
      </c>
      <c r="M119" s="19">
        <f>IF(OR(E119="",E118=""),"",E119/E118-1)</f>
        <v/>
      </c>
      <c r="N119" s="19">
        <f>IF(OR(F119="",F118=""),"",F119/F118-1)</f>
        <v/>
      </c>
      <c r="O119" s="22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IF(Q119="","",O119/Q119)</f>
        <v/>
      </c>
      <c r="S119" s="23">
        <f>IF(Q119="","",P119/Q119)</f>
        <v/>
      </c>
      <c r="T119" s="24">
        <f>IF(SUMIFS('Monthly NSE Equity Options'!$L:$L,'Monthly NSE Equity Options'!$A:$A,$A119)=0,"",SUMIFS('Monthly NSE Equity Options'!$L:$L,'Monthly NSE Equity Options'!$A:$A,$A119))</f>
        <v/>
      </c>
      <c r="U119" s="9">
        <f>IF(SUMIFS('Monthly BSE Equity Options'!$L:$L,'Monthly BSE Equity Options'!$A:$A,$A119)=0,"",SUMIFS('Monthly BSE Equity Options'!$L:$L,'Monthly BSE Equity Options'!$A:$A,$A119))</f>
        <v/>
      </c>
      <c r="V119" s="9">
        <f>IF(OR(T119="",U119=""),"",T119+U119)</f>
        <v/>
      </c>
      <c r="W119" s="25">
        <f>IF(V119="","",T119/V119)</f>
        <v/>
      </c>
      <c r="X119" s="25">
        <f>IF(V119="","",U119/V119)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19">
        <f>IF(F120="","",D120/F120)</f>
        <v/>
      </c>
      <c r="H120" s="19">
        <f>IF(F120="","",E120/F120)</f>
        <v/>
      </c>
      <c r="I120" s="26">
        <f>IF(OR(D120="",D108=""),"",D120/D108-1)</f>
        <v/>
      </c>
      <c r="J120" s="19">
        <f>IF(OR(E120="",E108=""),"",E120/E108-1)</f>
        <v/>
      </c>
      <c r="K120" s="19">
        <f>IF(OR(F120="",F108=""),"",F120/F108-1)</f>
        <v/>
      </c>
      <c r="L120" s="19">
        <f>IF(OR(D120="",D119=""),"",D120/D119-1)</f>
        <v/>
      </c>
      <c r="M120" s="19">
        <f>IF(OR(E120="",E119=""),"",E120/E119-1)</f>
        <v/>
      </c>
      <c r="N120" s="19">
        <f>IF(OR(F120="",F119=""),"",F120/F119-1)</f>
        <v/>
      </c>
      <c r="O120" s="22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IF(Q120="","",O120/Q120)</f>
        <v/>
      </c>
      <c r="S120" s="23">
        <f>IF(Q120="","",P120/Q120)</f>
        <v/>
      </c>
      <c r="T120" s="24">
        <f>IF(SUMIFS('Monthly NSE Equity Options'!$L:$L,'Monthly NSE Equity Options'!$A:$A,$A120)=0,"",SUMIFS('Monthly NSE Equity Options'!$L:$L,'Monthly NSE Equity Options'!$A:$A,$A120))</f>
        <v/>
      </c>
      <c r="U120" s="9">
        <f>IF(SUMIFS('Monthly BSE Equity Options'!$L:$L,'Monthly BSE Equity Options'!$A:$A,$A120)=0,"",SUMIFS('Monthly BSE Equity Options'!$L:$L,'Monthly BSE Equity Options'!$A:$A,$A120))</f>
        <v/>
      </c>
      <c r="V120" s="9">
        <f>IF(OR(T120="",U120=""),"",T120+U120)</f>
        <v/>
      </c>
      <c r="W120" s="25">
        <f>IF(V120="","",T120/V120)</f>
        <v/>
      </c>
      <c r="X120" s="25">
        <f>IF(V120="","",U120/V120)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19">
        <f>IF(F121="","",D121/F121)</f>
        <v/>
      </c>
      <c r="H121" s="19">
        <f>IF(F121="","",E121/F121)</f>
        <v/>
      </c>
      <c r="I121" s="26">
        <f>IF(OR(D121="",D109=""),"",D121/D109-1)</f>
        <v/>
      </c>
      <c r="J121" s="19">
        <f>IF(OR(E121="",E109=""),"",E121/E109-1)</f>
        <v/>
      </c>
      <c r="K121" s="19">
        <f>IF(OR(F121="",F109=""),"",F121/F109-1)</f>
        <v/>
      </c>
      <c r="L121" s="19">
        <f>IF(OR(D121="",D120=""),"",D121/D120-1)</f>
        <v/>
      </c>
      <c r="M121" s="19">
        <f>IF(OR(E121="",E120=""),"",E121/E120-1)</f>
        <v/>
      </c>
      <c r="N121" s="19">
        <f>IF(OR(F121="",F120=""),"",F121/F120-1)</f>
        <v/>
      </c>
      <c r="O121" s="22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IF(Q121="","",O121/Q121)</f>
        <v/>
      </c>
      <c r="S121" s="23">
        <f>IF(Q121="","",P121/Q121)</f>
        <v/>
      </c>
      <c r="T121" s="24">
        <f>IF(SUMIFS('Monthly NSE Equity Options'!$L:$L,'Monthly NSE Equity Options'!$A:$A,$A121)=0,"",SUMIFS('Monthly NSE Equity Options'!$L:$L,'Monthly NSE Equity Options'!$A:$A,$A121))</f>
        <v/>
      </c>
      <c r="U121" s="9">
        <f>IF(SUMIFS('Monthly BSE Equity Options'!$L:$L,'Monthly BSE Equity Options'!$A:$A,$A121)=0,"",SUMIFS('Monthly BSE Equity Options'!$L:$L,'Monthly BSE Equity Options'!$A:$A,$A121))</f>
        <v/>
      </c>
      <c r="V121" s="9">
        <f>IF(OR(T121="",U121=""),"",T121+U121)</f>
        <v/>
      </c>
      <c r="W121" s="25">
        <f>IF(V121="","",T121/V121)</f>
        <v/>
      </c>
      <c r="X121" s="25">
        <f>IF(V121="","",U121/V121)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19">
        <f>IF(F122="","",D122/F122)</f>
        <v/>
      </c>
      <c r="H122" s="19">
        <f>IF(F122="","",E122/F122)</f>
        <v/>
      </c>
      <c r="I122" s="26">
        <f>IF(OR(D122="",D110=""),"",D122/D110-1)</f>
        <v/>
      </c>
      <c r="J122" s="19">
        <f>IF(OR(E122="",E110=""),"",E122/E110-1)</f>
        <v/>
      </c>
      <c r="K122" s="19">
        <f>IF(OR(F122="",F110=""),"",F122/F110-1)</f>
        <v/>
      </c>
      <c r="L122" s="19">
        <f>IF(OR(D122="",D121=""),"",D122/D121-1)</f>
        <v/>
      </c>
      <c r="M122" s="19">
        <f>IF(OR(E122="",E121=""),"",E122/E121-1)</f>
        <v/>
      </c>
      <c r="N122" s="19">
        <f>IF(OR(F122="",F121=""),"",F122/F121-1)</f>
        <v/>
      </c>
      <c r="O122" s="22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IF(Q122="","",O122/Q122)</f>
        <v/>
      </c>
      <c r="S122" s="23">
        <f>IF(Q122="","",P122/Q122)</f>
        <v/>
      </c>
      <c r="T122" s="24">
        <f>IF(SUMIFS('Monthly NSE Equity Options'!$L:$L,'Monthly NSE Equity Options'!$A:$A,$A122)=0,"",SUMIFS('Monthly NSE Equity Options'!$L:$L,'Monthly NSE Equity Options'!$A:$A,$A122))</f>
        <v/>
      </c>
      <c r="U122" s="9">
        <f>IF(SUMIFS('Monthly BSE Equity Options'!$L:$L,'Monthly BSE Equity Options'!$A:$A,$A122)=0,"",SUMIFS('Monthly BSE Equity Options'!$L:$L,'Monthly BSE Equity Options'!$A:$A,$A122))</f>
        <v/>
      </c>
      <c r="V122" s="9">
        <f>IF(OR(T122="",U122=""),"",T122+U122)</f>
        <v/>
      </c>
      <c r="W122" s="25">
        <f>IF(V122="","",T122/V122)</f>
        <v/>
      </c>
      <c r="X122" s="25">
        <f>IF(V122="","",U122/V122)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19">
        <f>IF(F123="","",D123/F123)</f>
        <v/>
      </c>
      <c r="H123" s="19">
        <f>IF(F123="","",E123/F123)</f>
        <v/>
      </c>
      <c r="I123" s="26">
        <f>IF(OR(D123="",D111=""),"",D123/D111-1)</f>
        <v/>
      </c>
      <c r="J123" s="19">
        <f>IF(OR(E123="",E111=""),"",E123/E111-1)</f>
        <v/>
      </c>
      <c r="K123" s="19">
        <f>IF(OR(F123="",F111=""),"",F123/F111-1)</f>
        <v/>
      </c>
      <c r="L123" s="19">
        <f>IF(OR(D123="",D122=""),"",D123/D122-1)</f>
        <v/>
      </c>
      <c r="M123" s="19">
        <f>IF(OR(E123="",E122=""),"",E123/E122-1)</f>
        <v/>
      </c>
      <c r="N123" s="19">
        <f>IF(OR(F123="",F122=""),"",F123/F122-1)</f>
        <v/>
      </c>
      <c r="O123" s="22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IF(Q123="","",O123/Q123)</f>
        <v/>
      </c>
      <c r="S123" s="23">
        <f>IF(Q123="","",P123/Q123)</f>
        <v/>
      </c>
      <c r="T123" s="24">
        <f>IF(SUMIFS('Monthly NSE Equity Options'!$L:$L,'Monthly NSE Equity Options'!$A:$A,$A123)=0,"",SUMIFS('Monthly NSE Equity Options'!$L:$L,'Monthly NSE Equity Options'!$A:$A,$A123))</f>
        <v/>
      </c>
      <c r="U123" s="9">
        <f>IF(SUMIFS('Monthly BSE Equity Options'!$L:$L,'Monthly BSE Equity Options'!$A:$A,$A123)=0,"",SUMIFS('Monthly BSE Equity Options'!$L:$L,'Monthly BSE Equity Options'!$A:$A,$A123))</f>
        <v/>
      </c>
      <c r="V123" s="9">
        <f>IF(OR(T123="",U123=""),"",T123+U123)</f>
        <v/>
      </c>
      <c r="W123" s="25">
        <f>IF(V123="","",T123/V123)</f>
        <v/>
      </c>
      <c r="X123" s="25">
        <f>IF(V123="","",U123/V123)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19">
        <f>IF(F124="","",D124/F124)</f>
        <v/>
      </c>
      <c r="H124" s="19">
        <f>IF(F124="","",E124/F124)</f>
        <v/>
      </c>
      <c r="I124" s="26">
        <f>IF(OR(D124="",D112=""),"",D124/D112-1)</f>
        <v/>
      </c>
      <c r="J124" s="19">
        <f>IF(OR(E124="",E112=""),"",E124/E112-1)</f>
        <v/>
      </c>
      <c r="K124" s="19">
        <f>IF(OR(F124="",F112=""),"",F124/F112-1)</f>
        <v/>
      </c>
      <c r="L124" s="19">
        <f>IF(OR(D124="",D123=""),"",D124/D123-1)</f>
        <v/>
      </c>
      <c r="M124" s="19">
        <f>IF(OR(E124="",E123=""),"",E124/E123-1)</f>
        <v/>
      </c>
      <c r="N124" s="19">
        <f>IF(OR(F124="",F123=""),"",F124/F123-1)</f>
        <v/>
      </c>
      <c r="O124" s="22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IF(Q124="","",O124/Q124)</f>
        <v/>
      </c>
      <c r="S124" s="23">
        <f>IF(Q124="","",P124/Q124)</f>
        <v/>
      </c>
      <c r="T124" s="24">
        <f>IF(SUMIFS('Monthly NSE Equity Options'!$L:$L,'Monthly NSE Equity Options'!$A:$A,$A124)=0,"",SUMIFS('Monthly NSE Equity Options'!$L:$L,'Monthly NSE Equity Options'!$A:$A,$A124))</f>
        <v/>
      </c>
      <c r="U124" s="9">
        <f>IF(SUMIFS('Monthly BSE Equity Options'!$L:$L,'Monthly BSE Equity Options'!$A:$A,$A124)=0,"",SUMIFS('Monthly BSE Equity Options'!$L:$L,'Monthly BSE Equity Options'!$A:$A,$A124))</f>
        <v/>
      </c>
      <c r="V124" s="9">
        <f>IF(OR(T124="",U124=""),"",T124+U124)</f>
        <v/>
      </c>
      <c r="W124" s="25">
        <f>IF(V124="","",T124/V124)</f>
        <v/>
      </c>
      <c r="X124" s="25">
        <f>IF(V124="","",U124/V124)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19">
        <f>IF(F125="","",D125/F125)</f>
        <v/>
      </c>
      <c r="H125" s="19">
        <f>IF(F125="","",E125/F125)</f>
        <v/>
      </c>
      <c r="I125" s="26">
        <f>IF(OR(D125="",D113=""),"",D125/D113-1)</f>
        <v/>
      </c>
      <c r="J125" s="19">
        <f>IF(OR(E125="",E113=""),"",E125/E113-1)</f>
        <v/>
      </c>
      <c r="K125" s="19">
        <f>IF(OR(F125="",F113=""),"",F125/F113-1)</f>
        <v/>
      </c>
      <c r="L125" s="19">
        <f>IF(OR(D125="",D124=""),"",D125/D124-1)</f>
        <v/>
      </c>
      <c r="M125" s="19">
        <f>IF(OR(E125="",E124=""),"",E125/E124-1)</f>
        <v/>
      </c>
      <c r="N125" s="19">
        <f>IF(OR(F125="",F124=""),"",F125/F124-1)</f>
        <v/>
      </c>
      <c r="O125" s="22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IF(Q125="","",O125/Q125)</f>
        <v/>
      </c>
      <c r="S125" s="23">
        <f>IF(Q125="","",P125/Q125)</f>
        <v/>
      </c>
      <c r="T125" s="24">
        <f>IF(SUMIFS('Monthly NSE Equity Options'!$L:$L,'Monthly NSE Equity Options'!$A:$A,$A125)=0,"",SUMIFS('Monthly NSE Equity Options'!$L:$L,'Monthly NSE Equity Options'!$A:$A,$A125))</f>
        <v/>
      </c>
      <c r="U125" s="9">
        <f>IF(SUMIFS('Monthly BSE Equity Options'!$L:$L,'Monthly BSE Equity Options'!$A:$A,$A125)=0,"",SUMIFS('Monthly BSE Equity Options'!$L:$L,'Monthly BSE Equity Options'!$A:$A,$A125))</f>
        <v/>
      </c>
      <c r="V125" s="9">
        <f>IF(OR(T125="",U125=""),"",T125+U125)</f>
        <v/>
      </c>
      <c r="W125" s="25">
        <f>IF(V125="","",T125/V125)</f>
        <v/>
      </c>
      <c r="X125" s="25">
        <f>IF(V125="","",U125/V125)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19">
        <f>IF(F126="","",D126/F126)</f>
        <v/>
      </c>
      <c r="H126" s="19">
        <f>IF(F126="","",E126/F126)</f>
        <v/>
      </c>
      <c r="I126" s="26">
        <f>IF(OR(D126="",D114=""),"",D126/D114-1)</f>
        <v/>
      </c>
      <c r="J126" s="19">
        <f>IF(OR(E126="",E114=""),"",E126/E114-1)</f>
        <v/>
      </c>
      <c r="K126" s="19">
        <f>IF(OR(F126="",F114=""),"",F126/F114-1)</f>
        <v/>
      </c>
      <c r="L126" s="19">
        <f>IF(OR(D126="",D125=""),"",D126/D125-1)</f>
        <v/>
      </c>
      <c r="M126" s="19">
        <f>IF(OR(E126="",E125=""),"",E126/E125-1)</f>
        <v/>
      </c>
      <c r="N126" s="19">
        <f>IF(OR(F126="",F125=""),"",F126/F125-1)</f>
        <v/>
      </c>
      <c r="O126" s="22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IF(Q126="","",O126/Q126)</f>
        <v/>
      </c>
      <c r="S126" s="23">
        <f>IF(Q126="","",P126/Q126)</f>
        <v/>
      </c>
      <c r="T126" s="24">
        <f>IF(SUMIFS('Monthly NSE Equity Options'!$L:$L,'Monthly NSE Equity Options'!$A:$A,$A126)=0,"",SUMIFS('Monthly NSE Equity Options'!$L:$L,'Monthly NSE Equity Options'!$A:$A,$A126))</f>
        <v/>
      </c>
      <c r="U126" s="9">
        <f>IF(SUMIFS('Monthly BSE Equity Options'!$L:$L,'Monthly BSE Equity Options'!$A:$A,$A126)=0,"",SUMIFS('Monthly BSE Equity Options'!$L:$L,'Monthly BSE Equity Options'!$A:$A,$A126))</f>
        <v/>
      </c>
      <c r="V126" s="9">
        <f>IF(OR(T126="",U126=""),"",T126+U126)</f>
        <v/>
      </c>
      <c r="W126" s="25">
        <f>IF(V126="","",T126/V126)</f>
        <v/>
      </c>
      <c r="X126" s="25">
        <f>IF(V126="","",U126/V126)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19">
        <f>IF(F127="","",D127/F127)</f>
        <v/>
      </c>
      <c r="H127" s="19">
        <f>IF(F127="","",E127/F127)</f>
        <v/>
      </c>
      <c r="I127" s="26">
        <f>IF(OR(D127="",D115=""),"",D127/D115-1)</f>
        <v/>
      </c>
      <c r="J127" s="19">
        <f>IF(OR(E127="",E115=""),"",E127/E115-1)</f>
        <v/>
      </c>
      <c r="K127" s="19">
        <f>IF(OR(F127="",F115=""),"",F127/F115-1)</f>
        <v/>
      </c>
      <c r="L127" s="19">
        <f>IF(OR(D127="",D126=""),"",D127/D126-1)</f>
        <v/>
      </c>
      <c r="M127" s="19">
        <f>IF(OR(E127="",E126=""),"",E127/E126-1)</f>
        <v/>
      </c>
      <c r="N127" s="19">
        <f>IF(OR(F127="",F126=""),"",F127/F126-1)</f>
        <v/>
      </c>
      <c r="O127" s="22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IF(Q127="","",O127/Q127)</f>
        <v/>
      </c>
      <c r="S127" s="23">
        <f>IF(Q127="","",P127/Q127)</f>
        <v/>
      </c>
      <c r="T127" s="24">
        <f>IF(SUMIFS('Monthly NSE Equity Options'!$L:$L,'Monthly NSE Equity Options'!$A:$A,$A127)=0,"",SUMIFS('Monthly NSE Equity Options'!$L:$L,'Monthly NSE Equity Options'!$A:$A,$A127))</f>
        <v/>
      </c>
      <c r="U127" s="9">
        <f>IF(SUMIFS('Monthly BSE Equity Options'!$L:$L,'Monthly BSE Equity Options'!$A:$A,$A127)=0,"",SUMIFS('Monthly BSE Equity Options'!$L:$L,'Monthly BSE Equity Options'!$A:$A,$A127))</f>
        <v/>
      </c>
      <c r="V127" s="9">
        <f>IF(OR(T127="",U127=""),"",T127+U127)</f>
        <v/>
      </c>
      <c r="W127" s="25">
        <f>IF(V127="","",T127/V127)</f>
        <v/>
      </c>
      <c r="X127" s="25">
        <f>IF(V127="","",U127/V127)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19">
        <f>IF(F128="","",D128/F128)</f>
        <v/>
      </c>
      <c r="H128" s="19">
        <f>IF(F128="","",E128/F128)</f>
        <v/>
      </c>
      <c r="I128" s="26">
        <f>IF(OR(D128="",D116=""),"",D128/D116-1)</f>
        <v/>
      </c>
      <c r="J128" s="19">
        <f>IF(OR(E128="",E116=""),"",E128/E116-1)</f>
        <v/>
      </c>
      <c r="K128" s="19">
        <f>IF(OR(F128="",F116=""),"",F128/F116-1)</f>
        <v/>
      </c>
      <c r="L128" s="19">
        <f>IF(OR(D128="",D127=""),"",D128/D127-1)</f>
        <v/>
      </c>
      <c r="M128" s="19">
        <f>IF(OR(E128="",E127=""),"",E128/E127-1)</f>
        <v/>
      </c>
      <c r="N128" s="19">
        <f>IF(OR(F128="",F127=""),"",F128/F127-1)</f>
        <v/>
      </c>
      <c r="O128" s="22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IF(Q128="","",O128/Q128)</f>
        <v/>
      </c>
      <c r="S128" s="23">
        <f>IF(Q128="","",P128/Q128)</f>
        <v/>
      </c>
      <c r="T128" s="24">
        <f>IF(SUMIFS('Monthly NSE Equity Options'!$L:$L,'Monthly NSE Equity Options'!$A:$A,$A128)=0,"",SUMIFS('Monthly NSE Equity Options'!$L:$L,'Monthly NSE Equity Options'!$A:$A,$A128))</f>
        <v/>
      </c>
      <c r="U128" s="9">
        <f>IF(SUMIFS('Monthly BSE Equity Options'!$L:$L,'Monthly BSE Equity Options'!$A:$A,$A128)=0,"",SUMIFS('Monthly BSE Equity Options'!$L:$L,'Monthly BSE Equity Options'!$A:$A,$A128))</f>
        <v/>
      </c>
      <c r="V128" s="9">
        <f>IF(OR(T128="",U128=""),"",T128+U128)</f>
        <v/>
      </c>
      <c r="W128" s="25">
        <f>IF(V128="","",T128/V128)</f>
        <v/>
      </c>
      <c r="X128" s="25">
        <f>IF(V128="","",U128/V128)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19">
        <f>IF(F129="","",D129/F129)</f>
        <v/>
      </c>
      <c r="H129" s="19">
        <f>IF(F129="","",E129/F129)</f>
        <v/>
      </c>
      <c r="I129" s="26">
        <f>IF(OR(D129="",D117=""),"",D129/D117-1)</f>
        <v/>
      </c>
      <c r="J129" s="19">
        <f>IF(OR(E129="",E117=""),"",E129/E117-1)</f>
        <v/>
      </c>
      <c r="K129" s="19">
        <f>IF(OR(F129="",F117=""),"",F129/F117-1)</f>
        <v/>
      </c>
      <c r="L129" s="19">
        <f>IF(OR(D129="",D128=""),"",D129/D128-1)</f>
        <v/>
      </c>
      <c r="M129" s="19">
        <f>IF(OR(E129="",E128=""),"",E129/E128-1)</f>
        <v/>
      </c>
      <c r="N129" s="19">
        <f>IF(OR(F129="",F128=""),"",F129/F128-1)</f>
        <v/>
      </c>
      <c r="O129" s="22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IF(Q129="","",O129/Q129)</f>
        <v/>
      </c>
      <c r="S129" s="23">
        <f>IF(Q129="","",P129/Q129)</f>
        <v/>
      </c>
      <c r="T129" s="24">
        <f>IF(SUMIFS('Monthly NSE Equity Options'!$L:$L,'Monthly NSE Equity Options'!$A:$A,$A129)=0,"",SUMIFS('Monthly NSE Equity Options'!$L:$L,'Monthly NSE Equity Options'!$A:$A,$A129))</f>
        <v/>
      </c>
      <c r="U129" s="9">
        <f>IF(SUMIFS('Monthly BSE Equity Options'!$L:$L,'Monthly BSE Equity Options'!$A:$A,$A129)=0,"",SUMIFS('Monthly BSE Equity Options'!$L:$L,'Monthly BSE Equity Options'!$A:$A,$A129))</f>
        <v/>
      </c>
      <c r="V129" s="9">
        <f>IF(OR(T129="",U129=""),"",T129+U129)</f>
        <v/>
      </c>
      <c r="W129" s="25">
        <f>IF(V129="","",T129/V129)</f>
        <v/>
      </c>
      <c r="X129" s="25">
        <f>IF(V129="","",U129/V129)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19">
        <f>IF(F130="","",D130/F130)</f>
        <v/>
      </c>
      <c r="H130" s="19">
        <f>IF(F130="","",E130/F130)</f>
        <v/>
      </c>
      <c r="I130" s="26">
        <f>IF(OR(D130="",D118=""),"",D130/D118-1)</f>
        <v/>
      </c>
      <c r="J130" s="19">
        <f>IF(OR(E130="",E118=""),"",E130/E118-1)</f>
        <v/>
      </c>
      <c r="K130" s="19">
        <f>IF(OR(F130="",F118=""),"",F130/F118-1)</f>
        <v/>
      </c>
      <c r="L130" s="19">
        <f>IF(OR(D130="",D129=""),"",D130/D129-1)</f>
        <v/>
      </c>
      <c r="M130" s="19">
        <f>IF(OR(E130="",E129=""),"",E130/E129-1)</f>
        <v/>
      </c>
      <c r="N130" s="19">
        <f>IF(OR(F130="",F129=""),"",F130/F129-1)</f>
        <v/>
      </c>
      <c r="O130" s="22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IF(Q130="","",O130/Q130)</f>
        <v/>
      </c>
      <c r="S130" s="23">
        <f>IF(Q130="","",P130/Q130)</f>
        <v/>
      </c>
      <c r="T130" s="24">
        <f>IF(SUMIFS('Monthly NSE Equity Options'!$L:$L,'Monthly NSE Equity Options'!$A:$A,$A130)=0,"",SUMIFS('Monthly NSE Equity Options'!$L:$L,'Monthly NSE Equity Options'!$A:$A,$A130))</f>
        <v/>
      </c>
      <c r="U130" s="9">
        <f>IF(SUMIFS('Monthly BSE Equity Options'!$L:$L,'Monthly BSE Equity Options'!$A:$A,$A130)=0,"",SUMIFS('Monthly BSE Equity Options'!$L:$L,'Monthly BSE Equity Options'!$A:$A,$A130))</f>
        <v/>
      </c>
      <c r="V130" s="9">
        <f>IF(OR(T130="",U130=""),"",T130+U130)</f>
        <v/>
      </c>
      <c r="W130" s="25">
        <f>IF(V130="","",T130/V130)</f>
        <v/>
      </c>
      <c r="X130" s="25">
        <f>IF(V130="","",U130/V130)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19">
        <f>IF(F131="","",D131/F131)</f>
        <v/>
      </c>
      <c r="H131" s="19">
        <f>IF(F131="","",E131/F131)</f>
        <v/>
      </c>
      <c r="I131" s="26">
        <f>IF(OR(D131="",D119=""),"",D131/D119-1)</f>
        <v/>
      </c>
      <c r="J131" s="19">
        <f>IF(OR(E131="",E119=""),"",E131/E119-1)</f>
        <v/>
      </c>
      <c r="K131" s="19">
        <f>IF(OR(F131="",F119=""),"",F131/F119-1)</f>
        <v/>
      </c>
      <c r="L131" s="19">
        <f>IF(OR(D131="",D130=""),"",D131/D130-1)</f>
        <v/>
      </c>
      <c r="M131" s="19">
        <f>IF(OR(E131="",E130=""),"",E131/E130-1)</f>
        <v/>
      </c>
      <c r="N131" s="19">
        <f>IF(OR(F131="",F130=""),"",F131/F130-1)</f>
        <v/>
      </c>
      <c r="O131" s="22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IF(Q131="","",O131/Q131)</f>
        <v/>
      </c>
      <c r="S131" s="23">
        <f>IF(Q131="","",P131/Q131)</f>
        <v/>
      </c>
      <c r="T131" s="24">
        <f>IF(SUMIFS('Monthly NSE Equity Options'!$L:$L,'Monthly NSE Equity Options'!$A:$A,$A131)=0,"",SUMIFS('Monthly NSE Equity Options'!$L:$L,'Monthly NSE Equity Options'!$A:$A,$A131))</f>
        <v/>
      </c>
      <c r="U131" s="9">
        <f>IF(SUMIFS('Monthly BSE Equity Options'!$L:$L,'Monthly BSE Equity Options'!$A:$A,$A131)=0,"",SUMIFS('Monthly BSE Equity Options'!$L:$L,'Monthly BSE Equity Options'!$A:$A,$A131))</f>
        <v/>
      </c>
      <c r="V131" s="9">
        <f>IF(OR(T131="",U131=""),"",T131+U131)</f>
        <v/>
      </c>
      <c r="W131" s="25">
        <f>IF(V131="","",T131/V131)</f>
        <v/>
      </c>
      <c r="X131" s="25">
        <f>IF(V131="","",U131/V131)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19">
        <f>IF(F132="","",D132/F132)</f>
        <v/>
      </c>
      <c r="H132" s="19">
        <f>IF(F132="","",E132/F132)</f>
        <v/>
      </c>
      <c r="I132" s="26">
        <f>IF(OR(D132="",D120=""),"",D132/D120-1)</f>
        <v/>
      </c>
      <c r="J132" s="19">
        <f>IF(OR(E132="",E120=""),"",E132/E120-1)</f>
        <v/>
      </c>
      <c r="K132" s="19">
        <f>IF(OR(F132="",F120=""),"",F132/F120-1)</f>
        <v/>
      </c>
      <c r="L132" s="19">
        <f>IF(OR(D132="",D131=""),"",D132/D131-1)</f>
        <v/>
      </c>
      <c r="M132" s="19">
        <f>IF(OR(E132="",E131=""),"",E132/E131-1)</f>
        <v/>
      </c>
      <c r="N132" s="19">
        <f>IF(OR(F132="",F131=""),"",F132/F131-1)</f>
        <v/>
      </c>
      <c r="O132" s="22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IF(Q132="","",O132/Q132)</f>
        <v/>
      </c>
      <c r="S132" s="23">
        <f>IF(Q132="","",P132/Q132)</f>
        <v/>
      </c>
      <c r="T132" s="24">
        <f>IF(SUMIFS('Monthly NSE Equity Options'!$L:$L,'Monthly NSE Equity Options'!$A:$A,$A132)=0,"",SUMIFS('Monthly NSE Equity Options'!$L:$L,'Monthly NSE Equity Options'!$A:$A,$A132))</f>
        <v/>
      </c>
      <c r="U132" s="9">
        <f>IF(SUMIFS('Monthly BSE Equity Options'!$L:$L,'Monthly BSE Equity Options'!$A:$A,$A132)=0,"",SUMIFS('Monthly BSE Equity Options'!$L:$L,'Monthly BSE Equity Options'!$A:$A,$A132))</f>
        <v/>
      </c>
      <c r="V132" s="9">
        <f>IF(OR(T132="",U132=""),"",T132+U132)</f>
        <v/>
      </c>
      <c r="W132" s="25">
        <f>IF(V132="","",T132/V132)</f>
        <v/>
      </c>
      <c r="X132" s="25">
        <f>IF(V132="","",U132/V132)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19">
        <f>IF(F133="","",D133/F133)</f>
        <v/>
      </c>
      <c r="H133" s="19">
        <f>IF(F133="","",E133/F133)</f>
        <v/>
      </c>
      <c r="I133" s="26">
        <f>IF(OR(D133="",D121=""),"",D133/D121-1)</f>
        <v/>
      </c>
      <c r="J133" s="19">
        <f>IF(OR(E133="",E121=""),"",E133/E121-1)</f>
        <v/>
      </c>
      <c r="K133" s="19">
        <f>IF(OR(F133="",F121=""),"",F133/F121-1)</f>
        <v/>
      </c>
      <c r="L133" s="19">
        <f>IF(OR(D133="",D132=""),"",D133/D132-1)</f>
        <v/>
      </c>
      <c r="M133" s="19">
        <f>IF(OR(E133="",E132=""),"",E133/E132-1)</f>
        <v/>
      </c>
      <c r="N133" s="19">
        <f>IF(OR(F133="",F132=""),"",F133/F132-1)</f>
        <v/>
      </c>
      <c r="O133" s="22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IF(Q133="","",O133/Q133)</f>
        <v/>
      </c>
      <c r="S133" s="23">
        <f>IF(Q133="","",P133/Q133)</f>
        <v/>
      </c>
      <c r="T133" s="24">
        <f>IF(SUMIFS('Monthly NSE Equity Options'!$L:$L,'Monthly NSE Equity Options'!$A:$A,$A133)=0,"",SUMIFS('Monthly NSE Equity Options'!$L:$L,'Monthly NSE Equity Options'!$A:$A,$A133))</f>
        <v/>
      </c>
      <c r="U133" s="9">
        <f>IF(SUMIFS('Monthly BSE Equity Options'!$L:$L,'Monthly BSE Equity Options'!$A:$A,$A133)=0,"",SUMIFS('Monthly BSE Equity Options'!$L:$L,'Monthly BSE Equity Options'!$A:$A,$A133))</f>
        <v/>
      </c>
      <c r="V133" s="9">
        <f>IF(OR(T133="",U133=""),"",T133+U133)</f>
        <v/>
      </c>
      <c r="W133" s="25">
        <f>IF(V133="","",T133/V133)</f>
        <v/>
      </c>
      <c r="X133" s="25">
        <f>IF(V133="","",U133/V133)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19">
        <f>IF(F134="","",D134/F134)</f>
        <v/>
      </c>
      <c r="H134" s="19">
        <f>IF(F134="","",E134/F134)</f>
        <v/>
      </c>
      <c r="I134" s="26">
        <f>IF(OR(D134="",D122=""),"",D134/D122-1)</f>
        <v/>
      </c>
      <c r="J134" s="19">
        <f>IF(OR(E134="",E122=""),"",E134/E122-1)</f>
        <v/>
      </c>
      <c r="K134" s="19">
        <f>IF(OR(F134="",F122=""),"",F134/F122-1)</f>
        <v/>
      </c>
      <c r="L134" s="19">
        <f>IF(OR(D134="",D133=""),"",D134/D133-1)</f>
        <v/>
      </c>
      <c r="M134" s="19">
        <f>IF(OR(E134="",E133=""),"",E134/E133-1)</f>
        <v/>
      </c>
      <c r="N134" s="19">
        <f>IF(OR(F134="",F133=""),"",F134/F133-1)</f>
        <v/>
      </c>
      <c r="O134" s="22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IF(Q134="","",O134/Q134)</f>
        <v/>
      </c>
      <c r="S134" s="23">
        <f>IF(Q134="","",P134/Q134)</f>
        <v/>
      </c>
      <c r="T134" s="24">
        <f>IF(SUMIFS('Monthly NSE Equity Options'!$L:$L,'Monthly NSE Equity Options'!$A:$A,$A134)=0,"",SUMIFS('Monthly NSE Equity Options'!$L:$L,'Monthly NSE Equity Options'!$A:$A,$A134))</f>
        <v/>
      </c>
      <c r="U134" s="9">
        <f>IF(SUMIFS('Monthly BSE Equity Options'!$L:$L,'Monthly BSE Equity Options'!$A:$A,$A134)=0,"",SUMIFS('Monthly BSE Equity Options'!$L:$L,'Monthly BSE Equity Options'!$A:$A,$A134))</f>
        <v/>
      </c>
      <c r="V134" s="9">
        <f>IF(OR(T134="",U134=""),"",T134+U134)</f>
        <v/>
      </c>
      <c r="W134" s="25">
        <f>IF(V134="","",T134/V134)</f>
        <v/>
      </c>
      <c r="X134" s="25">
        <f>IF(V134="","",U134/V134)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19">
        <f>IF(F135="","",D135/F135)</f>
        <v/>
      </c>
      <c r="H135" s="19">
        <f>IF(F135="","",E135/F135)</f>
        <v/>
      </c>
      <c r="I135" s="26">
        <f>IF(OR(D135="",D123=""),"",D135/D123-1)</f>
        <v/>
      </c>
      <c r="J135" s="19">
        <f>IF(OR(E135="",E123=""),"",E135/E123-1)</f>
        <v/>
      </c>
      <c r="K135" s="19">
        <f>IF(OR(F135="",F123=""),"",F135/F123-1)</f>
        <v/>
      </c>
      <c r="L135" s="19">
        <f>IF(OR(D135="",D134=""),"",D135/D134-1)</f>
        <v/>
      </c>
      <c r="M135" s="19">
        <f>IF(OR(E135="",E134=""),"",E135/E134-1)</f>
        <v/>
      </c>
      <c r="N135" s="19">
        <f>IF(OR(F135="",F134=""),"",F135/F134-1)</f>
        <v/>
      </c>
      <c r="O135" s="22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IF(Q135="","",O135/Q135)</f>
        <v/>
      </c>
      <c r="S135" s="23">
        <f>IF(Q135="","",P135/Q135)</f>
        <v/>
      </c>
      <c r="T135" s="24">
        <f>IF(SUMIFS('Monthly NSE Equity Options'!$L:$L,'Monthly NSE Equity Options'!$A:$A,$A135)=0,"",SUMIFS('Monthly NSE Equity Options'!$L:$L,'Monthly NSE Equity Options'!$A:$A,$A135))</f>
        <v/>
      </c>
      <c r="U135" s="9">
        <f>IF(SUMIFS('Monthly BSE Equity Options'!$L:$L,'Monthly BSE Equity Options'!$A:$A,$A135)=0,"",SUMIFS('Monthly BSE Equity Options'!$L:$L,'Monthly BSE Equity Options'!$A:$A,$A135))</f>
        <v/>
      </c>
      <c r="V135" s="9">
        <f>IF(OR(T135="",U135=""),"",T135+U135)</f>
        <v/>
      </c>
      <c r="W135" s="25">
        <f>IF(V135="","",T135/V135)</f>
        <v/>
      </c>
      <c r="X135" s="25">
        <f>IF(V135="","",U135/V135)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19">
        <f>IF(F136="","",D136/F136)</f>
        <v/>
      </c>
      <c r="H136" s="19">
        <f>IF(F136="","",E136/F136)</f>
        <v/>
      </c>
      <c r="I136" s="26">
        <f>IF(OR(D136="",D124=""),"",D136/D124-1)</f>
        <v/>
      </c>
      <c r="J136" s="19">
        <f>IF(OR(E136="",E124=""),"",E136/E124-1)</f>
        <v/>
      </c>
      <c r="K136" s="19">
        <f>IF(OR(F136="",F124=""),"",F136/F124-1)</f>
        <v/>
      </c>
      <c r="L136" s="19">
        <f>IF(OR(D136="",D135=""),"",D136/D135-1)</f>
        <v/>
      </c>
      <c r="M136" s="19">
        <f>IF(OR(E136="",E135=""),"",E136/E135-1)</f>
        <v/>
      </c>
      <c r="N136" s="19">
        <f>IF(OR(F136="",F135=""),"",F136/F135-1)</f>
        <v/>
      </c>
      <c r="O136" s="22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IF(Q136="","",O136/Q136)</f>
        <v/>
      </c>
      <c r="S136" s="23">
        <f>IF(Q136="","",P136/Q136)</f>
        <v/>
      </c>
      <c r="T136" s="24">
        <f>IF(SUMIFS('Monthly NSE Equity Options'!$L:$L,'Monthly NSE Equity Options'!$A:$A,$A136)=0,"",SUMIFS('Monthly NSE Equity Options'!$L:$L,'Monthly NSE Equity Options'!$A:$A,$A136))</f>
        <v/>
      </c>
      <c r="U136" s="9">
        <f>IF(SUMIFS('Monthly BSE Equity Options'!$L:$L,'Monthly BSE Equity Options'!$A:$A,$A136)=0,"",SUMIFS('Monthly BSE Equity Options'!$L:$L,'Monthly BSE Equity Options'!$A:$A,$A136))</f>
        <v/>
      </c>
      <c r="V136" s="9">
        <f>IF(OR(T136="",U136=""),"",T136+U136)</f>
        <v/>
      </c>
      <c r="W136" s="25">
        <f>IF(V136="","",T136/V136)</f>
        <v/>
      </c>
      <c r="X136" s="25">
        <f>IF(V136="","",U136/V136)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19">
        <f>IF(F137="","",D137/F137)</f>
        <v/>
      </c>
      <c r="H137" s="19">
        <f>IF(F137="","",E137/F137)</f>
        <v/>
      </c>
      <c r="I137" s="26">
        <f>IF(OR(D137="",D125=""),"",D137/D125-1)</f>
        <v/>
      </c>
      <c r="J137" s="19">
        <f>IF(OR(E137="",E125=""),"",E137/E125-1)</f>
        <v/>
      </c>
      <c r="K137" s="19">
        <f>IF(OR(F137="",F125=""),"",F137/F125-1)</f>
        <v/>
      </c>
      <c r="L137" s="19">
        <f>IF(OR(D137="",D136=""),"",D137/D136-1)</f>
        <v/>
      </c>
      <c r="M137" s="19">
        <f>IF(OR(E137="",E136=""),"",E137/E136-1)</f>
        <v/>
      </c>
      <c r="N137" s="19">
        <f>IF(OR(F137="",F136=""),"",F137/F136-1)</f>
        <v/>
      </c>
      <c r="O137" s="22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IF(Q137="","",O137/Q137)</f>
        <v/>
      </c>
      <c r="S137" s="23">
        <f>IF(Q137="","",P137/Q137)</f>
        <v/>
      </c>
      <c r="T137" s="24">
        <f>IF(SUMIFS('Monthly NSE Equity Options'!$L:$L,'Monthly NSE Equity Options'!$A:$A,$A137)=0,"",SUMIFS('Monthly NSE Equity Options'!$L:$L,'Monthly NSE Equity Options'!$A:$A,$A137))</f>
        <v/>
      </c>
      <c r="U137" s="9">
        <f>IF(SUMIFS('Monthly BSE Equity Options'!$L:$L,'Monthly BSE Equity Options'!$A:$A,$A137)=0,"",SUMIFS('Monthly BSE Equity Options'!$L:$L,'Monthly BSE Equity Options'!$A:$A,$A137))</f>
        <v/>
      </c>
      <c r="V137" s="9">
        <f>IF(OR(T137="",U137=""),"",T137+U137)</f>
        <v/>
      </c>
      <c r="W137" s="25">
        <f>IF(V137="","",T137/V137)</f>
        <v/>
      </c>
      <c r="X137" s="25">
        <f>IF(V137="","",U137/V137)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19">
        <f>IF(F138="","",D138/F138)</f>
        <v/>
      </c>
      <c r="H138" s="19">
        <f>IF(F138="","",E138/F138)</f>
        <v/>
      </c>
      <c r="I138" s="26">
        <f>IF(OR(D138="",D126=""),"",D138/D126-1)</f>
        <v/>
      </c>
      <c r="J138" s="19">
        <f>IF(OR(E138="",E126=""),"",E138/E126-1)</f>
        <v/>
      </c>
      <c r="K138" s="19">
        <f>IF(OR(F138="",F126=""),"",F138/F126-1)</f>
        <v/>
      </c>
      <c r="L138" s="19">
        <f>IF(OR(D138="",D137=""),"",D138/D137-1)</f>
        <v/>
      </c>
      <c r="M138" s="19">
        <f>IF(OR(E138="",E137=""),"",E138/E137-1)</f>
        <v/>
      </c>
      <c r="N138" s="19">
        <f>IF(OR(F138="",F137=""),"",F138/F137-1)</f>
        <v/>
      </c>
      <c r="O138" s="22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IF(Q138="","",O138/Q138)</f>
        <v/>
      </c>
      <c r="S138" s="23">
        <f>IF(Q138="","",P138/Q138)</f>
        <v/>
      </c>
      <c r="T138" s="24">
        <f>IF(SUMIFS('Monthly NSE Equity Options'!$L:$L,'Monthly NSE Equity Options'!$A:$A,$A138)=0,"",SUMIFS('Monthly NSE Equity Options'!$L:$L,'Monthly NSE Equity Options'!$A:$A,$A138))</f>
        <v/>
      </c>
      <c r="U138" s="9">
        <f>IF(SUMIFS('Monthly BSE Equity Options'!$L:$L,'Monthly BSE Equity Options'!$A:$A,$A138)=0,"",SUMIFS('Monthly BSE Equity Options'!$L:$L,'Monthly BSE Equity Options'!$A:$A,$A138))</f>
        <v/>
      </c>
      <c r="V138" s="9">
        <f>IF(OR(T138="",U138=""),"",T138+U138)</f>
        <v/>
      </c>
      <c r="W138" s="25">
        <f>IF(V138="","",T138/V138)</f>
        <v/>
      </c>
      <c r="X138" s="25">
        <f>IF(V138="","",U138/V138)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19">
        <f>IF(F139="","",D139/F139)</f>
        <v/>
      </c>
      <c r="H139" s="19">
        <f>IF(F139="","",E139/F139)</f>
        <v/>
      </c>
      <c r="I139" s="26">
        <f>IF(OR(D139="",D127=""),"",D139/D127-1)</f>
        <v/>
      </c>
      <c r="J139" s="19">
        <f>IF(OR(E139="",E127=""),"",E139/E127-1)</f>
        <v/>
      </c>
      <c r="K139" s="19">
        <f>IF(OR(F139="",F127=""),"",F139/F127-1)</f>
        <v/>
      </c>
      <c r="L139" s="19">
        <f>IF(OR(D139="",D138=""),"",D139/D138-1)</f>
        <v/>
      </c>
      <c r="M139" s="19">
        <f>IF(OR(E139="",E138=""),"",E139/E138-1)</f>
        <v/>
      </c>
      <c r="N139" s="19">
        <f>IF(OR(F139="",F138=""),"",F139/F138-1)</f>
        <v/>
      </c>
      <c r="O139" s="22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IF(Q139="","",O139/Q139)</f>
        <v/>
      </c>
      <c r="S139" s="23">
        <f>IF(Q139="","",P139/Q139)</f>
        <v/>
      </c>
      <c r="T139" s="24">
        <f>IF(SUMIFS('Monthly NSE Equity Options'!$L:$L,'Monthly NSE Equity Options'!$A:$A,$A139)=0,"",SUMIFS('Monthly NSE Equity Options'!$L:$L,'Monthly NSE Equity Options'!$A:$A,$A139))</f>
        <v/>
      </c>
      <c r="U139" s="9">
        <f>IF(SUMIFS('Monthly BSE Equity Options'!$L:$L,'Monthly BSE Equity Options'!$A:$A,$A139)=0,"",SUMIFS('Monthly BSE Equity Options'!$L:$L,'Monthly BSE Equity Options'!$A:$A,$A139))</f>
        <v/>
      </c>
      <c r="V139" s="9">
        <f>IF(OR(T139="",U139=""),"",T139+U139)</f>
        <v/>
      </c>
      <c r="W139" s="25">
        <f>IF(V139="","",T139/V139)</f>
        <v/>
      </c>
      <c r="X139" s="25">
        <f>IF(V139="","",U139/V139)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19">
        <f>IF(F140="","",D140/F140)</f>
        <v/>
      </c>
      <c r="H140" s="19">
        <f>IF(F140="","",E140/F140)</f>
        <v/>
      </c>
      <c r="I140" s="26">
        <f>IF(OR(D140="",D128=""),"",D140/D128-1)</f>
        <v/>
      </c>
      <c r="J140" s="19">
        <f>IF(OR(E140="",E128=""),"",E140/E128-1)</f>
        <v/>
      </c>
      <c r="K140" s="19">
        <f>IF(OR(F140="",F128=""),"",F140/F128-1)</f>
        <v/>
      </c>
      <c r="L140" s="19">
        <f>IF(OR(D140="",D139=""),"",D140/D139-1)</f>
        <v/>
      </c>
      <c r="M140" s="19">
        <f>IF(OR(E140="",E139=""),"",E140/E139-1)</f>
        <v/>
      </c>
      <c r="N140" s="19">
        <f>IF(OR(F140="",F139=""),"",F140/F139-1)</f>
        <v/>
      </c>
      <c r="O140" s="22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IF(Q140="","",O140/Q140)</f>
        <v/>
      </c>
      <c r="S140" s="23">
        <f>IF(Q140="","",P140/Q140)</f>
        <v/>
      </c>
      <c r="T140" s="24">
        <f>IF(SUMIFS('Monthly NSE Equity Options'!$L:$L,'Monthly NSE Equity Options'!$A:$A,$A140)=0,"",SUMIFS('Monthly NSE Equity Options'!$L:$L,'Monthly NSE Equity Options'!$A:$A,$A140))</f>
        <v/>
      </c>
      <c r="U140" s="9">
        <f>IF(SUMIFS('Monthly BSE Equity Options'!$L:$L,'Monthly BSE Equity Options'!$A:$A,$A140)=0,"",SUMIFS('Monthly BSE Equity Options'!$L:$L,'Monthly BSE Equity Options'!$A:$A,$A140))</f>
        <v/>
      </c>
      <c r="V140" s="9">
        <f>IF(OR(T140="",U140=""),"",T140+U140)</f>
        <v/>
      </c>
      <c r="W140" s="25">
        <f>IF(V140="","",T140/V140)</f>
        <v/>
      </c>
      <c r="X140" s="25">
        <f>IF(V140="","",U140/V140)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19">
        <f>IF(F141="","",D141/F141)</f>
        <v/>
      </c>
      <c r="H141" s="19">
        <f>IF(F141="","",E141/F141)</f>
        <v/>
      </c>
      <c r="I141" s="26">
        <f>IF(OR(D141="",D129=""),"",D141/D129-1)</f>
        <v/>
      </c>
      <c r="J141" s="19">
        <f>IF(OR(E141="",E129=""),"",E141/E129-1)</f>
        <v/>
      </c>
      <c r="K141" s="19">
        <f>IF(OR(F141="",F129=""),"",F141/F129-1)</f>
        <v/>
      </c>
      <c r="L141" s="19">
        <f>IF(OR(D141="",D140=""),"",D141/D140-1)</f>
        <v/>
      </c>
      <c r="M141" s="19">
        <f>IF(OR(E141="",E140=""),"",E141/E140-1)</f>
        <v/>
      </c>
      <c r="N141" s="19">
        <f>IF(OR(F141="",F140=""),"",F141/F140-1)</f>
        <v/>
      </c>
      <c r="O141" s="22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IF(Q141="","",O141/Q141)</f>
        <v/>
      </c>
      <c r="S141" s="23">
        <f>IF(Q141="","",P141/Q141)</f>
        <v/>
      </c>
      <c r="T141" s="24">
        <f>IF(SUMIFS('Monthly NSE Equity Options'!$L:$L,'Monthly NSE Equity Options'!$A:$A,$A141)=0,"",SUMIFS('Monthly NSE Equity Options'!$L:$L,'Monthly NSE Equity Options'!$A:$A,$A141))</f>
        <v/>
      </c>
      <c r="U141" s="9">
        <f>IF(SUMIFS('Monthly BSE Equity Options'!$L:$L,'Monthly BSE Equity Options'!$A:$A,$A141)=0,"",SUMIFS('Monthly BSE Equity Options'!$L:$L,'Monthly BSE Equity Options'!$A:$A,$A141))</f>
        <v/>
      </c>
      <c r="V141" s="9">
        <f>IF(OR(T141="",U141=""),"",T141+U141)</f>
        <v/>
      </c>
      <c r="W141" s="25">
        <f>IF(V141="","",T141/V141)</f>
        <v/>
      </c>
      <c r="X141" s="25">
        <f>IF(V141="","",U141/V141)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19">
        <f>IF(F142="","",D142/F142)</f>
        <v/>
      </c>
      <c r="H142" s="19">
        <f>IF(F142="","",E142/F142)</f>
        <v/>
      </c>
      <c r="I142" s="26">
        <f>IF(OR(D142="",D130=""),"",D142/D130-1)</f>
        <v/>
      </c>
      <c r="J142" s="19">
        <f>IF(OR(E142="",E130=""),"",E142/E130-1)</f>
        <v/>
      </c>
      <c r="K142" s="19">
        <f>IF(OR(F142="",F130=""),"",F142/F130-1)</f>
        <v/>
      </c>
      <c r="L142" s="19">
        <f>IF(OR(D142="",D141=""),"",D142/D141-1)</f>
        <v/>
      </c>
      <c r="M142" s="19">
        <f>IF(OR(E142="",E141=""),"",E142/E141-1)</f>
        <v/>
      </c>
      <c r="N142" s="19">
        <f>IF(OR(F142="",F141=""),"",F142/F141-1)</f>
        <v/>
      </c>
      <c r="O142" s="22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IF(Q142="","",O142/Q142)</f>
        <v/>
      </c>
      <c r="S142" s="23">
        <f>IF(Q142="","",P142/Q142)</f>
        <v/>
      </c>
      <c r="T142" s="24">
        <f>IF(SUMIFS('Monthly NSE Equity Options'!$L:$L,'Monthly NSE Equity Options'!$A:$A,$A142)=0,"",SUMIFS('Monthly NSE Equity Options'!$L:$L,'Monthly NSE Equity Options'!$A:$A,$A142))</f>
        <v/>
      </c>
      <c r="U142" s="9">
        <f>IF(SUMIFS('Monthly BSE Equity Options'!$L:$L,'Monthly BSE Equity Options'!$A:$A,$A142)=0,"",SUMIFS('Monthly BSE Equity Options'!$L:$L,'Monthly BSE Equity Options'!$A:$A,$A142))</f>
        <v/>
      </c>
      <c r="V142" s="9">
        <f>IF(OR(T142="",U142=""),"",T142+U142)</f>
        <v/>
      </c>
      <c r="W142" s="25">
        <f>IF(V142="","",T142/V142)</f>
        <v/>
      </c>
      <c r="X142" s="25">
        <f>IF(V142="","",U142/V142)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19">
        <f>IF(F143="","",D143/F143)</f>
        <v/>
      </c>
      <c r="H143" s="19">
        <f>IF(F143="","",E143/F143)</f>
        <v/>
      </c>
      <c r="I143" s="26">
        <f>IF(OR(D143="",D131=""),"",D143/D131-1)</f>
        <v/>
      </c>
      <c r="J143" s="19">
        <f>IF(OR(E143="",E131=""),"",E143/E131-1)</f>
        <v/>
      </c>
      <c r="K143" s="19">
        <f>IF(OR(F143="",F131=""),"",F143/F131-1)</f>
        <v/>
      </c>
      <c r="L143" s="19">
        <f>IF(OR(D143="",D142=""),"",D143/D142-1)</f>
        <v/>
      </c>
      <c r="M143" s="19">
        <f>IF(OR(E143="",E142=""),"",E143/E142-1)</f>
        <v/>
      </c>
      <c r="N143" s="19">
        <f>IF(OR(F143="",F142=""),"",F143/F142-1)</f>
        <v/>
      </c>
      <c r="O143" s="22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IF(Q143="","",O143/Q143)</f>
        <v/>
      </c>
      <c r="S143" s="23">
        <f>IF(Q143="","",P143/Q143)</f>
        <v/>
      </c>
      <c r="T143" s="24">
        <f>IF(SUMIFS('Monthly NSE Equity Options'!$L:$L,'Monthly NSE Equity Options'!$A:$A,$A143)=0,"",SUMIFS('Monthly NSE Equity Options'!$L:$L,'Monthly NSE Equity Options'!$A:$A,$A143))</f>
        <v/>
      </c>
      <c r="U143" s="9">
        <f>IF(SUMIFS('Monthly BSE Equity Options'!$L:$L,'Monthly BSE Equity Options'!$A:$A,$A143)=0,"",SUMIFS('Monthly BSE Equity Options'!$L:$L,'Monthly BSE Equity Options'!$A:$A,$A143))</f>
        <v/>
      </c>
      <c r="V143" s="9">
        <f>IF(OR(T143="",U143=""),"",T143+U143)</f>
        <v/>
      </c>
      <c r="W143" s="25">
        <f>IF(V143="","",T143/V143)</f>
        <v/>
      </c>
      <c r="X143" s="25">
        <f>IF(V143="","",U143/V143)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19">
        <f>IF(F144="","",D144/F144)</f>
        <v/>
      </c>
      <c r="H144" s="19">
        <f>IF(F144="","",E144/F144)</f>
        <v/>
      </c>
      <c r="I144" s="26">
        <f>IF(OR(D144="",D132=""),"",D144/D132-1)</f>
        <v/>
      </c>
      <c r="J144" s="19">
        <f>IF(OR(E144="",E132=""),"",E144/E132-1)</f>
        <v/>
      </c>
      <c r="K144" s="19">
        <f>IF(OR(F144="",F132=""),"",F144/F132-1)</f>
        <v/>
      </c>
      <c r="L144" s="19">
        <f>IF(OR(D144="",D143=""),"",D144/D143-1)</f>
        <v/>
      </c>
      <c r="M144" s="19">
        <f>IF(OR(E144="",E143=""),"",E144/E143-1)</f>
        <v/>
      </c>
      <c r="N144" s="19">
        <f>IF(OR(F144="",F143=""),"",F144/F143-1)</f>
        <v/>
      </c>
      <c r="O144" s="22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IF(Q144="","",O144/Q144)</f>
        <v/>
      </c>
      <c r="S144" s="23">
        <f>IF(Q144="","",P144/Q144)</f>
        <v/>
      </c>
      <c r="T144" s="24">
        <f>IF(SUMIFS('Monthly NSE Equity Options'!$L:$L,'Monthly NSE Equity Options'!$A:$A,$A144)=0,"",SUMIFS('Monthly NSE Equity Options'!$L:$L,'Monthly NSE Equity Options'!$A:$A,$A144))</f>
        <v/>
      </c>
      <c r="U144" s="9">
        <f>IF(SUMIFS('Monthly BSE Equity Options'!$L:$L,'Monthly BSE Equity Options'!$A:$A,$A144)=0,"",SUMIFS('Monthly BSE Equity Options'!$L:$L,'Monthly BSE Equity Options'!$A:$A,$A144))</f>
        <v/>
      </c>
      <c r="V144" s="9">
        <f>IF(OR(T144="",U144=""),"",T144+U144)</f>
        <v/>
      </c>
      <c r="W144" s="25">
        <f>IF(V144="","",T144/V144)</f>
        <v/>
      </c>
      <c r="X144" s="25">
        <f>IF(V144="","",U144/V144)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19">
        <f>IF(F145="","",D145/F145)</f>
        <v/>
      </c>
      <c r="H145" s="19">
        <f>IF(F145="","",E145/F145)</f>
        <v/>
      </c>
      <c r="I145" s="26">
        <f>IF(OR(D145="",D133=""),"",D145/D133-1)</f>
        <v/>
      </c>
      <c r="J145" s="19">
        <f>IF(OR(E145="",E133=""),"",E145/E133-1)</f>
        <v/>
      </c>
      <c r="K145" s="19">
        <f>IF(OR(F145="",F133=""),"",F145/F133-1)</f>
        <v/>
      </c>
      <c r="L145" s="19">
        <f>IF(OR(D145="",D144=""),"",D145/D144-1)</f>
        <v/>
      </c>
      <c r="M145" s="19">
        <f>IF(OR(E145="",E144=""),"",E145/E144-1)</f>
        <v/>
      </c>
      <c r="N145" s="19">
        <f>IF(OR(F145="",F144=""),"",F145/F144-1)</f>
        <v/>
      </c>
      <c r="O145" s="22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IF(Q145="","",O145/Q145)</f>
        <v/>
      </c>
      <c r="S145" s="23">
        <f>IF(Q145="","",P145/Q145)</f>
        <v/>
      </c>
      <c r="T145" s="24">
        <f>IF(SUMIFS('Monthly NSE Equity Options'!$L:$L,'Monthly NSE Equity Options'!$A:$A,$A145)=0,"",SUMIFS('Monthly NSE Equity Options'!$L:$L,'Monthly NSE Equity Options'!$A:$A,$A145))</f>
        <v/>
      </c>
      <c r="U145" s="9">
        <f>IF(SUMIFS('Monthly BSE Equity Options'!$L:$L,'Monthly BSE Equity Options'!$A:$A,$A145)=0,"",SUMIFS('Monthly BSE Equity Options'!$L:$L,'Monthly BSE Equity Options'!$A:$A,$A145))</f>
        <v/>
      </c>
      <c r="V145" s="9">
        <f>IF(OR(T145="",U145=""),"",T145+U145)</f>
        <v/>
      </c>
      <c r="W145" s="25">
        <f>IF(V145="","",T145/V145)</f>
        <v/>
      </c>
      <c r="X145" s="25">
        <f>IF(V145="","",U145/V145)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19">
        <f>IF(F146="","",D146/F146)</f>
        <v/>
      </c>
      <c r="H146" s="19">
        <f>IF(F146="","",E146/F146)</f>
        <v/>
      </c>
      <c r="I146" s="26">
        <f>IF(OR(D146="",D134=""),"",D146/D134-1)</f>
        <v/>
      </c>
      <c r="J146" s="19">
        <f>IF(OR(E146="",E134=""),"",E146/E134-1)</f>
        <v/>
      </c>
      <c r="K146" s="19">
        <f>IF(OR(F146="",F134=""),"",F146/F134-1)</f>
        <v/>
      </c>
      <c r="L146" s="19">
        <f>IF(OR(D146="",D145=""),"",D146/D145-1)</f>
        <v/>
      </c>
      <c r="M146" s="19">
        <f>IF(OR(E146="",E145=""),"",E146/E145-1)</f>
        <v/>
      </c>
      <c r="N146" s="19">
        <f>IF(OR(F146="",F145=""),"",F146/F145-1)</f>
        <v/>
      </c>
      <c r="O146" s="22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IF(Q146="","",O146/Q146)</f>
        <v/>
      </c>
      <c r="S146" s="23">
        <f>IF(Q146="","",P146/Q146)</f>
        <v/>
      </c>
      <c r="T146" s="24">
        <f>IF(SUMIFS('Monthly NSE Equity Options'!$L:$L,'Monthly NSE Equity Options'!$A:$A,$A146)=0,"",SUMIFS('Monthly NSE Equity Options'!$L:$L,'Monthly NSE Equity Options'!$A:$A,$A146))</f>
        <v/>
      </c>
      <c r="U146" s="9">
        <f>IF(SUMIFS('Monthly BSE Equity Options'!$L:$L,'Monthly BSE Equity Options'!$A:$A,$A146)=0,"",SUMIFS('Monthly BSE Equity Options'!$L:$L,'Monthly BSE Equity Options'!$A:$A,$A146))</f>
        <v/>
      </c>
      <c r="V146" s="9">
        <f>IF(OR(T146="",U146=""),"",T146+U146)</f>
        <v/>
      </c>
      <c r="W146" s="25">
        <f>IF(V146="","",T146/V146)</f>
        <v/>
      </c>
      <c r="X146" s="25">
        <f>IF(V146="","",U146/V146)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19">
        <f>IF(F147="","",D147/F147)</f>
        <v/>
      </c>
      <c r="H147" s="19">
        <f>IF(F147="","",E147/F147)</f>
        <v/>
      </c>
      <c r="I147" s="26">
        <f>IF(OR(D147="",D135=""),"",D147/D135-1)</f>
        <v/>
      </c>
      <c r="J147" s="19">
        <f>IF(OR(E147="",E135=""),"",E147/E135-1)</f>
        <v/>
      </c>
      <c r="K147" s="19">
        <f>IF(OR(F147="",F135=""),"",F147/F135-1)</f>
        <v/>
      </c>
      <c r="L147" s="19">
        <f>IF(OR(D147="",D146=""),"",D147/D146-1)</f>
        <v/>
      </c>
      <c r="M147" s="19">
        <f>IF(OR(E147="",E146=""),"",E147/E146-1)</f>
        <v/>
      </c>
      <c r="N147" s="19">
        <f>IF(OR(F147="",F146=""),"",F147/F146-1)</f>
        <v/>
      </c>
      <c r="O147" s="22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IF(Q147="","",O147/Q147)</f>
        <v/>
      </c>
      <c r="S147" s="23">
        <f>IF(Q147="","",P147/Q147)</f>
        <v/>
      </c>
      <c r="T147" s="24">
        <f>IF(SUMIFS('Monthly NSE Equity Options'!$L:$L,'Monthly NSE Equity Options'!$A:$A,$A147)=0,"",SUMIFS('Monthly NSE Equity Options'!$L:$L,'Monthly NSE Equity Options'!$A:$A,$A147))</f>
        <v/>
      </c>
      <c r="U147" s="9">
        <f>IF(SUMIFS('Monthly BSE Equity Options'!$L:$L,'Monthly BSE Equity Options'!$A:$A,$A147)=0,"",SUMIFS('Monthly BSE Equity Options'!$L:$L,'Monthly BSE Equity Options'!$A:$A,$A147))</f>
        <v/>
      </c>
      <c r="V147" s="9">
        <f>IF(OR(T147="",U147=""),"",T147+U147)</f>
        <v/>
      </c>
      <c r="W147" s="25">
        <f>IF(V147="","",T147/V147)</f>
        <v/>
      </c>
      <c r="X147" s="25">
        <f>IF(V147="","",U147/V147)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19">
        <f>IF(F148="","",D148/F148)</f>
        <v/>
      </c>
      <c r="H148" s="19">
        <f>IF(F148="","",E148/F148)</f>
        <v/>
      </c>
      <c r="I148" s="26">
        <f>IF(OR(D148="",D136=""),"",D148/D136-1)</f>
        <v/>
      </c>
      <c r="J148" s="19">
        <f>IF(OR(E148="",E136=""),"",E148/E136-1)</f>
        <v/>
      </c>
      <c r="K148" s="19">
        <f>IF(OR(F148="",F136=""),"",F148/F136-1)</f>
        <v/>
      </c>
      <c r="L148" s="19">
        <f>IF(OR(D148="",D147=""),"",D148/D147-1)</f>
        <v/>
      </c>
      <c r="M148" s="19">
        <f>IF(OR(E148="",E147=""),"",E148/E147-1)</f>
        <v/>
      </c>
      <c r="N148" s="19">
        <f>IF(OR(F148="",F147=""),"",F148/F147-1)</f>
        <v/>
      </c>
      <c r="O148" s="22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IF(Q148="","",O148/Q148)</f>
        <v/>
      </c>
      <c r="S148" s="23">
        <f>IF(Q148="","",P148/Q148)</f>
        <v/>
      </c>
      <c r="T148" s="24">
        <f>IF(SUMIFS('Monthly NSE Equity Options'!$L:$L,'Monthly NSE Equity Options'!$A:$A,$A148)=0,"",SUMIFS('Monthly NSE Equity Options'!$L:$L,'Monthly NSE Equity Options'!$A:$A,$A148))</f>
        <v/>
      </c>
      <c r="U148" s="9">
        <f>IF(SUMIFS('Monthly BSE Equity Options'!$L:$L,'Monthly BSE Equity Options'!$A:$A,$A148)=0,"",SUMIFS('Monthly BSE Equity Options'!$L:$L,'Monthly BSE Equity Options'!$A:$A,$A148))</f>
        <v/>
      </c>
      <c r="V148" s="9">
        <f>IF(OR(T148="",U148=""),"",T148+U148)</f>
        <v/>
      </c>
      <c r="W148" s="25">
        <f>IF(V148="","",T148/V148)</f>
        <v/>
      </c>
      <c r="X148" s="25">
        <f>IF(V148="","",U148/V148)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19">
        <f>IF(F149="","",D149/F149)</f>
        <v/>
      </c>
      <c r="H149" s="19">
        <f>IF(F149="","",E149/F149)</f>
        <v/>
      </c>
      <c r="I149" s="26">
        <f>IF(OR(D149="",D137=""),"",D149/D137-1)</f>
        <v/>
      </c>
      <c r="J149" s="19">
        <f>IF(OR(E149="",E137=""),"",E149/E137-1)</f>
        <v/>
      </c>
      <c r="K149" s="19">
        <f>IF(OR(F149="",F137=""),"",F149/F137-1)</f>
        <v/>
      </c>
      <c r="L149" s="19">
        <f>IF(OR(D149="",D148=""),"",D149/D148-1)</f>
        <v/>
      </c>
      <c r="M149" s="19">
        <f>IF(OR(E149="",E148=""),"",E149/E148-1)</f>
        <v/>
      </c>
      <c r="N149" s="19">
        <f>IF(OR(F149="",F148=""),"",F149/F148-1)</f>
        <v/>
      </c>
      <c r="O149" s="22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IF(Q149="","",O149/Q149)</f>
        <v/>
      </c>
      <c r="S149" s="23">
        <f>IF(Q149="","",P149/Q149)</f>
        <v/>
      </c>
      <c r="T149" s="24">
        <f>IF(SUMIFS('Monthly NSE Equity Options'!$L:$L,'Monthly NSE Equity Options'!$A:$A,$A149)=0,"",SUMIFS('Monthly NSE Equity Options'!$L:$L,'Monthly NSE Equity Options'!$A:$A,$A149))</f>
        <v/>
      </c>
      <c r="U149" s="9">
        <f>IF(SUMIFS('Monthly BSE Equity Options'!$L:$L,'Monthly BSE Equity Options'!$A:$A,$A149)=0,"",SUMIFS('Monthly BSE Equity Options'!$L:$L,'Monthly BSE Equity Options'!$A:$A,$A149))</f>
        <v/>
      </c>
      <c r="V149" s="9">
        <f>IF(OR(T149="",U149=""),"",T149+U149)</f>
        <v/>
      </c>
      <c r="W149" s="25">
        <f>IF(V149="","",T149/V149)</f>
        <v/>
      </c>
      <c r="X149" s="25">
        <f>IF(V149="","",U149/V149)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19">
        <f>IF(F150="","",D150/F150)</f>
        <v/>
      </c>
      <c r="H150" s="19">
        <f>IF(F150="","",E150/F150)</f>
        <v/>
      </c>
      <c r="I150" s="26">
        <f>IF(OR(D150="",D138=""),"",D150/D138-1)</f>
        <v/>
      </c>
      <c r="J150" s="19">
        <f>IF(OR(E150="",E138=""),"",E150/E138-1)</f>
        <v/>
      </c>
      <c r="K150" s="19">
        <f>IF(OR(F150="",F138=""),"",F150/F138-1)</f>
        <v/>
      </c>
      <c r="L150" s="19">
        <f>IF(OR(D150="",D149=""),"",D150/D149-1)</f>
        <v/>
      </c>
      <c r="M150" s="19">
        <f>IF(OR(E150="",E149=""),"",E150/E149-1)</f>
        <v/>
      </c>
      <c r="N150" s="19">
        <f>IF(OR(F150="",F149=""),"",F150/F149-1)</f>
        <v/>
      </c>
      <c r="O150" s="22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IF(Q150="","",O150/Q150)</f>
        <v/>
      </c>
      <c r="S150" s="23">
        <f>IF(Q150="","",P150/Q150)</f>
        <v/>
      </c>
      <c r="T150" s="24">
        <f>IF(SUMIFS('Monthly NSE Equity Options'!$L:$L,'Monthly NSE Equity Options'!$A:$A,$A150)=0,"",SUMIFS('Monthly NSE Equity Options'!$L:$L,'Monthly NSE Equity Options'!$A:$A,$A150))</f>
        <v/>
      </c>
      <c r="U150" s="9">
        <f>IF(SUMIFS('Monthly BSE Equity Options'!$L:$L,'Monthly BSE Equity Options'!$A:$A,$A150)=0,"",SUMIFS('Monthly BSE Equity Options'!$L:$L,'Monthly BSE Equity Options'!$A:$A,$A150))</f>
        <v/>
      </c>
      <c r="V150" s="9">
        <f>IF(OR(T150="",U150=""),"",T150+U150)</f>
        <v/>
      </c>
      <c r="W150" s="25">
        <f>IF(V150="","",T150/V150)</f>
        <v/>
      </c>
      <c r="X150" s="25">
        <f>IF(V150="","",U150/V150)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19">
        <f>IF(F151="","",D151/F151)</f>
        <v/>
      </c>
      <c r="H151" s="19">
        <f>IF(F151="","",E151/F151)</f>
        <v/>
      </c>
      <c r="I151" s="26">
        <f>IF(OR(D151="",D139=""),"",D151/D139-1)</f>
        <v/>
      </c>
      <c r="J151" s="19">
        <f>IF(OR(E151="",E139=""),"",E151/E139-1)</f>
        <v/>
      </c>
      <c r="K151" s="19">
        <f>IF(OR(F151="",F139=""),"",F151/F139-1)</f>
        <v/>
      </c>
      <c r="L151" s="19">
        <f>IF(OR(D151="",D150=""),"",D151/D150-1)</f>
        <v/>
      </c>
      <c r="M151" s="19">
        <f>IF(OR(E151="",E150=""),"",E151/E150-1)</f>
        <v/>
      </c>
      <c r="N151" s="19">
        <f>IF(OR(F151="",F150=""),"",F151/F150-1)</f>
        <v/>
      </c>
      <c r="O151" s="22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IF(Q151="","",O151/Q151)</f>
        <v/>
      </c>
      <c r="S151" s="23">
        <f>IF(Q151="","",P151/Q151)</f>
        <v/>
      </c>
      <c r="T151" s="24">
        <f>IF(SUMIFS('Monthly NSE Equity Options'!$L:$L,'Monthly NSE Equity Options'!$A:$A,$A151)=0,"",SUMIFS('Monthly NSE Equity Options'!$L:$L,'Monthly NSE Equity Options'!$A:$A,$A151))</f>
        <v/>
      </c>
      <c r="U151" s="9">
        <f>IF(SUMIFS('Monthly BSE Equity Options'!$L:$L,'Monthly BSE Equity Options'!$A:$A,$A151)=0,"",SUMIFS('Monthly BSE Equity Options'!$L:$L,'Monthly BSE Equity Options'!$A:$A,$A151))</f>
        <v/>
      </c>
      <c r="V151" s="9">
        <f>IF(OR(T151="",U151=""),"",T151+U151)</f>
        <v/>
      </c>
      <c r="W151" s="25">
        <f>IF(V151="","",T151/V151)</f>
        <v/>
      </c>
      <c r="X151" s="25">
        <f>IF(V151="","",U151/V151)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19">
        <f>IF(F152="","",D152/F152)</f>
        <v/>
      </c>
      <c r="H152" s="19">
        <f>IF(F152="","",E152/F152)</f>
        <v/>
      </c>
      <c r="I152" s="26">
        <f>IF(OR(D152="",D140=""),"",D152/D140-1)</f>
        <v/>
      </c>
      <c r="J152" s="19">
        <f>IF(OR(E152="",E140=""),"",E152/E140-1)</f>
        <v/>
      </c>
      <c r="K152" s="19">
        <f>IF(OR(F152="",F140=""),"",F152/F140-1)</f>
        <v/>
      </c>
      <c r="L152" s="19">
        <f>IF(OR(D152="",D151=""),"",D152/D151-1)</f>
        <v/>
      </c>
      <c r="M152" s="19">
        <f>IF(OR(E152="",E151=""),"",E152/E151-1)</f>
        <v/>
      </c>
      <c r="N152" s="19">
        <f>IF(OR(F152="",F151=""),"",F152/F151-1)</f>
        <v/>
      </c>
      <c r="O152" s="22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IF(Q152="","",O152/Q152)</f>
        <v/>
      </c>
      <c r="S152" s="23">
        <f>IF(Q152="","",P152/Q152)</f>
        <v/>
      </c>
      <c r="T152" s="24">
        <f>IF(SUMIFS('Monthly NSE Equity Options'!$L:$L,'Monthly NSE Equity Options'!$A:$A,$A152)=0,"",SUMIFS('Monthly NSE Equity Options'!$L:$L,'Monthly NSE Equity Options'!$A:$A,$A152))</f>
        <v/>
      </c>
      <c r="U152" s="9">
        <f>IF(SUMIFS('Monthly BSE Equity Options'!$L:$L,'Monthly BSE Equity Options'!$A:$A,$A152)=0,"",SUMIFS('Monthly BSE Equity Options'!$L:$L,'Monthly BSE Equity Options'!$A:$A,$A152))</f>
        <v/>
      </c>
      <c r="V152" s="9">
        <f>IF(OR(T152="",U152=""),"",T152+U152)</f>
        <v/>
      </c>
      <c r="W152" s="25">
        <f>IF(V152="","",T152/V152)</f>
        <v/>
      </c>
      <c r="X152" s="25">
        <f>IF(V152="","",U152/V152)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19">
        <f>IF(F153="","",D153/F153)</f>
        <v/>
      </c>
      <c r="H153" s="19">
        <f>IF(F153="","",E153/F153)</f>
        <v/>
      </c>
      <c r="I153" s="26">
        <f>IF(OR(D153="",D141=""),"",D153/D141-1)</f>
        <v/>
      </c>
      <c r="J153" s="19">
        <f>IF(OR(E153="",E141=""),"",E153/E141-1)</f>
        <v/>
      </c>
      <c r="K153" s="19">
        <f>IF(OR(F153="",F141=""),"",F153/F141-1)</f>
        <v/>
      </c>
      <c r="L153" s="19">
        <f>IF(OR(D153="",D152=""),"",D153/D152-1)</f>
        <v/>
      </c>
      <c r="M153" s="19">
        <f>IF(OR(E153="",E152=""),"",E153/E152-1)</f>
        <v/>
      </c>
      <c r="N153" s="19">
        <f>IF(OR(F153="",F152=""),"",F153/F152-1)</f>
        <v/>
      </c>
      <c r="O153" s="22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IF(Q153="","",O153/Q153)</f>
        <v/>
      </c>
      <c r="S153" s="23">
        <f>IF(Q153="","",P153/Q153)</f>
        <v/>
      </c>
      <c r="T153" s="24">
        <f>IF(SUMIFS('Monthly NSE Equity Options'!$L:$L,'Monthly NSE Equity Options'!$A:$A,$A153)=0,"",SUMIFS('Monthly NSE Equity Options'!$L:$L,'Monthly NSE Equity Options'!$A:$A,$A153))</f>
        <v/>
      </c>
      <c r="U153" s="9">
        <f>IF(SUMIFS('Monthly BSE Equity Options'!$L:$L,'Monthly BSE Equity Options'!$A:$A,$A153)=0,"",SUMIFS('Monthly BSE Equity Options'!$L:$L,'Monthly BSE Equity Options'!$A:$A,$A153))</f>
        <v/>
      </c>
      <c r="V153" s="9">
        <f>IF(OR(T153="",U153=""),"",T153+U153)</f>
        <v/>
      </c>
      <c r="W153" s="25">
        <f>IF(V153="","",T153/V153)</f>
        <v/>
      </c>
      <c r="X153" s="25">
        <f>IF(V153="","",U153/V153)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19">
        <f>IF(F154="","",D154/F154)</f>
        <v/>
      </c>
      <c r="H154" s="19">
        <f>IF(F154="","",E154/F154)</f>
        <v/>
      </c>
      <c r="I154" s="26">
        <f>IF(OR(D154="",D142=""),"",D154/D142-1)</f>
        <v/>
      </c>
      <c r="J154" s="19">
        <f>IF(OR(E154="",E142=""),"",E154/E142-1)</f>
        <v/>
      </c>
      <c r="K154" s="19">
        <f>IF(OR(F154="",F142=""),"",F154/F142-1)</f>
        <v/>
      </c>
      <c r="L154" s="19">
        <f>IF(OR(D154="",D153=""),"",D154/D153-1)</f>
        <v/>
      </c>
      <c r="M154" s="19">
        <f>IF(OR(E154="",E153=""),"",E154/E153-1)</f>
        <v/>
      </c>
      <c r="N154" s="19">
        <f>IF(OR(F154="",F153=""),"",F154/F153-1)</f>
        <v/>
      </c>
      <c r="O154" s="22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IF(Q154="","",O154/Q154)</f>
        <v/>
      </c>
      <c r="S154" s="23">
        <f>IF(Q154="","",P154/Q154)</f>
        <v/>
      </c>
      <c r="T154" s="24">
        <f>IF(SUMIFS('Monthly NSE Equity Options'!$L:$L,'Monthly NSE Equity Options'!$A:$A,$A154)=0,"",SUMIFS('Monthly NSE Equity Options'!$L:$L,'Monthly NSE Equity Options'!$A:$A,$A154))</f>
        <v/>
      </c>
      <c r="U154" s="9">
        <f>IF(SUMIFS('Monthly BSE Equity Options'!$L:$L,'Monthly BSE Equity Options'!$A:$A,$A154)=0,"",SUMIFS('Monthly BSE Equity Options'!$L:$L,'Monthly BSE Equity Options'!$A:$A,$A154))</f>
        <v/>
      </c>
      <c r="V154" s="9">
        <f>IF(OR(T154="",U154=""),"",T154+U154)</f>
        <v/>
      </c>
      <c r="W154" s="25">
        <f>IF(V154="","",T154/V154)</f>
        <v/>
      </c>
      <c r="X154" s="25">
        <f>IF(V154="","",U154/V154)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19">
        <f>IF(F155="","",D155/F155)</f>
        <v/>
      </c>
      <c r="H155" s="19">
        <f>IF(F155="","",E155/F155)</f>
        <v/>
      </c>
      <c r="I155" s="26">
        <f>IF(OR(D155="",D143=""),"",D155/D143-1)</f>
        <v/>
      </c>
      <c r="J155" s="19">
        <f>IF(OR(E155="",E143=""),"",E155/E143-1)</f>
        <v/>
      </c>
      <c r="K155" s="19">
        <f>IF(OR(F155="",F143=""),"",F155/F143-1)</f>
        <v/>
      </c>
      <c r="L155" s="19">
        <f>IF(OR(D155="",D154=""),"",D155/D154-1)</f>
        <v/>
      </c>
      <c r="M155" s="19">
        <f>IF(OR(E155="",E154=""),"",E155/E154-1)</f>
        <v/>
      </c>
      <c r="N155" s="19">
        <f>IF(OR(F155="",F154=""),"",F155/F154-1)</f>
        <v/>
      </c>
      <c r="O155" s="22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IF(Q155="","",O155/Q155)</f>
        <v/>
      </c>
      <c r="S155" s="23">
        <f>IF(Q155="","",P155/Q155)</f>
        <v/>
      </c>
      <c r="T155" s="24">
        <f>IF(SUMIFS('Monthly NSE Equity Options'!$L:$L,'Monthly NSE Equity Options'!$A:$A,$A155)=0,"",SUMIFS('Monthly NSE Equity Options'!$L:$L,'Monthly NSE Equity Options'!$A:$A,$A155))</f>
        <v/>
      </c>
      <c r="U155" s="9">
        <f>IF(SUMIFS('Monthly BSE Equity Options'!$L:$L,'Monthly BSE Equity Options'!$A:$A,$A155)=0,"",SUMIFS('Monthly BSE Equity Options'!$L:$L,'Monthly BSE Equity Options'!$A:$A,$A155))</f>
        <v/>
      </c>
      <c r="V155" s="9">
        <f>IF(OR(T155="",U155=""),"",T155+U155)</f>
        <v/>
      </c>
      <c r="W155" s="25">
        <f>IF(V155="","",T155/V155)</f>
        <v/>
      </c>
      <c r="X155" s="25">
        <f>IF(V155="","",U155/V155)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19">
        <f>IF(F156="","",D156/F156)</f>
        <v/>
      </c>
      <c r="H156" s="19">
        <f>IF(F156="","",E156/F156)</f>
        <v/>
      </c>
      <c r="I156" s="26">
        <f>IF(OR(D156="",D144=""),"",D156/D144-1)</f>
        <v/>
      </c>
      <c r="J156" s="19">
        <f>IF(OR(E156="",E144=""),"",E156/E144-1)</f>
        <v/>
      </c>
      <c r="K156" s="19">
        <f>IF(OR(F156="",F144=""),"",F156/F144-1)</f>
        <v/>
      </c>
      <c r="L156" s="19">
        <f>IF(OR(D156="",D155=""),"",D156/D155-1)</f>
        <v/>
      </c>
      <c r="M156" s="19">
        <f>IF(OR(E156="",E155=""),"",E156/E155-1)</f>
        <v/>
      </c>
      <c r="N156" s="19">
        <f>IF(OR(F156="",F155=""),"",F156/F155-1)</f>
        <v/>
      </c>
      <c r="O156" s="22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IF(Q156="","",O156/Q156)</f>
        <v/>
      </c>
      <c r="S156" s="23">
        <f>IF(Q156="","",P156/Q156)</f>
        <v/>
      </c>
      <c r="T156" s="24">
        <f>IF(SUMIFS('Monthly NSE Equity Options'!$L:$L,'Monthly NSE Equity Options'!$A:$A,$A156)=0,"",SUMIFS('Monthly NSE Equity Options'!$L:$L,'Monthly NSE Equity Options'!$A:$A,$A156))</f>
        <v/>
      </c>
      <c r="U156" s="9">
        <f>IF(SUMIFS('Monthly BSE Equity Options'!$L:$L,'Monthly BSE Equity Options'!$A:$A,$A156)=0,"",SUMIFS('Monthly BSE Equity Options'!$L:$L,'Monthly BSE Equity Options'!$A:$A,$A156))</f>
        <v/>
      </c>
      <c r="V156" s="9">
        <f>IF(OR(T156="",U156=""),"",T156+U156)</f>
        <v/>
      </c>
      <c r="W156" s="25">
        <f>IF(V156="","",T156/V156)</f>
        <v/>
      </c>
      <c r="X156" s="25">
        <f>IF(V156="","",U156/V156)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19">
        <f>IF(F157="","",D157/F157)</f>
        <v/>
      </c>
      <c r="H157" s="19">
        <f>IF(F157="","",E157/F157)</f>
        <v/>
      </c>
      <c r="I157" s="26">
        <f>IF(OR(D157="",D145=""),"",D157/D145-1)</f>
        <v/>
      </c>
      <c r="J157" s="19">
        <f>IF(OR(E157="",E145=""),"",E157/E145-1)</f>
        <v/>
      </c>
      <c r="K157" s="19">
        <f>IF(OR(F157="",F145=""),"",F157/F145-1)</f>
        <v/>
      </c>
      <c r="L157" s="19">
        <f>IF(OR(D157="",D156=""),"",D157/D156-1)</f>
        <v/>
      </c>
      <c r="M157" s="19">
        <f>IF(OR(E157="",E156=""),"",E157/E156-1)</f>
        <v/>
      </c>
      <c r="N157" s="19">
        <f>IF(OR(F157="",F156=""),"",F157/F156-1)</f>
        <v/>
      </c>
      <c r="O157" s="22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IF(Q157="","",O157/Q157)</f>
        <v/>
      </c>
      <c r="S157" s="23">
        <f>IF(Q157="","",P157/Q157)</f>
        <v/>
      </c>
      <c r="T157" s="24">
        <f>IF(SUMIFS('Monthly NSE Equity Options'!$L:$L,'Monthly NSE Equity Options'!$A:$A,$A157)=0,"",SUMIFS('Monthly NSE Equity Options'!$L:$L,'Monthly NSE Equity Options'!$A:$A,$A157))</f>
        <v/>
      </c>
      <c r="U157" s="9">
        <f>IF(SUMIFS('Monthly BSE Equity Options'!$L:$L,'Monthly BSE Equity Options'!$A:$A,$A157)=0,"",SUMIFS('Monthly BSE Equity Options'!$L:$L,'Monthly BSE Equity Options'!$A:$A,$A157))</f>
        <v/>
      </c>
      <c r="V157" s="9">
        <f>IF(OR(T157="",U157=""),"",T157+U157)</f>
        <v/>
      </c>
      <c r="W157" s="25">
        <f>IF(V157="","",T157/V157)</f>
        <v/>
      </c>
      <c r="X157" s="25">
        <f>IF(V157="","",U157/V157)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19">
        <f>IF(F158="","",D158/F158)</f>
        <v/>
      </c>
      <c r="H158" s="19">
        <f>IF(F158="","",E158/F158)</f>
        <v/>
      </c>
      <c r="I158" s="26">
        <f>IF(OR(D158="",D146=""),"",D158/D146-1)</f>
        <v/>
      </c>
      <c r="J158" s="19">
        <f>IF(OR(E158="",E146=""),"",E158/E146-1)</f>
        <v/>
      </c>
      <c r="K158" s="19">
        <f>IF(OR(F158="",F146=""),"",F158/F146-1)</f>
        <v/>
      </c>
      <c r="L158" s="19">
        <f>IF(OR(D158="",D157=""),"",D158/D157-1)</f>
        <v/>
      </c>
      <c r="M158" s="19">
        <f>IF(OR(E158="",E157=""),"",E158/E157-1)</f>
        <v/>
      </c>
      <c r="N158" s="19">
        <f>IF(OR(F158="",F157=""),"",F158/F157-1)</f>
        <v/>
      </c>
      <c r="O158" s="22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IF(Q158="","",O158/Q158)</f>
        <v/>
      </c>
      <c r="S158" s="23">
        <f>IF(Q158="","",P158/Q158)</f>
        <v/>
      </c>
      <c r="T158" s="24">
        <f>IF(SUMIFS('Monthly NSE Equity Options'!$L:$L,'Monthly NSE Equity Options'!$A:$A,$A158)=0,"",SUMIFS('Monthly NSE Equity Options'!$L:$L,'Monthly NSE Equity Options'!$A:$A,$A158))</f>
        <v/>
      </c>
      <c r="U158" s="9">
        <f>IF(SUMIFS('Monthly BSE Equity Options'!$L:$L,'Monthly BSE Equity Options'!$A:$A,$A158)=0,"",SUMIFS('Monthly BSE Equity Options'!$L:$L,'Monthly BSE Equity Options'!$A:$A,$A158))</f>
        <v/>
      </c>
      <c r="V158" s="9">
        <f>IF(OR(T158="",U158=""),"",T158+U158)</f>
        <v/>
      </c>
      <c r="W158" s="25">
        <f>IF(V158="","",T158/V158)</f>
        <v/>
      </c>
      <c r="X158" s="25">
        <f>IF(V158="","",U158/V158)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19">
        <f>IF(F159="","",D159/F159)</f>
        <v/>
      </c>
      <c r="H159" s="19">
        <f>IF(F159="","",E159/F159)</f>
        <v/>
      </c>
      <c r="I159" s="26">
        <f>IF(OR(D159="",D147=""),"",D159/D147-1)</f>
        <v/>
      </c>
      <c r="J159" s="19">
        <f>IF(OR(E159="",E147=""),"",E159/E147-1)</f>
        <v/>
      </c>
      <c r="K159" s="19">
        <f>IF(OR(F159="",F147=""),"",F159/F147-1)</f>
        <v/>
      </c>
      <c r="L159" s="19">
        <f>IF(OR(D159="",D158=""),"",D159/D158-1)</f>
        <v/>
      </c>
      <c r="M159" s="19">
        <f>IF(OR(E159="",E158=""),"",E159/E158-1)</f>
        <v/>
      </c>
      <c r="N159" s="19">
        <f>IF(OR(F159="",F158=""),"",F159/F158-1)</f>
        <v/>
      </c>
      <c r="O159" s="22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IF(Q159="","",O159/Q159)</f>
        <v/>
      </c>
      <c r="S159" s="23">
        <f>IF(Q159="","",P159/Q159)</f>
        <v/>
      </c>
      <c r="T159" s="24">
        <f>IF(SUMIFS('Monthly NSE Equity Options'!$L:$L,'Monthly NSE Equity Options'!$A:$A,$A159)=0,"",SUMIFS('Monthly NSE Equity Options'!$L:$L,'Monthly NSE Equity Options'!$A:$A,$A159))</f>
        <v/>
      </c>
      <c r="U159" s="9">
        <f>IF(SUMIFS('Monthly BSE Equity Options'!$L:$L,'Monthly BSE Equity Options'!$A:$A,$A159)=0,"",SUMIFS('Monthly BSE Equity Options'!$L:$L,'Monthly BSE Equity Options'!$A:$A,$A159))</f>
        <v/>
      </c>
      <c r="V159" s="9">
        <f>IF(OR(T159="",U159=""),"",T159+U159)</f>
        <v/>
      </c>
      <c r="W159" s="25">
        <f>IF(V159="","",T159/V159)</f>
        <v/>
      </c>
      <c r="X159" s="25">
        <f>IF(V159="","",U159/V159)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19">
        <f>IF(F160="","",D160/F160)</f>
        <v/>
      </c>
      <c r="H160" s="19">
        <f>IF(F160="","",E160/F160)</f>
        <v/>
      </c>
      <c r="I160" s="26">
        <f>IF(OR(D160="",D148=""),"",D160/D148-1)</f>
        <v/>
      </c>
      <c r="J160" s="19">
        <f>IF(OR(E160="",E148=""),"",E160/E148-1)</f>
        <v/>
      </c>
      <c r="K160" s="19">
        <f>IF(OR(F160="",F148=""),"",F160/F148-1)</f>
        <v/>
      </c>
      <c r="L160" s="19">
        <f>IF(OR(D160="",D159=""),"",D160/D159-1)</f>
        <v/>
      </c>
      <c r="M160" s="19">
        <f>IF(OR(E160="",E159=""),"",E160/E159-1)</f>
        <v/>
      </c>
      <c r="N160" s="19">
        <f>IF(OR(F160="",F159=""),"",F160/F159-1)</f>
        <v/>
      </c>
      <c r="O160" s="22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IF(Q160="","",O160/Q160)</f>
        <v/>
      </c>
      <c r="S160" s="23">
        <f>IF(Q160="","",P160/Q160)</f>
        <v/>
      </c>
      <c r="T160" s="24">
        <f>IF(SUMIFS('Monthly NSE Equity Options'!$L:$L,'Monthly NSE Equity Options'!$A:$A,$A160)=0,"",SUMIFS('Monthly NSE Equity Options'!$L:$L,'Monthly NSE Equity Options'!$A:$A,$A160))</f>
        <v/>
      </c>
      <c r="U160" s="9">
        <f>IF(SUMIFS('Monthly BSE Equity Options'!$L:$L,'Monthly BSE Equity Options'!$A:$A,$A160)=0,"",SUMIFS('Monthly BSE Equity Options'!$L:$L,'Monthly BSE Equity Options'!$A:$A,$A160))</f>
        <v/>
      </c>
      <c r="V160" s="9">
        <f>IF(OR(T160="",U160=""),"",T160+U160)</f>
        <v/>
      </c>
      <c r="W160" s="25">
        <f>IF(V160="","",T160/V160)</f>
        <v/>
      </c>
      <c r="X160" s="25">
        <f>IF(V160="","",U160/V160)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19">
        <f>IF(F161="","",D161/F161)</f>
        <v/>
      </c>
      <c r="H161" s="19">
        <f>IF(F161="","",E161/F161)</f>
        <v/>
      </c>
      <c r="I161" s="26">
        <f>IF(OR(D161="",D149=""),"",D161/D149-1)</f>
        <v/>
      </c>
      <c r="J161" s="19">
        <f>IF(OR(E161="",E149=""),"",E161/E149-1)</f>
        <v/>
      </c>
      <c r="K161" s="19">
        <f>IF(OR(F161="",F149=""),"",F161/F149-1)</f>
        <v/>
      </c>
      <c r="L161" s="19">
        <f>IF(OR(D161="",D160=""),"",D161/D160-1)</f>
        <v/>
      </c>
      <c r="M161" s="19">
        <f>IF(OR(E161="",E160=""),"",E161/E160-1)</f>
        <v/>
      </c>
      <c r="N161" s="19">
        <f>IF(OR(F161="",F160=""),"",F161/F160-1)</f>
        <v/>
      </c>
      <c r="O161" s="22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IF(Q161="","",O161/Q161)</f>
        <v/>
      </c>
      <c r="S161" s="23">
        <f>IF(Q161="","",P161/Q161)</f>
        <v/>
      </c>
      <c r="T161" s="24">
        <f>IF(SUMIFS('Monthly NSE Equity Options'!$L:$L,'Monthly NSE Equity Options'!$A:$A,$A161)=0,"",SUMIFS('Monthly NSE Equity Options'!$L:$L,'Monthly NSE Equity Options'!$A:$A,$A161))</f>
        <v/>
      </c>
      <c r="U161" s="9">
        <f>IF(SUMIFS('Monthly BSE Equity Options'!$L:$L,'Monthly BSE Equity Options'!$A:$A,$A161)=0,"",SUMIFS('Monthly BSE Equity Options'!$L:$L,'Monthly BSE Equity Options'!$A:$A,$A161))</f>
        <v/>
      </c>
      <c r="V161" s="9">
        <f>IF(OR(T161="",U161=""),"",T161+U161)</f>
        <v/>
      </c>
      <c r="W161" s="25">
        <f>IF(V161="","",T161/V161)</f>
        <v/>
      </c>
      <c r="X161" s="25">
        <f>IF(V161="","",U161/V161)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19">
        <f>IF(F162="","",D162/F162)</f>
        <v/>
      </c>
      <c r="H162" s="19">
        <f>IF(F162="","",E162/F162)</f>
        <v/>
      </c>
      <c r="I162" s="26">
        <f>IF(OR(D162="",D150=""),"",D162/D150-1)</f>
        <v/>
      </c>
      <c r="J162" s="19">
        <f>IF(OR(E162="",E150=""),"",E162/E150-1)</f>
        <v/>
      </c>
      <c r="K162" s="19">
        <f>IF(OR(F162="",F150=""),"",F162/F150-1)</f>
        <v/>
      </c>
      <c r="L162" s="19">
        <f>IF(OR(D162="",D161=""),"",D162/D161-1)</f>
        <v/>
      </c>
      <c r="M162" s="19">
        <f>IF(OR(E162="",E161=""),"",E162/E161-1)</f>
        <v/>
      </c>
      <c r="N162" s="19">
        <f>IF(OR(F162="",F161=""),"",F162/F161-1)</f>
        <v/>
      </c>
      <c r="O162" s="22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IF(Q162="","",O162/Q162)</f>
        <v/>
      </c>
      <c r="S162" s="23">
        <f>IF(Q162="","",P162/Q162)</f>
        <v/>
      </c>
      <c r="T162" s="24">
        <f>IF(SUMIFS('Monthly NSE Equity Options'!$L:$L,'Monthly NSE Equity Options'!$A:$A,$A162)=0,"",SUMIFS('Monthly NSE Equity Options'!$L:$L,'Monthly NSE Equity Options'!$A:$A,$A162))</f>
        <v/>
      </c>
      <c r="U162" s="9">
        <f>IF(SUMIFS('Monthly BSE Equity Options'!$L:$L,'Monthly BSE Equity Options'!$A:$A,$A162)=0,"",SUMIFS('Monthly BSE Equity Options'!$L:$L,'Monthly BSE Equity Options'!$A:$A,$A162))</f>
        <v/>
      </c>
      <c r="V162" s="9">
        <f>IF(OR(T162="",U162=""),"",T162+U162)</f>
        <v/>
      </c>
      <c r="W162" s="25">
        <f>IF(V162="","",T162/V162)</f>
        <v/>
      </c>
      <c r="X162" s="25">
        <f>IF(V162="","",U162/V162)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19">
        <f>IF(F163="","",D163/F163)</f>
        <v/>
      </c>
      <c r="H163" s="19">
        <f>IF(F163="","",E163/F163)</f>
        <v/>
      </c>
      <c r="I163" s="26">
        <f>IF(OR(D163="",D151=""),"",D163/D151-1)</f>
        <v/>
      </c>
      <c r="J163" s="19">
        <f>IF(OR(E163="",E151=""),"",E163/E151-1)</f>
        <v/>
      </c>
      <c r="K163" s="19">
        <f>IF(OR(F163="",F151=""),"",F163/F151-1)</f>
        <v/>
      </c>
      <c r="L163" s="19">
        <f>IF(OR(D163="",D162=""),"",D163/D162-1)</f>
        <v/>
      </c>
      <c r="M163" s="19">
        <f>IF(OR(E163="",E162=""),"",E163/E162-1)</f>
        <v/>
      </c>
      <c r="N163" s="19">
        <f>IF(OR(F163="",F162=""),"",F163/F162-1)</f>
        <v/>
      </c>
      <c r="O163" s="22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IF(Q163="","",O163/Q163)</f>
        <v/>
      </c>
      <c r="S163" s="23">
        <f>IF(Q163="","",P163/Q163)</f>
        <v/>
      </c>
      <c r="T163" s="24">
        <f>IF(SUMIFS('Monthly NSE Equity Options'!$L:$L,'Monthly NSE Equity Options'!$A:$A,$A163)=0,"",SUMIFS('Monthly NSE Equity Options'!$L:$L,'Monthly NSE Equity Options'!$A:$A,$A163))</f>
        <v/>
      </c>
      <c r="U163" s="9">
        <f>IF(SUMIFS('Monthly BSE Equity Options'!$L:$L,'Monthly BSE Equity Options'!$A:$A,$A163)=0,"",SUMIFS('Monthly BSE Equity Options'!$L:$L,'Monthly BSE Equity Options'!$A:$A,$A163))</f>
        <v/>
      </c>
      <c r="V163" s="9">
        <f>IF(OR(T163="",U163=""),"",T163+U163)</f>
        <v/>
      </c>
      <c r="W163" s="25">
        <f>IF(V163="","",T163/V163)</f>
        <v/>
      </c>
      <c r="X163" s="25">
        <f>IF(V163="","",U163/V163)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19">
        <f>IF(F164="","",D164/F164)</f>
        <v/>
      </c>
      <c r="H164" s="19">
        <f>IF(F164="","",E164/F164)</f>
        <v/>
      </c>
      <c r="I164" s="26">
        <f>IF(OR(D164="",D152=""),"",D164/D152-1)</f>
        <v/>
      </c>
      <c r="J164" s="19">
        <f>IF(OR(E164="",E152=""),"",E164/E152-1)</f>
        <v/>
      </c>
      <c r="K164" s="19">
        <f>IF(OR(F164="",F152=""),"",F164/F152-1)</f>
        <v/>
      </c>
      <c r="L164" s="19">
        <f>IF(OR(D164="",D163=""),"",D164/D163-1)</f>
        <v/>
      </c>
      <c r="M164" s="19">
        <f>IF(OR(E164="",E163=""),"",E164/E163-1)</f>
        <v/>
      </c>
      <c r="N164" s="19">
        <f>IF(OR(F164="",F163=""),"",F164/F163-1)</f>
        <v/>
      </c>
      <c r="O164" s="22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IF(Q164="","",O164/Q164)</f>
        <v/>
      </c>
      <c r="S164" s="23">
        <f>IF(Q164="","",P164/Q164)</f>
        <v/>
      </c>
      <c r="T164" s="24">
        <f>IF(SUMIFS('Monthly NSE Equity Options'!$L:$L,'Monthly NSE Equity Options'!$A:$A,$A164)=0,"",SUMIFS('Monthly NSE Equity Options'!$L:$L,'Monthly NSE Equity Options'!$A:$A,$A164))</f>
        <v/>
      </c>
      <c r="U164" s="9">
        <f>IF(SUMIFS('Monthly BSE Equity Options'!$L:$L,'Monthly BSE Equity Options'!$A:$A,$A164)=0,"",SUMIFS('Monthly BSE Equity Options'!$L:$L,'Monthly BSE Equity Options'!$A:$A,$A164))</f>
        <v/>
      </c>
      <c r="V164" s="9">
        <f>IF(OR(T164="",U164=""),"",T164+U164)</f>
        <v/>
      </c>
      <c r="W164" s="25">
        <f>IF(V164="","",T164/V164)</f>
        <v/>
      </c>
      <c r="X164" s="25">
        <f>IF(V164="","",U164/V164)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19">
        <f>IF(F165="","",D165/F165)</f>
        <v/>
      </c>
      <c r="H165" s="19">
        <f>IF(F165="","",E165/F165)</f>
        <v/>
      </c>
      <c r="I165" s="26">
        <f>IF(OR(D165="",D153=""),"",D165/D153-1)</f>
        <v/>
      </c>
      <c r="J165" s="19">
        <f>IF(OR(E165="",E153=""),"",E165/E153-1)</f>
        <v/>
      </c>
      <c r="K165" s="19">
        <f>IF(OR(F165="",F153=""),"",F165/F153-1)</f>
        <v/>
      </c>
      <c r="L165" s="19">
        <f>IF(OR(D165="",D164=""),"",D165/D164-1)</f>
        <v/>
      </c>
      <c r="M165" s="19">
        <f>IF(OR(E165="",E164=""),"",E165/E164-1)</f>
        <v/>
      </c>
      <c r="N165" s="19">
        <f>IF(OR(F165="",F164=""),"",F165/F164-1)</f>
        <v/>
      </c>
      <c r="O165" s="22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IF(Q165="","",O165/Q165)</f>
        <v/>
      </c>
      <c r="S165" s="23">
        <f>IF(Q165="","",P165/Q165)</f>
        <v/>
      </c>
      <c r="T165" s="24">
        <f>IF(SUMIFS('Monthly NSE Equity Options'!$L:$L,'Monthly NSE Equity Options'!$A:$A,$A165)=0,"",SUMIFS('Monthly NSE Equity Options'!$L:$L,'Monthly NSE Equity Options'!$A:$A,$A165))</f>
        <v/>
      </c>
      <c r="U165" s="9">
        <f>IF(SUMIFS('Monthly BSE Equity Options'!$L:$L,'Monthly BSE Equity Options'!$A:$A,$A165)=0,"",SUMIFS('Monthly BSE Equity Options'!$L:$L,'Monthly BSE Equity Options'!$A:$A,$A165))</f>
        <v/>
      </c>
      <c r="V165" s="9">
        <f>IF(OR(T165="",U165=""),"",T165+U165)</f>
        <v/>
      </c>
      <c r="W165" s="25">
        <f>IF(V165="","",T165/V165)</f>
        <v/>
      </c>
      <c r="X165" s="25">
        <f>IF(V165="","",U165/V165)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19">
        <f>IF(F166="","",D166/F166)</f>
        <v/>
      </c>
      <c r="H166" s="19">
        <f>IF(F166="","",E166/F166)</f>
        <v/>
      </c>
      <c r="I166" s="26">
        <f>IF(OR(D166="",D154=""),"",D166/D154-1)</f>
        <v/>
      </c>
      <c r="J166" s="19">
        <f>IF(OR(E166="",E154=""),"",E166/E154-1)</f>
        <v/>
      </c>
      <c r="K166" s="19">
        <f>IF(OR(F166="",F154=""),"",F166/F154-1)</f>
        <v/>
      </c>
      <c r="L166" s="19">
        <f>IF(OR(D166="",D165=""),"",D166/D165-1)</f>
        <v/>
      </c>
      <c r="M166" s="19">
        <f>IF(OR(E166="",E165=""),"",E166/E165-1)</f>
        <v/>
      </c>
      <c r="N166" s="19">
        <f>IF(OR(F166="",F165=""),"",F166/F165-1)</f>
        <v/>
      </c>
      <c r="O166" s="22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IF(Q166="","",O166/Q166)</f>
        <v/>
      </c>
      <c r="S166" s="23">
        <f>IF(Q166="","",P166/Q166)</f>
        <v/>
      </c>
      <c r="T166" s="24">
        <f>IF(SUMIFS('Monthly NSE Equity Options'!$L:$L,'Monthly NSE Equity Options'!$A:$A,$A166)=0,"",SUMIFS('Monthly NSE Equity Options'!$L:$L,'Monthly NSE Equity Options'!$A:$A,$A166))</f>
        <v/>
      </c>
      <c r="U166" s="9">
        <f>IF(SUMIFS('Monthly BSE Equity Options'!$L:$L,'Monthly BSE Equity Options'!$A:$A,$A166)=0,"",SUMIFS('Monthly BSE Equity Options'!$L:$L,'Monthly BSE Equity Options'!$A:$A,$A166))</f>
        <v/>
      </c>
      <c r="V166" s="9">
        <f>IF(OR(T166="",U166=""),"",T166+U166)</f>
        <v/>
      </c>
      <c r="W166" s="25">
        <f>IF(V166="","",T166/V166)</f>
        <v/>
      </c>
      <c r="X166" s="25">
        <f>IF(V166="","",U166/V166)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19">
        <f>IF(F167="","",D167/F167)</f>
        <v/>
      </c>
      <c r="H167" s="19">
        <f>IF(F167="","",E167/F167)</f>
        <v/>
      </c>
      <c r="I167" s="26">
        <f>IF(OR(D167="",D155=""),"",D167/D155-1)</f>
        <v/>
      </c>
      <c r="J167" s="19">
        <f>IF(OR(E167="",E155=""),"",E167/E155-1)</f>
        <v/>
      </c>
      <c r="K167" s="19">
        <f>IF(OR(F167="",F155=""),"",F167/F155-1)</f>
        <v/>
      </c>
      <c r="L167" s="19">
        <f>IF(OR(D167="",D166=""),"",D167/D166-1)</f>
        <v/>
      </c>
      <c r="M167" s="19">
        <f>IF(OR(E167="",E166=""),"",E167/E166-1)</f>
        <v/>
      </c>
      <c r="N167" s="19">
        <f>IF(OR(F167="",F166=""),"",F167/F166-1)</f>
        <v/>
      </c>
      <c r="O167" s="22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IF(Q167="","",O167/Q167)</f>
        <v/>
      </c>
      <c r="S167" s="23">
        <f>IF(Q167="","",P167/Q167)</f>
        <v/>
      </c>
      <c r="T167" s="24">
        <f>IF(SUMIFS('Monthly NSE Equity Options'!$L:$L,'Monthly NSE Equity Options'!$A:$A,$A167)=0,"",SUMIFS('Monthly NSE Equity Options'!$L:$L,'Monthly NSE Equity Options'!$A:$A,$A167))</f>
        <v/>
      </c>
      <c r="U167" s="9">
        <f>IF(SUMIFS('Monthly BSE Equity Options'!$L:$L,'Monthly BSE Equity Options'!$A:$A,$A167)=0,"",SUMIFS('Monthly BSE Equity Options'!$L:$L,'Monthly BSE Equity Options'!$A:$A,$A167))</f>
        <v/>
      </c>
      <c r="V167" s="9">
        <f>IF(OR(T167="",U167=""),"",T167+U167)</f>
        <v/>
      </c>
      <c r="W167" s="25">
        <f>IF(V167="","",T167/V167)</f>
        <v/>
      </c>
      <c r="X167" s="25">
        <f>IF(V167="","",U167/V167)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19">
        <f>IF(F168="","",D168/F168)</f>
        <v/>
      </c>
      <c r="H168" s="19">
        <f>IF(F168="","",E168/F168)</f>
        <v/>
      </c>
      <c r="I168" s="26">
        <f>IF(OR(D168="",D156=""),"",D168/D156-1)</f>
        <v/>
      </c>
      <c r="J168" s="19">
        <f>IF(OR(E168="",E156=""),"",E168/E156-1)</f>
        <v/>
      </c>
      <c r="K168" s="19">
        <f>IF(OR(F168="",F156=""),"",F168/F156-1)</f>
        <v/>
      </c>
      <c r="L168" s="19">
        <f>IF(OR(D168="",D167=""),"",D168/D167-1)</f>
        <v/>
      </c>
      <c r="M168" s="19">
        <f>IF(OR(E168="",E167=""),"",E168/E167-1)</f>
        <v/>
      </c>
      <c r="N168" s="19">
        <f>IF(OR(F168="",F167=""),"",F168/F167-1)</f>
        <v/>
      </c>
      <c r="O168" s="22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IF(Q168="","",O168/Q168)</f>
        <v/>
      </c>
      <c r="S168" s="23">
        <f>IF(Q168="","",P168/Q168)</f>
        <v/>
      </c>
      <c r="T168" s="24">
        <f>IF(SUMIFS('Monthly NSE Equity Options'!$L:$L,'Monthly NSE Equity Options'!$A:$A,$A168)=0,"",SUMIFS('Monthly NSE Equity Options'!$L:$L,'Monthly NSE Equity Options'!$A:$A,$A168))</f>
        <v/>
      </c>
      <c r="U168" s="9">
        <f>IF(SUMIFS('Monthly BSE Equity Options'!$L:$L,'Monthly BSE Equity Options'!$A:$A,$A168)=0,"",SUMIFS('Monthly BSE Equity Options'!$L:$L,'Monthly BSE Equity Options'!$A:$A,$A168))</f>
        <v/>
      </c>
      <c r="V168" s="9">
        <f>IF(OR(T168="",U168=""),"",T168+U168)</f>
        <v/>
      </c>
      <c r="W168" s="25">
        <f>IF(V168="","",T168/V168)</f>
        <v/>
      </c>
      <c r="X168" s="25">
        <f>IF(V168="","",U168/V168)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19">
        <f>IF(F169="","",D169/F169)</f>
        <v/>
      </c>
      <c r="H169" s="19">
        <f>IF(F169="","",E169/F169)</f>
        <v/>
      </c>
      <c r="I169" s="26">
        <f>IF(OR(D169="",D157=""),"",D169/D157-1)</f>
        <v/>
      </c>
      <c r="J169" s="19">
        <f>IF(OR(E169="",E157=""),"",E169/E157-1)</f>
        <v/>
      </c>
      <c r="K169" s="19">
        <f>IF(OR(F169="",F157=""),"",F169/F157-1)</f>
        <v/>
      </c>
      <c r="L169" s="19">
        <f>IF(OR(D169="",D168=""),"",D169/D168-1)</f>
        <v/>
      </c>
      <c r="M169" s="19">
        <f>IF(OR(E169="",E168=""),"",E169/E168-1)</f>
        <v/>
      </c>
      <c r="N169" s="19">
        <f>IF(OR(F169="",F168=""),"",F169/F168-1)</f>
        <v/>
      </c>
      <c r="O169" s="22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IF(Q169="","",O169/Q169)</f>
        <v/>
      </c>
      <c r="S169" s="23">
        <f>IF(Q169="","",P169/Q169)</f>
        <v/>
      </c>
      <c r="T169" s="24">
        <f>IF(SUMIFS('Monthly NSE Equity Options'!$L:$L,'Monthly NSE Equity Options'!$A:$A,$A169)=0,"",SUMIFS('Monthly NSE Equity Options'!$L:$L,'Monthly NSE Equity Options'!$A:$A,$A169))</f>
        <v/>
      </c>
      <c r="U169" s="9">
        <f>IF(SUMIFS('Monthly BSE Equity Options'!$L:$L,'Monthly BSE Equity Options'!$A:$A,$A169)=0,"",SUMIFS('Monthly BSE Equity Options'!$L:$L,'Monthly BSE Equity Options'!$A:$A,$A169))</f>
        <v/>
      </c>
      <c r="V169" s="9">
        <f>IF(OR(T169="",U169=""),"",T169+U169)</f>
        <v/>
      </c>
      <c r="W169" s="25">
        <f>IF(V169="","",T169/V169)</f>
        <v/>
      </c>
      <c r="X169" s="25">
        <f>IF(V169="","",U169/V169)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19">
        <f>IF(F170="","",D170/F170)</f>
        <v/>
      </c>
      <c r="H170" s="19">
        <f>IF(F170="","",E170/F170)</f>
        <v/>
      </c>
      <c r="I170" s="26">
        <f>IF(OR(D170="",D158=""),"",D170/D158-1)</f>
        <v/>
      </c>
      <c r="J170" s="19">
        <f>IF(OR(E170="",E158=""),"",E170/E158-1)</f>
        <v/>
      </c>
      <c r="K170" s="19">
        <f>IF(OR(F170="",F158=""),"",F170/F158-1)</f>
        <v/>
      </c>
      <c r="L170" s="19">
        <f>IF(OR(D170="",D169=""),"",D170/D169-1)</f>
        <v/>
      </c>
      <c r="M170" s="19">
        <f>IF(OR(E170="",E169=""),"",E170/E169-1)</f>
        <v/>
      </c>
      <c r="N170" s="19">
        <f>IF(OR(F170="",F169=""),"",F170/F169-1)</f>
        <v/>
      </c>
      <c r="O170" s="22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IF(Q170="","",O170/Q170)</f>
        <v/>
      </c>
      <c r="S170" s="23">
        <f>IF(Q170="","",P170/Q170)</f>
        <v/>
      </c>
      <c r="T170" s="24">
        <f>IF(SUMIFS('Monthly NSE Equity Options'!$L:$L,'Monthly NSE Equity Options'!$A:$A,$A170)=0,"",SUMIFS('Monthly NSE Equity Options'!$L:$L,'Monthly NSE Equity Options'!$A:$A,$A170))</f>
        <v/>
      </c>
      <c r="U170" s="9">
        <f>IF(SUMIFS('Monthly BSE Equity Options'!$L:$L,'Monthly BSE Equity Options'!$A:$A,$A170)=0,"",SUMIFS('Monthly BSE Equity Options'!$L:$L,'Monthly BSE Equity Options'!$A:$A,$A170))</f>
        <v/>
      </c>
      <c r="V170" s="9">
        <f>IF(OR(T170="",U170=""),"",T170+U170)</f>
        <v/>
      </c>
      <c r="W170" s="25">
        <f>IF(V170="","",T170/V170)</f>
        <v/>
      </c>
      <c r="X170" s="25">
        <f>IF(V170="","",U170/V170)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19">
        <f>IF(F171="","",D171/F171)</f>
        <v/>
      </c>
      <c r="H171" s="19">
        <f>IF(F171="","",E171/F171)</f>
        <v/>
      </c>
      <c r="I171" s="26">
        <f>IF(OR(D171="",D159=""),"",D171/D159-1)</f>
        <v/>
      </c>
      <c r="J171" s="19">
        <f>IF(OR(E171="",E159=""),"",E171/E159-1)</f>
        <v/>
      </c>
      <c r="K171" s="19">
        <f>IF(OR(F171="",F159=""),"",F171/F159-1)</f>
        <v/>
      </c>
      <c r="L171" s="19">
        <f>IF(OR(D171="",D170=""),"",D171/D170-1)</f>
        <v/>
      </c>
      <c r="M171" s="19">
        <f>IF(OR(E171="",E170=""),"",E171/E170-1)</f>
        <v/>
      </c>
      <c r="N171" s="19">
        <f>IF(OR(F171="",F170=""),"",F171/F170-1)</f>
        <v/>
      </c>
      <c r="O171" s="22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IF(Q171="","",O171/Q171)</f>
        <v/>
      </c>
      <c r="S171" s="23">
        <f>IF(Q171="","",P171/Q171)</f>
        <v/>
      </c>
      <c r="T171" s="24">
        <f>IF(SUMIFS('Monthly NSE Equity Options'!$L:$L,'Monthly NSE Equity Options'!$A:$A,$A171)=0,"",SUMIFS('Monthly NSE Equity Options'!$L:$L,'Monthly NSE Equity Options'!$A:$A,$A171))</f>
        <v/>
      </c>
      <c r="U171" s="9">
        <f>IF(SUMIFS('Monthly BSE Equity Options'!$L:$L,'Monthly BSE Equity Options'!$A:$A,$A171)=0,"",SUMIFS('Monthly BSE Equity Options'!$L:$L,'Monthly BSE Equity Options'!$A:$A,$A171))</f>
        <v/>
      </c>
      <c r="V171" s="9">
        <f>IF(OR(T171="",U171=""),"",T171+U171)</f>
        <v/>
      </c>
      <c r="W171" s="25">
        <f>IF(V171="","",T171/V171)</f>
        <v/>
      </c>
      <c r="X171" s="25">
        <f>IF(V171="","",U171/V171)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19">
        <f>IF(F172="","",D172/F172)</f>
        <v/>
      </c>
      <c r="H172" s="19">
        <f>IF(F172="","",E172/F172)</f>
        <v/>
      </c>
      <c r="I172" s="26">
        <f>IF(OR(D172="",D160=""),"",D172/D160-1)</f>
        <v/>
      </c>
      <c r="J172" s="19">
        <f>IF(OR(E172="",E160=""),"",E172/E160-1)</f>
        <v/>
      </c>
      <c r="K172" s="19">
        <f>IF(OR(F172="",F160=""),"",F172/F160-1)</f>
        <v/>
      </c>
      <c r="L172" s="19">
        <f>IF(OR(D172="",D171=""),"",D172/D171-1)</f>
        <v/>
      </c>
      <c r="M172" s="19">
        <f>IF(OR(E172="",E171=""),"",E172/E171-1)</f>
        <v/>
      </c>
      <c r="N172" s="19">
        <f>IF(OR(F172="",F171=""),"",F172/F171-1)</f>
        <v/>
      </c>
      <c r="O172" s="22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IF(Q172="","",O172/Q172)</f>
        <v/>
      </c>
      <c r="S172" s="23">
        <f>IF(Q172="","",P172/Q172)</f>
        <v/>
      </c>
      <c r="T172" s="24">
        <f>IF(SUMIFS('Monthly NSE Equity Options'!$L:$L,'Monthly NSE Equity Options'!$A:$A,$A172)=0,"",SUMIFS('Monthly NSE Equity Options'!$L:$L,'Monthly NSE Equity Options'!$A:$A,$A172))</f>
        <v/>
      </c>
      <c r="U172" s="9">
        <f>IF(SUMIFS('Monthly BSE Equity Options'!$L:$L,'Monthly BSE Equity Options'!$A:$A,$A172)=0,"",SUMIFS('Monthly BSE Equity Options'!$L:$L,'Monthly BSE Equity Options'!$A:$A,$A172))</f>
        <v/>
      </c>
      <c r="V172" s="9">
        <f>IF(OR(T172="",U172=""),"",T172+U172)</f>
        <v/>
      </c>
      <c r="W172" s="25">
        <f>IF(V172="","",T172/V172)</f>
        <v/>
      </c>
      <c r="X172" s="25">
        <f>IF(V172="","",U172/V172)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19">
        <f>IF(F173="","",D173/F173)</f>
        <v/>
      </c>
      <c r="H173" s="19">
        <f>IF(F173="","",E173/F173)</f>
        <v/>
      </c>
      <c r="I173" s="26">
        <f>IF(OR(D173="",D161=""),"",D173/D161-1)</f>
        <v/>
      </c>
      <c r="J173" s="19">
        <f>IF(OR(E173="",E161=""),"",E173/E161-1)</f>
        <v/>
      </c>
      <c r="K173" s="19">
        <f>IF(OR(F173="",F161=""),"",F173/F161-1)</f>
        <v/>
      </c>
      <c r="L173" s="19">
        <f>IF(OR(D173="",D172=""),"",D173/D172-1)</f>
        <v/>
      </c>
      <c r="M173" s="19">
        <f>IF(OR(E173="",E172=""),"",E173/E172-1)</f>
        <v/>
      </c>
      <c r="N173" s="19">
        <f>IF(OR(F173="",F172=""),"",F173/F172-1)</f>
        <v/>
      </c>
      <c r="O173" s="22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IF(Q173="","",O173/Q173)</f>
        <v/>
      </c>
      <c r="S173" s="23">
        <f>IF(Q173="","",P173/Q173)</f>
        <v/>
      </c>
      <c r="T173" s="24">
        <f>IF(SUMIFS('Monthly NSE Equity Options'!$L:$L,'Monthly NSE Equity Options'!$A:$A,$A173)=0,"",SUMIFS('Monthly NSE Equity Options'!$L:$L,'Monthly NSE Equity Options'!$A:$A,$A173))</f>
        <v/>
      </c>
      <c r="U173" s="9">
        <f>IF(SUMIFS('Monthly BSE Equity Options'!$L:$L,'Monthly BSE Equity Options'!$A:$A,$A173)=0,"",SUMIFS('Monthly BSE Equity Options'!$L:$L,'Monthly BSE Equity Options'!$A:$A,$A173))</f>
        <v/>
      </c>
      <c r="V173" s="9">
        <f>IF(OR(T173="",U173=""),"",T173+U173)</f>
        <v/>
      </c>
      <c r="W173" s="25">
        <f>IF(V173="","",T173/V173)</f>
        <v/>
      </c>
      <c r="X173" s="25">
        <f>IF(V173="","",U173/V173)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19">
        <f>IF(F174="","",D174/F174)</f>
        <v/>
      </c>
      <c r="H174" s="19">
        <f>IF(F174="","",E174/F174)</f>
        <v/>
      </c>
      <c r="I174" s="26">
        <f>IF(OR(D174="",D162=""),"",D174/D162-1)</f>
        <v/>
      </c>
      <c r="J174" s="19">
        <f>IF(OR(E174="",E162=""),"",E174/E162-1)</f>
        <v/>
      </c>
      <c r="K174" s="19">
        <f>IF(OR(F174="",F162=""),"",F174/F162-1)</f>
        <v/>
      </c>
      <c r="L174" s="19">
        <f>IF(OR(D174="",D173=""),"",D174/D173-1)</f>
        <v/>
      </c>
      <c r="M174" s="19">
        <f>IF(OR(E174="",E173=""),"",E174/E173-1)</f>
        <v/>
      </c>
      <c r="N174" s="19">
        <f>IF(OR(F174="",F173=""),"",F174/F173-1)</f>
        <v/>
      </c>
      <c r="O174" s="22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IF(Q174="","",O174/Q174)</f>
        <v/>
      </c>
      <c r="S174" s="23">
        <f>IF(Q174="","",P174/Q174)</f>
        <v/>
      </c>
      <c r="T174" s="24">
        <f>IF(SUMIFS('Monthly NSE Equity Options'!$L:$L,'Monthly NSE Equity Options'!$A:$A,$A174)=0,"",SUMIFS('Monthly NSE Equity Options'!$L:$L,'Monthly NSE Equity Options'!$A:$A,$A174))</f>
        <v/>
      </c>
      <c r="U174" s="9">
        <f>IF(SUMIFS('Monthly BSE Equity Options'!$L:$L,'Monthly BSE Equity Options'!$A:$A,$A174)=0,"",SUMIFS('Monthly BSE Equity Options'!$L:$L,'Monthly BSE Equity Options'!$A:$A,$A174))</f>
        <v/>
      </c>
      <c r="V174" s="9">
        <f>IF(OR(T174="",U174=""),"",T174+U174)</f>
        <v/>
      </c>
      <c r="W174" s="25">
        <f>IF(V174="","",T174/V174)</f>
        <v/>
      </c>
      <c r="X174" s="25">
        <f>IF(V174="","",U174/V174)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19">
        <f>IF(F175="","",D175/F175)</f>
        <v/>
      </c>
      <c r="H175" s="19">
        <f>IF(F175="","",E175/F175)</f>
        <v/>
      </c>
      <c r="I175" s="26">
        <f>IF(OR(D175="",D163=""),"",D175/D163-1)</f>
        <v/>
      </c>
      <c r="J175" s="19">
        <f>IF(OR(E175="",E163=""),"",E175/E163-1)</f>
        <v/>
      </c>
      <c r="K175" s="19">
        <f>IF(OR(F175="",F163=""),"",F175/F163-1)</f>
        <v/>
      </c>
      <c r="L175" s="19">
        <f>IF(OR(D175="",D174=""),"",D175/D174-1)</f>
        <v/>
      </c>
      <c r="M175" s="19">
        <f>IF(OR(E175="",E174=""),"",E175/E174-1)</f>
        <v/>
      </c>
      <c r="N175" s="19">
        <f>IF(OR(F175="",F174=""),"",F175/F174-1)</f>
        <v/>
      </c>
      <c r="O175" s="22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IF(Q175="","",O175/Q175)</f>
        <v/>
      </c>
      <c r="S175" s="23">
        <f>IF(Q175="","",P175/Q175)</f>
        <v/>
      </c>
      <c r="T175" s="24">
        <f>IF(SUMIFS('Monthly NSE Equity Options'!$L:$L,'Monthly NSE Equity Options'!$A:$A,$A175)=0,"",SUMIFS('Monthly NSE Equity Options'!$L:$L,'Monthly NSE Equity Options'!$A:$A,$A175))</f>
        <v/>
      </c>
      <c r="U175" s="9">
        <f>IF(SUMIFS('Monthly BSE Equity Options'!$L:$L,'Monthly BSE Equity Options'!$A:$A,$A175)=0,"",SUMIFS('Monthly BSE Equity Options'!$L:$L,'Monthly BSE Equity Options'!$A:$A,$A175))</f>
        <v/>
      </c>
      <c r="V175" s="9">
        <f>IF(OR(T175="",U175=""),"",T175+U175)</f>
        <v/>
      </c>
      <c r="W175" s="25">
        <f>IF(V175="","",T175/V175)</f>
        <v/>
      </c>
      <c r="X175" s="25">
        <f>IF(V175="","",U175/V175)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19">
        <f>IF(F176="","",D176/F176)</f>
        <v/>
      </c>
      <c r="H176" s="19">
        <f>IF(F176="","",E176/F176)</f>
        <v/>
      </c>
      <c r="I176" s="26">
        <f>IF(OR(D176="",D164=""),"",D176/D164-1)</f>
        <v/>
      </c>
      <c r="J176" s="19">
        <f>IF(OR(E176="",E164=""),"",E176/E164-1)</f>
        <v/>
      </c>
      <c r="K176" s="19">
        <f>IF(OR(F176="",F164=""),"",F176/F164-1)</f>
        <v/>
      </c>
      <c r="L176" s="19">
        <f>IF(OR(D176="",D175=""),"",D176/D175-1)</f>
        <v/>
      </c>
      <c r="M176" s="19">
        <f>IF(OR(E176="",E175=""),"",E176/E175-1)</f>
        <v/>
      </c>
      <c r="N176" s="19">
        <f>IF(OR(F176="",F175=""),"",F176/F175-1)</f>
        <v/>
      </c>
      <c r="O176" s="22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IF(Q176="","",O176/Q176)</f>
        <v/>
      </c>
      <c r="S176" s="23">
        <f>IF(Q176="","",P176/Q176)</f>
        <v/>
      </c>
      <c r="T176" s="24">
        <f>IF(SUMIFS('Monthly NSE Equity Options'!$L:$L,'Monthly NSE Equity Options'!$A:$A,$A176)=0,"",SUMIFS('Monthly NSE Equity Options'!$L:$L,'Monthly NSE Equity Options'!$A:$A,$A176))</f>
        <v/>
      </c>
      <c r="U176" s="9">
        <f>IF(SUMIFS('Monthly BSE Equity Options'!$L:$L,'Monthly BSE Equity Options'!$A:$A,$A176)=0,"",SUMIFS('Monthly BSE Equity Options'!$L:$L,'Monthly BSE Equity Options'!$A:$A,$A176))</f>
        <v/>
      </c>
      <c r="V176" s="9">
        <f>IF(OR(T176="",U176=""),"",T176+U176)</f>
        <v/>
      </c>
      <c r="W176" s="25">
        <f>IF(V176="","",T176/V176)</f>
        <v/>
      </c>
      <c r="X176" s="25">
        <f>IF(V176="","",U176/V176)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19">
        <f>IF(F177="","",D177/F177)</f>
        <v/>
      </c>
      <c r="H177" s="19">
        <f>IF(F177="","",E177/F177)</f>
        <v/>
      </c>
      <c r="I177" s="26">
        <f>IF(OR(D177="",D165=""),"",D177/D165-1)</f>
        <v/>
      </c>
      <c r="J177" s="19">
        <f>IF(OR(E177="",E165=""),"",E177/E165-1)</f>
        <v/>
      </c>
      <c r="K177" s="19">
        <f>IF(OR(F177="",F165=""),"",F177/F165-1)</f>
        <v/>
      </c>
      <c r="L177" s="19">
        <f>IF(OR(D177="",D176=""),"",D177/D176-1)</f>
        <v/>
      </c>
      <c r="M177" s="19">
        <f>IF(OR(E177="",E176=""),"",E177/E176-1)</f>
        <v/>
      </c>
      <c r="N177" s="19">
        <f>IF(OR(F177="",F176=""),"",F177/F176-1)</f>
        <v/>
      </c>
      <c r="O177" s="22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IF(Q177="","",O177/Q177)</f>
        <v/>
      </c>
      <c r="S177" s="23">
        <f>IF(Q177="","",P177/Q177)</f>
        <v/>
      </c>
      <c r="T177" s="24">
        <f>IF(SUMIFS('Monthly NSE Equity Options'!$L:$L,'Monthly NSE Equity Options'!$A:$A,$A177)=0,"",SUMIFS('Monthly NSE Equity Options'!$L:$L,'Monthly NSE Equity Options'!$A:$A,$A177))</f>
        <v/>
      </c>
      <c r="U177" s="9">
        <f>IF(SUMIFS('Monthly BSE Equity Options'!$L:$L,'Monthly BSE Equity Options'!$A:$A,$A177)=0,"",SUMIFS('Monthly BSE Equity Options'!$L:$L,'Monthly BSE Equity Options'!$A:$A,$A177))</f>
        <v/>
      </c>
      <c r="V177" s="9">
        <f>IF(OR(T177="",U177=""),"",T177+U177)</f>
        <v/>
      </c>
      <c r="W177" s="25">
        <f>IF(V177="","",T177/V177)</f>
        <v/>
      </c>
      <c r="X177" s="25">
        <f>IF(V177="","",U177/V177)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19">
        <f>IF(F178="","",D178/F178)</f>
        <v/>
      </c>
      <c r="H178" s="19">
        <f>IF(F178="","",E178/F178)</f>
        <v/>
      </c>
      <c r="I178" s="26">
        <f>IF(OR(D178="",D166=""),"",D178/D166-1)</f>
        <v/>
      </c>
      <c r="J178" s="19">
        <f>IF(OR(E178="",E166=""),"",E178/E166-1)</f>
        <v/>
      </c>
      <c r="K178" s="19">
        <f>IF(OR(F178="",F166=""),"",F178/F166-1)</f>
        <v/>
      </c>
      <c r="L178" s="19">
        <f>IF(OR(D178="",D177=""),"",D178/D177-1)</f>
        <v/>
      </c>
      <c r="M178" s="19">
        <f>IF(OR(E178="",E177=""),"",E178/E177-1)</f>
        <v/>
      </c>
      <c r="N178" s="19">
        <f>IF(OR(F178="",F177=""),"",F178/F177-1)</f>
        <v/>
      </c>
      <c r="O178" s="22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IF(Q178="","",O178/Q178)</f>
        <v/>
      </c>
      <c r="S178" s="23">
        <f>IF(Q178="","",P178/Q178)</f>
        <v/>
      </c>
      <c r="T178" s="24">
        <f>IF(SUMIFS('Monthly NSE Equity Options'!$L:$L,'Monthly NSE Equity Options'!$A:$A,$A178)=0,"",SUMIFS('Monthly NSE Equity Options'!$L:$L,'Monthly NSE Equity Options'!$A:$A,$A178))</f>
        <v/>
      </c>
      <c r="U178" s="9">
        <f>IF(SUMIFS('Monthly BSE Equity Options'!$L:$L,'Monthly BSE Equity Options'!$A:$A,$A178)=0,"",SUMIFS('Monthly BSE Equity Options'!$L:$L,'Monthly BSE Equity Options'!$A:$A,$A178))</f>
        <v/>
      </c>
      <c r="V178" s="9">
        <f>IF(OR(T178="",U178=""),"",T178+U178)</f>
        <v/>
      </c>
      <c r="W178" s="25">
        <f>IF(V178="","",T178/V178)</f>
        <v/>
      </c>
      <c r="X178" s="25">
        <f>IF(V178="","",U178/V178)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19">
        <f>IF(F179="","",D179/F179)</f>
        <v/>
      </c>
      <c r="H179" s="19">
        <f>IF(F179="","",E179/F179)</f>
        <v/>
      </c>
      <c r="I179" s="26">
        <f>IF(OR(D179="",D167=""),"",D179/D167-1)</f>
        <v/>
      </c>
      <c r="J179" s="19">
        <f>IF(OR(E179="",E167=""),"",E179/E167-1)</f>
        <v/>
      </c>
      <c r="K179" s="19">
        <f>IF(OR(F179="",F167=""),"",F179/F167-1)</f>
        <v/>
      </c>
      <c r="L179" s="19">
        <f>IF(OR(D179="",D178=""),"",D179/D178-1)</f>
        <v/>
      </c>
      <c r="M179" s="19">
        <f>IF(OR(E179="",E178=""),"",E179/E178-1)</f>
        <v/>
      </c>
      <c r="N179" s="19">
        <f>IF(OR(F179="",F178=""),"",F179/F178-1)</f>
        <v/>
      </c>
      <c r="O179" s="22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IF(Q179="","",O179/Q179)</f>
        <v/>
      </c>
      <c r="S179" s="23">
        <f>IF(Q179="","",P179/Q179)</f>
        <v/>
      </c>
      <c r="T179" s="24">
        <f>IF(SUMIFS('Monthly NSE Equity Options'!$L:$L,'Monthly NSE Equity Options'!$A:$A,$A179)=0,"",SUMIFS('Monthly NSE Equity Options'!$L:$L,'Monthly NSE Equity Options'!$A:$A,$A179))</f>
        <v/>
      </c>
      <c r="U179" s="9">
        <f>IF(SUMIFS('Monthly BSE Equity Options'!$L:$L,'Monthly BSE Equity Options'!$A:$A,$A179)=0,"",SUMIFS('Monthly BSE Equity Options'!$L:$L,'Monthly BSE Equity Options'!$A:$A,$A179))</f>
        <v/>
      </c>
      <c r="V179" s="9">
        <f>IF(OR(T179="",U179=""),"",T179+U179)</f>
        <v/>
      </c>
      <c r="W179" s="25">
        <f>IF(V179="","",T179/V179)</f>
        <v/>
      </c>
      <c r="X179" s="25">
        <f>IF(V179="","",U179/V179)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19">
        <f>IF(F180="","",D180/F180)</f>
        <v/>
      </c>
      <c r="H180" s="19">
        <f>IF(F180="","",E180/F180)</f>
        <v/>
      </c>
      <c r="I180" s="26">
        <f>IF(OR(D180="",D168=""),"",D180/D168-1)</f>
        <v/>
      </c>
      <c r="J180" s="19">
        <f>IF(OR(E180="",E168=""),"",E180/E168-1)</f>
        <v/>
      </c>
      <c r="K180" s="19">
        <f>IF(OR(F180="",F168=""),"",F180/F168-1)</f>
        <v/>
      </c>
      <c r="L180" s="19">
        <f>IF(OR(D180="",D179=""),"",D180/D179-1)</f>
        <v/>
      </c>
      <c r="M180" s="19">
        <f>IF(OR(E180="",E179=""),"",E180/E179-1)</f>
        <v/>
      </c>
      <c r="N180" s="19">
        <f>IF(OR(F180="",F179=""),"",F180/F179-1)</f>
        <v/>
      </c>
      <c r="O180" s="22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IF(Q180="","",O180/Q180)</f>
        <v/>
      </c>
      <c r="S180" s="23">
        <f>IF(Q180="","",P180/Q180)</f>
        <v/>
      </c>
      <c r="T180" s="24">
        <f>IF(SUMIFS('Monthly NSE Equity Options'!$L:$L,'Monthly NSE Equity Options'!$A:$A,$A180)=0,"",SUMIFS('Monthly NSE Equity Options'!$L:$L,'Monthly NSE Equity Options'!$A:$A,$A180))</f>
        <v/>
      </c>
      <c r="U180" s="9">
        <f>IF(SUMIFS('Monthly BSE Equity Options'!$L:$L,'Monthly BSE Equity Options'!$A:$A,$A180)=0,"",SUMIFS('Monthly BSE Equity Options'!$L:$L,'Monthly BSE Equity Options'!$A:$A,$A180))</f>
        <v/>
      </c>
      <c r="V180" s="9">
        <f>IF(OR(T180="",U180=""),"",T180+U180)</f>
        <v/>
      </c>
      <c r="W180" s="25">
        <f>IF(V180="","",T180/V180)</f>
        <v/>
      </c>
      <c r="X180" s="25">
        <f>IF(V180="","",U180/V180)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19">
        <f>IF(F181="","",D181/F181)</f>
        <v/>
      </c>
      <c r="H181" s="19">
        <f>IF(F181="","",E181/F181)</f>
        <v/>
      </c>
      <c r="I181" s="26">
        <f>IF(OR(D181="",D169=""),"",D181/D169-1)</f>
        <v/>
      </c>
      <c r="J181" s="19">
        <f>IF(OR(E181="",E169=""),"",E181/E169-1)</f>
        <v/>
      </c>
      <c r="K181" s="19">
        <f>IF(OR(F181="",F169=""),"",F181/F169-1)</f>
        <v/>
      </c>
      <c r="L181" s="19">
        <f>IF(OR(D181="",D180=""),"",D181/D180-1)</f>
        <v/>
      </c>
      <c r="M181" s="19">
        <f>IF(OR(E181="",E180=""),"",E181/E180-1)</f>
        <v/>
      </c>
      <c r="N181" s="19">
        <f>IF(OR(F181="",F180=""),"",F181/F180-1)</f>
        <v/>
      </c>
      <c r="O181" s="22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IF(Q181="","",O181/Q181)</f>
        <v/>
      </c>
      <c r="S181" s="23">
        <f>IF(Q181="","",P181/Q181)</f>
        <v/>
      </c>
      <c r="T181" s="24">
        <f>IF(SUMIFS('Monthly NSE Equity Options'!$L:$L,'Monthly NSE Equity Options'!$A:$A,$A181)=0,"",SUMIFS('Monthly NSE Equity Options'!$L:$L,'Monthly NSE Equity Options'!$A:$A,$A181))</f>
        <v/>
      </c>
      <c r="U181" s="9">
        <f>IF(SUMIFS('Monthly BSE Equity Options'!$L:$L,'Monthly BSE Equity Options'!$A:$A,$A181)=0,"",SUMIFS('Monthly BSE Equity Options'!$L:$L,'Monthly BSE Equity Options'!$A:$A,$A181))</f>
        <v/>
      </c>
      <c r="V181" s="9">
        <f>IF(OR(T181="",U181=""),"",T181+U181)</f>
        <v/>
      </c>
      <c r="W181" s="25">
        <f>IF(V181="","",T181/V181)</f>
        <v/>
      </c>
      <c r="X181" s="25">
        <f>IF(V181="","",U181/V181)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19">
        <f>IF(F182="","",D182/F182)</f>
        <v/>
      </c>
      <c r="H182" s="19">
        <f>IF(F182="","",E182/F182)</f>
        <v/>
      </c>
      <c r="I182" s="26">
        <f>IF(OR(D182="",D170=""),"",D182/D170-1)</f>
        <v/>
      </c>
      <c r="J182" s="19">
        <f>IF(OR(E182="",E170=""),"",E182/E170-1)</f>
        <v/>
      </c>
      <c r="K182" s="19">
        <f>IF(OR(F182="",F170=""),"",F182/F170-1)</f>
        <v/>
      </c>
      <c r="L182" s="19">
        <f>IF(OR(D182="",D181=""),"",D182/D181-1)</f>
        <v/>
      </c>
      <c r="M182" s="19">
        <f>IF(OR(E182="",E181=""),"",E182/E181-1)</f>
        <v/>
      </c>
      <c r="N182" s="19">
        <f>IF(OR(F182="",F181=""),"",F182/F181-1)</f>
        <v/>
      </c>
      <c r="O182" s="22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IF(Q182="","",O182/Q182)</f>
        <v/>
      </c>
      <c r="S182" s="23">
        <f>IF(Q182="","",P182/Q182)</f>
        <v/>
      </c>
      <c r="T182" s="24">
        <f>IF(SUMIFS('Monthly NSE Equity Options'!$L:$L,'Monthly NSE Equity Options'!$A:$A,$A182)=0,"",SUMIFS('Monthly NSE Equity Options'!$L:$L,'Monthly NSE Equity Options'!$A:$A,$A182))</f>
        <v/>
      </c>
      <c r="U182" s="9">
        <f>IF(SUMIFS('Monthly BSE Equity Options'!$L:$L,'Monthly BSE Equity Options'!$A:$A,$A182)=0,"",SUMIFS('Monthly BSE Equity Options'!$L:$L,'Monthly BSE Equity Options'!$A:$A,$A182))</f>
        <v/>
      </c>
      <c r="V182" s="9">
        <f>IF(OR(T182="",U182=""),"",T182+U182)</f>
        <v/>
      </c>
      <c r="W182" s="25">
        <f>IF(V182="","",T182/V182)</f>
        <v/>
      </c>
      <c r="X182" s="25">
        <f>IF(V182="","",U182/V182)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19">
        <f>IF(F183="","",D183/F183)</f>
        <v/>
      </c>
      <c r="H183" s="19">
        <f>IF(F183="","",E183/F183)</f>
        <v/>
      </c>
      <c r="I183" s="26">
        <f>IF(OR(D183="",D171=""),"",D183/D171-1)</f>
        <v/>
      </c>
      <c r="J183" s="19">
        <f>IF(OR(E183="",E171=""),"",E183/E171-1)</f>
        <v/>
      </c>
      <c r="K183" s="19">
        <f>IF(OR(F183="",F171=""),"",F183/F171-1)</f>
        <v/>
      </c>
      <c r="L183" s="19">
        <f>IF(OR(D183="",D182=""),"",D183/D182-1)</f>
        <v/>
      </c>
      <c r="M183" s="19">
        <f>IF(OR(E183="",E182=""),"",E183/E182-1)</f>
        <v/>
      </c>
      <c r="N183" s="19">
        <f>IF(OR(F183="",F182=""),"",F183/F182-1)</f>
        <v/>
      </c>
      <c r="O183" s="22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IF(Q183="","",O183/Q183)</f>
        <v/>
      </c>
      <c r="S183" s="23">
        <f>IF(Q183="","",P183/Q183)</f>
        <v/>
      </c>
      <c r="T183" s="24">
        <f>IF(SUMIFS('Monthly NSE Equity Options'!$L:$L,'Monthly NSE Equity Options'!$A:$A,$A183)=0,"",SUMIFS('Monthly NSE Equity Options'!$L:$L,'Monthly NSE Equity Options'!$A:$A,$A183))</f>
        <v/>
      </c>
      <c r="U183" s="9">
        <f>IF(SUMIFS('Monthly BSE Equity Options'!$L:$L,'Monthly BSE Equity Options'!$A:$A,$A183)=0,"",SUMIFS('Monthly BSE Equity Options'!$L:$L,'Monthly BSE Equity Options'!$A:$A,$A183))</f>
        <v/>
      </c>
      <c r="V183" s="9">
        <f>IF(OR(T183="",U183=""),"",T183+U183)</f>
        <v/>
      </c>
      <c r="W183" s="25">
        <f>IF(V183="","",T183/V183)</f>
        <v/>
      </c>
      <c r="X183" s="25">
        <f>IF(V183="","",U183/V183)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19">
        <f>IF(F184="","",D184/F184)</f>
        <v/>
      </c>
      <c r="H184" s="19">
        <f>IF(F184="","",E184/F184)</f>
        <v/>
      </c>
      <c r="I184" s="26">
        <f>IF(OR(D184="",D172=""),"",D184/D172-1)</f>
        <v/>
      </c>
      <c r="J184" s="19">
        <f>IF(OR(E184="",E172=""),"",E184/E172-1)</f>
        <v/>
      </c>
      <c r="K184" s="19">
        <f>IF(OR(F184="",F172=""),"",F184/F172-1)</f>
        <v/>
      </c>
      <c r="L184" s="19">
        <f>IF(OR(D184="",D183=""),"",D184/D183-1)</f>
        <v/>
      </c>
      <c r="M184" s="19">
        <f>IF(OR(E184="",E183=""),"",E184/E183-1)</f>
        <v/>
      </c>
      <c r="N184" s="19">
        <f>IF(OR(F184="",F183=""),"",F184/F183-1)</f>
        <v/>
      </c>
      <c r="O184" s="22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IF(Q184="","",O184/Q184)</f>
        <v/>
      </c>
      <c r="S184" s="23">
        <f>IF(Q184="","",P184/Q184)</f>
        <v/>
      </c>
      <c r="T184" s="24">
        <f>IF(SUMIFS('Monthly NSE Equity Options'!$L:$L,'Monthly NSE Equity Options'!$A:$A,$A184)=0,"",SUMIFS('Monthly NSE Equity Options'!$L:$L,'Monthly NSE Equity Options'!$A:$A,$A184))</f>
        <v/>
      </c>
      <c r="U184" s="9">
        <f>IF(SUMIFS('Monthly BSE Equity Options'!$L:$L,'Monthly BSE Equity Options'!$A:$A,$A184)=0,"",SUMIFS('Monthly BSE Equity Options'!$L:$L,'Monthly BSE Equity Options'!$A:$A,$A184))</f>
        <v/>
      </c>
      <c r="V184" s="9">
        <f>IF(OR(T184="",U184=""),"",T184+U184)</f>
        <v/>
      </c>
      <c r="W184" s="25">
        <f>IF(V184="","",T184/V184)</f>
        <v/>
      </c>
      <c r="X184" s="25">
        <f>IF(V184="","",U184/V184)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19">
        <f>IF(F185="","",D185/F185)</f>
        <v/>
      </c>
      <c r="H185" s="19">
        <f>IF(F185="","",E185/F185)</f>
        <v/>
      </c>
      <c r="I185" s="26">
        <f>IF(OR(D185="",D173=""),"",D185/D173-1)</f>
        <v/>
      </c>
      <c r="J185" s="19">
        <f>IF(OR(E185="",E173=""),"",E185/E173-1)</f>
        <v/>
      </c>
      <c r="K185" s="19">
        <f>IF(OR(F185="",F173=""),"",F185/F173-1)</f>
        <v/>
      </c>
      <c r="L185" s="19">
        <f>IF(OR(D185="",D184=""),"",D185/D184-1)</f>
        <v/>
      </c>
      <c r="M185" s="19">
        <f>IF(OR(E185="",E184=""),"",E185/E184-1)</f>
        <v/>
      </c>
      <c r="N185" s="19">
        <f>IF(OR(F185="",F184=""),"",F185/F184-1)</f>
        <v/>
      </c>
      <c r="O185" s="22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IF(Q185="","",O185/Q185)</f>
        <v/>
      </c>
      <c r="S185" s="23">
        <f>IF(Q185="","",P185/Q185)</f>
        <v/>
      </c>
      <c r="T185" s="24">
        <f>IF(SUMIFS('Monthly NSE Equity Options'!$L:$L,'Monthly NSE Equity Options'!$A:$A,$A185)=0,"",SUMIFS('Monthly NSE Equity Options'!$L:$L,'Monthly NSE Equity Options'!$A:$A,$A185))</f>
        <v/>
      </c>
      <c r="U185" s="9">
        <f>IF(SUMIFS('Monthly BSE Equity Options'!$L:$L,'Monthly BSE Equity Options'!$A:$A,$A185)=0,"",SUMIFS('Monthly BSE Equity Options'!$L:$L,'Monthly BSE Equity Options'!$A:$A,$A185))</f>
        <v/>
      </c>
      <c r="V185" s="9">
        <f>IF(OR(T185="",U185=""),"",T185+U185)</f>
        <v/>
      </c>
      <c r="W185" s="25">
        <f>IF(V185="","",T185/V185)</f>
        <v/>
      </c>
      <c r="X185" s="25">
        <f>IF(V185="","",U185/V185)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19">
        <f>IF(F186="","",D186/F186)</f>
        <v/>
      </c>
      <c r="H186" s="19">
        <f>IF(F186="","",E186/F186)</f>
        <v/>
      </c>
      <c r="I186" s="26">
        <f>IF(OR(D186="",D174=""),"",D186/D174-1)</f>
        <v/>
      </c>
      <c r="J186" s="19">
        <f>IF(OR(E186="",E174=""),"",E186/E174-1)</f>
        <v/>
      </c>
      <c r="K186" s="19">
        <f>IF(OR(F186="",F174=""),"",F186/F174-1)</f>
        <v/>
      </c>
      <c r="L186" s="19">
        <f>IF(OR(D186="",D185=""),"",D186/D185-1)</f>
        <v/>
      </c>
      <c r="M186" s="19">
        <f>IF(OR(E186="",E185=""),"",E186/E185-1)</f>
        <v/>
      </c>
      <c r="N186" s="19">
        <f>IF(OR(F186="",F185=""),"",F186/F185-1)</f>
        <v/>
      </c>
      <c r="O186" s="22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IF(Q186="","",O186/Q186)</f>
        <v/>
      </c>
      <c r="S186" s="23">
        <f>IF(Q186="","",P186/Q186)</f>
        <v/>
      </c>
      <c r="T186" s="24">
        <f>IF(SUMIFS('Monthly NSE Equity Options'!$L:$L,'Monthly NSE Equity Options'!$A:$A,$A186)=0,"",SUMIFS('Monthly NSE Equity Options'!$L:$L,'Monthly NSE Equity Options'!$A:$A,$A186))</f>
        <v/>
      </c>
      <c r="U186" s="9">
        <f>IF(SUMIFS('Monthly BSE Equity Options'!$L:$L,'Monthly BSE Equity Options'!$A:$A,$A186)=0,"",SUMIFS('Monthly BSE Equity Options'!$L:$L,'Monthly BSE Equity Options'!$A:$A,$A186))</f>
        <v/>
      </c>
      <c r="V186" s="9">
        <f>IF(OR(T186="",U186=""),"",T186+U186)</f>
        <v/>
      </c>
      <c r="W186" s="25">
        <f>IF(V186="","",T186/V186)</f>
        <v/>
      </c>
      <c r="X186" s="25">
        <f>IF(V186="","",U186/V186)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19">
        <f>IF(F187="","",D187/F187)</f>
        <v/>
      </c>
      <c r="H187" s="19">
        <f>IF(F187="","",E187/F187)</f>
        <v/>
      </c>
      <c r="I187" s="26">
        <f>IF(OR(D187="",D175=""),"",D187/D175-1)</f>
        <v/>
      </c>
      <c r="J187" s="19">
        <f>IF(OR(E187="",E175=""),"",E187/E175-1)</f>
        <v/>
      </c>
      <c r="K187" s="19">
        <f>IF(OR(F187="",F175=""),"",F187/F175-1)</f>
        <v/>
      </c>
      <c r="L187" s="19">
        <f>IF(OR(D187="",D186=""),"",D187/D186-1)</f>
        <v/>
      </c>
      <c r="M187" s="19">
        <f>IF(OR(E187="",E186=""),"",E187/E186-1)</f>
        <v/>
      </c>
      <c r="N187" s="19">
        <f>IF(OR(F187="",F186=""),"",F187/F186-1)</f>
        <v/>
      </c>
      <c r="O187" s="22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IF(Q187="","",O187/Q187)</f>
        <v/>
      </c>
      <c r="S187" s="23">
        <f>IF(Q187="","",P187/Q187)</f>
        <v/>
      </c>
      <c r="T187" s="24">
        <f>IF(SUMIFS('Monthly NSE Equity Options'!$L:$L,'Monthly NSE Equity Options'!$A:$A,$A187)=0,"",SUMIFS('Monthly NSE Equity Options'!$L:$L,'Monthly NSE Equity Options'!$A:$A,$A187))</f>
        <v/>
      </c>
      <c r="U187" s="9">
        <f>IF(SUMIFS('Monthly BSE Equity Options'!$L:$L,'Monthly BSE Equity Options'!$A:$A,$A187)=0,"",SUMIFS('Monthly BSE Equity Options'!$L:$L,'Monthly BSE Equity Options'!$A:$A,$A187))</f>
        <v/>
      </c>
      <c r="V187" s="9">
        <f>IF(OR(T187="",U187=""),"",T187+U187)</f>
        <v/>
      </c>
      <c r="W187" s="25">
        <f>IF(V187="","",T187/V187)</f>
        <v/>
      </c>
      <c r="X187" s="25">
        <f>IF(V187="","",U187/V187)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19">
        <f>IF(F188="","",D188/F188)</f>
        <v/>
      </c>
      <c r="H188" s="19">
        <f>IF(F188="","",E188/F188)</f>
        <v/>
      </c>
      <c r="I188" s="26">
        <f>IF(OR(D188="",D176=""),"",D188/D176-1)</f>
        <v/>
      </c>
      <c r="J188" s="19">
        <f>IF(OR(E188="",E176=""),"",E188/E176-1)</f>
        <v/>
      </c>
      <c r="K188" s="19">
        <f>IF(OR(F188="",F176=""),"",F188/F176-1)</f>
        <v/>
      </c>
      <c r="L188" s="19">
        <f>IF(OR(D188="",D187=""),"",D188/D187-1)</f>
        <v/>
      </c>
      <c r="M188" s="19">
        <f>IF(OR(E188="",E187=""),"",E188/E187-1)</f>
        <v/>
      </c>
      <c r="N188" s="19">
        <f>IF(OR(F188="",F187=""),"",F188/F187-1)</f>
        <v/>
      </c>
      <c r="O188" s="22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IF(Q188="","",O188/Q188)</f>
        <v/>
      </c>
      <c r="S188" s="23">
        <f>IF(Q188="","",P188/Q188)</f>
        <v/>
      </c>
      <c r="T188" s="24">
        <f>IF(SUMIFS('Monthly NSE Equity Options'!$L:$L,'Monthly NSE Equity Options'!$A:$A,$A188)=0,"",SUMIFS('Monthly NSE Equity Options'!$L:$L,'Monthly NSE Equity Options'!$A:$A,$A188))</f>
        <v/>
      </c>
      <c r="U188" s="9">
        <f>IF(SUMIFS('Monthly BSE Equity Options'!$L:$L,'Monthly BSE Equity Options'!$A:$A,$A188)=0,"",SUMIFS('Monthly BSE Equity Options'!$L:$L,'Monthly BSE Equity Options'!$A:$A,$A188))</f>
        <v/>
      </c>
      <c r="V188" s="9">
        <f>IF(OR(T188="",U188=""),"",T188+U188)</f>
        <v/>
      </c>
      <c r="W188" s="25">
        <f>IF(V188="","",T188/V188)</f>
        <v/>
      </c>
      <c r="X188" s="25">
        <f>IF(V188="","",U188/V188)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19">
        <f>IF(F189="","",D189/F189)</f>
        <v/>
      </c>
      <c r="H189" s="19">
        <f>IF(F189="","",E189/F189)</f>
        <v/>
      </c>
      <c r="I189" s="26">
        <f>IF(OR(D189="",D177=""),"",D189/D177-1)</f>
        <v/>
      </c>
      <c r="J189" s="19">
        <f>IF(OR(E189="",E177=""),"",E189/E177-1)</f>
        <v/>
      </c>
      <c r="K189" s="19">
        <f>IF(OR(F189="",F177=""),"",F189/F177-1)</f>
        <v/>
      </c>
      <c r="L189" s="19">
        <f>IF(OR(D189="",D188=""),"",D189/D188-1)</f>
        <v/>
      </c>
      <c r="M189" s="19">
        <f>IF(OR(E189="",E188=""),"",E189/E188-1)</f>
        <v/>
      </c>
      <c r="N189" s="19">
        <f>IF(OR(F189="",F188=""),"",F189/F188-1)</f>
        <v/>
      </c>
      <c r="O189" s="22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IF(Q189="","",O189/Q189)</f>
        <v/>
      </c>
      <c r="S189" s="23">
        <f>IF(Q189="","",P189/Q189)</f>
        <v/>
      </c>
      <c r="T189" s="24">
        <f>IF(SUMIFS('Monthly NSE Equity Options'!$L:$L,'Monthly NSE Equity Options'!$A:$A,$A189)=0,"",SUMIFS('Monthly NSE Equity Options'!$L:$L,'Monthly NSE Equity Options'!$A:$A,$A189))</f>
        <v/>
      </c>
      <c r="U189" s="9">
        <f>IF(SUMIFS('Monthly BSE Equity Options'!$L:$L,'Monthly BSE Equity Options'!$A:$A,$A189)=0,"",SUMIFS('Monthly BSE Equity Options'!$L:$L,'Monthly BSE Equity Options'!$A:$A,$A189))</f>
        <v/>
      </c>
      <c r="V189" s="9">
        <f>IF(OR(T189="",U189=""),"",T189+U189)</f>
        <v/>
      </c>
      <c r="W189" s="25">
        <f>IF(V189="","",T189/V189)</f>
        <v/>
      </c>
      <c r="X189" s="25">
        <f>IF(V189="","",U189/V189)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19">
        <f>IF(F190="","",D190/F190)</f>
        <v/>
      </c>
      <c r="H190" s="19">
        <f>IF(F190="","",E190/F190)</f>
        <v/>
      </c>
      <c r="I190" s="26">
        <f>IF(OR(D190="",D178=""),"",D190/D178-1)</f>
        <v/>
      </c>
      <c r="J190" s="19">
        <f>IF(OR(E190="",E178=""),"",E190/E178-1)</f>
        <v/>
      </c>
      <c r="K190" s="19">
        <f>IF(OR(F190="",F178=""),"",F190/F178-1)</f>
        <v/>
      </c>
      <c r="L190" s="19">
        <f>IF(OR(D190="",D189=""),"",D190/D189-1)</f>
        <v/>
      </c>
      <c r="M190" s="19">
        <f>IF(OR(E190="",E189=""),"",E190/E189-1)</f>
        <v/>
      </c>
      <c r="N190" s="19">
        <f>IF(OR(F190="",F189=""),"",F190/F189-1)</f>
        <v/>
      </c>
      <c r="O190" s="22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IF(Q190="","",O190/Q190)</f>
        <v/>
      </c>
      <c r="S190" s="23">
        <f>IF(Q190="","",P190/Q190)</f>
        <v/>
      </c>
      <c r="T190" s="24">
        <f>IF(SUMIFS('Monthly NSE Equity Options'!$L:$L,'Monthly NSE Equity Options'!$A:$A,$A190)=0,"",SUMIFS('Monthly NSE Equity Options'!$L:$L,'Monthly NSE Equity Options'!$A:$A,$A190))</f>
        <v/>
      </c>
      <c r="U190" s="9">
        <f>IF(SUMIFS('Monthly BSE Equity Options'!$L:$L,'Monthly BSE Equity Options'!$A:$A,$A190)=0,"",SUMIFS('Monthly BSE Equity Options'!$L:$L,'Monthly BSE Equity Options'!$A:$A,$A190))</f>
        <v/>
      </c>
      <c r="V190" s="9">
        <f>IF(OR(T190="",U190=""),"",T190+U190)</f>
        <v/>
      </c>
      <c r="W190" s="25">
        <f>IF(V190="","",T190/V190)</f>
        <v/>
      </c>
      <c r="X190" s="25">
        <f>IF(V190="","",U190/V190)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19">
        <f>IF(F191="","",D191/F191)</f>
        <v/>
      </c>
      <c r="H191" s="19">
        <f>IF(F191="","",E191/F191)</f>
        <v/>
      </c>
      <c r="I191" s="26">
        <f>IF(OR(D191="",D179=""),"",D191/D179-1)</f>
        <v/>
      </c>
      <c r="J191" s="19">
        <f>IF(OR(E191="",E179=""),"",E191/E179-1)</f>
        <v/>
      </c>
      <c r="K191" s="19">
        <f>IF(OR(F191="",F179=""),"",F191/F179-1)</f>
        <v/>
      </c>
      <c r="L191" s="19">
        <f>IF(OR(D191="",D190=""),"",D191/D190-1)</f>
        <v/>
      </c>
      <c r="M191" s="19">
        <f>IF(OR(E191="",E190=""),"",E191/E190-1)</f>
        <v/>
      </c>
      <c r="N191" s="19">
        <f>IF(OR(F191="",F190=""),"",F191/F190-1)</f>
        <v/>
      </c>
      <c r="O191" s="22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IF(Q191="","",O191/Q191)</f>
        <v/>
      </c>
      <c r="S191" s="23">
        <f>IF(Q191="","",P191/Q191)</f>
        <v/>
      </c>
      <c r="T191" s="24">
        <f>IF(SUMIFS('Monthly NSE Equity Options'!$L:$L,'Monthly NSE Equity Options'!$A:$A,$A191)=0,"",SUMIFS('Monthly NSE Equity Options'!$L:$L,'Monthly NSE Equity Options'!$A:$A,$A191))</f>
        <v/>
      </c>
      <c r="U191" s="9">
        <f>IF(SUMIFS('Monthly BSE Equity Options'!$L:$L,'Monthly BSE Equity Options'!$A:$A,$A191)=0,"",SUMIFS('Monthly BSE Equity Options'!$L:$L,'Monthly BSE Equity Options'!$A:$A,$A191))</f>
        <v/>
      </c>
      <c r="V191" s="9">
        <f>IF(OR(T191="",U191=""),"",T191+U191)</f>
        <v/>
      </c>
      <c r="W191" s="25">
        <f>IF(V191="","",T191/V191)</f>
        <v/>
      </c>
      <c r="X191" s="25">
        <f>IF(V191="","",U191/V191)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19">
        <f>IF(F192="","",D192/F192)</f>
        <v/>
      </c>
      <c r="H192" s="19">
        <f>IF(F192="","",E192/F192)</f>
        <v/>
      </c>
      <c r="I192" s="26">
        <f>IF(OR(D192="",D180=""),"",D192/D180-1)</f>
        <v/>
      </c>
      <c r="J192" s="19">
        <f>IF(OR(E192="",E180=""),"",E192/E180-1)</f>
        <v/>
      </c>
      <c r="K192" s="19">
        <f>IF(OR(F192="",F180=""),"",F192/F180-1)</f>
        <v/>
      </c>
      <c r="L192" s="19">
        <f>IF(OR(D192="",D191=""),"",D192/D191-1)</f>
        <v/>
      </c>
      <c r="M192" s="19">
        <f>IF(OR(E192="",E191=""),"",E192/E191-1)</f>
        <v/>
      </c>
      <c r="N192" s="19">
        <f>IF(OR(F192="",F191=""),"",F192/F191-1)</f>
        <v/>
      </c>
      <c r="O192" s="22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IF(Q192="","",O192/Q192)</f>
        <v/>
      </c>
      <c r="S192" s="23">
        <f>IF(Q192="","",P192/Q192)</f>
        <v/>
      </c>
      <c r="T192" s="24">
        <f>IF(SUMIFS('Monthly NSE Equity Options'!$L:$L,'Monthly NSE Equity Options'!$A:$A,$A192)=0,"",SUMIFS('Monthly NSE Equity Options'!$L:$L,'Monthly NSE Equity Options'!$A:$A,$A192))</f>
        <v/>
      </c>
      <c r="U192" s="9">
        <f>IF(SUMIFS('Monthly BSE Equity Options'!$L:$L,'Monthly BSE Equity Options'!$A:$A,$A192)=0,"",SUMIFS('Monthly BSE Equity Options'!$L:$L,'Monthly BSE Equity Options'!$A:$A,$A192))</f>
        <v/>
      </c>
      <c r="V192" s="9">
        <f>IF(OR(T192="",U192=""),"",T192+U192)</f>
        <v/>
      </c>
      <c r="W192" s="25">
        <f>IF(V192="","",T192/V192)</f>
        <v/>
      </c>
      <c r="X192" s="25">
        <f>IF(V192="","",U192/V192)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19">
        <f>IF(F193="","",D193/F193)</f>
        <v/>
      </c>
      <c r="H193" s="19">
        <f>IF(F193="","",E193/F193)</f>
        <v/>
      </c>
      <c r="I193" s="26">
        <f>IF(OR(D193="",D181=""),"",D193/D181-1)</f>
        <v/>
      </c>
      <c r="J193" s="19">
        <f>IF(OR(E193="",E181=""),"",E193/E181-1)</f>
        <v/>
      </c>
      <c r="K193" s="19">
        <f>IF(OR(F193="",F181=""),"",F193/F181-1)</f>
        <v/>
      </c>
      <c r="L193" s="19">
        <f>IF(OR(D193="",D192=""),"",D193/D192-1)</f>
        <v/>
      </c>
      <c r="M193" s="19">
        <f>IF(OR(E193="",E192=""),"",E193/E192-1)</f>
        <v/>
      </c>
      <c r="N193" s="19">
        <f>IF(OR(F193="",F192=""),"",F193/F192-1)</f>
        <v/>
      </c>
      <c r="O193" s="22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IF(Q193="","",O193/Q193)</f>
        <v/>
      </c>
      <c r="S193" s="23">
        <f>IF(Q193="","",P193/Q193)</f>
        <v/>
      </c>
      <c r="T193" s="24">
        <f>IF(SUMIFS('Monthly NSE Equity Options'!$L:$L,'Monthly NSE Equity Options'!$A:$A,$A193)=0,"",SUMIFS('Monthly NSE Equity Options'!$L:$L,'Monthly NSE Equity Options'!$A:$A,$A193))</f>
        <v/>
      </c>
      <c r="U193" s="9">
        <f>IF(SUMIFS('Monthly BSE Equity Options'!$L:$L,'Monthly BSE Equity Options'!$A:$A,$A193)=0,"",SUMIFS('Monthly BSE Equity Options'!$L:$L,'Monthly BSE Equity Options'!$A:$A,$A193))</f>
        <v/>
      </c>
      <c r="V193" s="9">
        <f>IF(OR(T193="",U193=""),"",T193+U193)</f>
        <v/>
      </c>
      <c r="W193" s="25">
        <f>IF(V193="","",T193/V193)</f>
        <v/>
      </c>
      <c r="X193" s="25">
        <f>IF(V193="","",U193/V193)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19">
        <f>IF(F194="","",D194/F194)</f>
        <v/>
      </c>
      <c r="H194" s="19">
        <f>IF(F194="","",E194/F194)</f>
        <v/>
      </c>
      <c r="I194" s="26">
        <f>IF(OR(D194="",D182=""),"",D194/D182-1)</f>
        <v/>
      </c>
      <c r="J194" s="19">
        <f>IF(OR(E194="",E182=""),"",E194/E182-1)</f>
        <v/>
      </c>
      <c r="K194" s="19">
        <f>IF(OR(F194="",F182=""),"",F194/F182-1)</f>
        <v/>
      </c>
      <c r="L194" s="19">
        <f>IF(OR(D194="",D193=""),"",D194/D193-1)</f>
        <v/>
      </c>
      <c r="M194" s="19">
        <f>IF(OR(E194="",E193=""),"",E194/E193-1)</f>
        <v/>
      </c>
      <c r="N194" s="19">
        <f>IF(OR(F194="",F193=""),"",F194/F193-1)</f>
        <v/>
      </c>
      <c r="O194" s="22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IF(Q194="","",O194/Q194)</f>
        <v/>
      </c>
      <c r="S194" s="23">
        <f>IF(Q194="","",P194/Q194)</f>
        <v/>
      </c>
      <c r="T194" s="24">
        <f>IF(SUMIFS('Monthly NSE Equity Options'!$L:$L,'Monthly NSE Equity Options'!$A:$A,$A194)=0,"",SUMIFS('Monthly NSE Equity Options'!$L:$L,'Monthly NSE Equity Options'!$A:$A,$A194))</f>
        <v/>
      </c>
      <c r="U194" s="9">
        <f>IF(SUMIFS('Monthly BSE Equity Options'!$L:$L,'Monthly BSE Equity Options'!$A:$A,$A194)=0,"",SUMIFS('Monthly BSE Equity Options'!$L:$L,'Monthly BSE Equity Options'!$A:$A,$A194))</f>
        <v/>
      </c>
      <c r="V194" s="9">
        <f>IF(OR(T194="",U194=""),"",T194+U194)</f>
        <v/>
      </c>
      <c r="W194" s="25">
        <f>IF(V194="","",T194/V194)</f>
        <v/>
      </c>
      <c r="X194" s="25">
        <f>IF(V194="","",U194/V194)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19">
        <f>IF(F195="","",D195/F195)</f>
        <v/>
      </c>
      <c r="H195" s="19">
        <f>IF(F195="","",E195/F195)</f>
        <v/>
      </c>
      <c r="I195" s="26">
        <f>IF(OR(D195="",D183=""),"",D195/D183-1)</f>
        <v/>
      </c>
      <c r="J195" s="19">
        <f>IF(OR(E195="",E183=""),"",E195/E183-1)</f>
        <v/>
      </c>
      <c r="K195" s="19">
        <f>IF(OR(F195="",F183=""),"",F195/F183-1)</f>
        <v/>
      </c>
      <c r="L195" s="19">
        <f>IF(OR(D195="",D194=""),"",D195/D194-1)</f>
        <v/>
      </c>
      <c r="M195" s="19">
        <f>IF(OR(E195="",E194=""),"",E195/E194-1)</f>
        <v/>
      </c>
      <c r="N195" s="19">
        <f>IF(OR(F195="",F194=""),"",F195/F194-1)</f>
        <v/>
      </c>
      <c r="O195" s="22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IF(Q195="","",O195/Q195)</f>
        <v/>
      </c>
      <c r="S195" s="23">
        <f>IF(Q195="","",P195/Q195)</f>
        <v/>
      </c>
      <c r="T195" s="24">
        <f>IF(SUMIFS('Monthly NSE Equity Options'!$L:$L,'Monthly NSE Equity Options'!$A:$A,$A195)=0,"",SUMIFS('Monthly NSE Equity Options'!$L:$L,'Monthly NSE Equity Options'!$A:$A,$A195))</f>
        <v/>
      </c>
      <c r="U195" s="9">
        <f>IF(SUMIFS('Monthly BSE Equity Options'!$L:$L,'Monthly BSE Equity Options'!$A:$A,$A195)=0,"",SUMIFS('Monthly BSE Equity Options'!$L:$L,'Monthly BSE Equity Options'!$A:$A,$A195))</f>
        <v/>
      </c>
      <c r="V195" s="9">
        <f>IF(OR(T195="",U195=""),"",T195+U195)</f>
        <v/>
      </c>
      <c r="W195" s="25">
        <f>IF(V195="","",T195/V195)</f>
        <v/>
      </c>
      <c r="X195" s="25">
        <f>IF(V195="","",U195/V195)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19">
        <f>IF(F196="","",D196/F196)</f>
        <v/>
      </c>
      <c r="H196" s="19">
        <f>IF(F196="","",E196/F196)</f>
        <v/>
      </c>
      <c r="I196" s="26">
        <f>IF(OR(D196="",D184=""),"",D196/D184-1)</f>
        <v/>
      </c>
      <c r="J196" s="19">
        <f>IF(OR(E196="",E184=""),"",E196/E184-1)</f>
        <v/>
      </c>
      <c r="K196" s="19">
        <f>IF(OR(F196="",F184=""),"",F196/F184-1)</f>
        <v/>
      </c>
      <c r="L196" s="19">
        <f>IF(OR(D196="",D195=""),"",D196/D195-1)</f>
        <v/>
      </c>
      <c r="M196" s="19">
        <f>IF(OR(E196="",E195=""),"",E196/E195-1)</f>
        <v/>
      </c>
      <c r="N196" s="19">
        <f>IF(OR(F196="",F195=""),"",F196/F195-1)</f>
        <v/>
      </c>
      <c r="O196" s="22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IF(Q196="","",O196/Q196)</f>
        <v/>
      </c>
      <c r="S196" s="23">
        <f>IF(Q196="","",P196/Q196)</f>
        <v/>
      </c>
      <c r="T196" s="24">
        <f>IF(SUMIFS('Monthly NSE Equity Options'!$L:$L,'Monthly NSE Equity Options'!$A:$A,$A196)=0,"",SUMIFS('Monthly NSE Equity Options'!$L:$L,'Monthly NSE Equity Options'!$A:$A,$A196))</f>
        <v/>
      </c>
      <c r="U196" s="9">
        <f>IF(SUMIFS('Monthly BSE Equity Options'!$L:$L,'Monthly BSE Equity Options'!$A:$A,$A196)=0,"",SUMIFS('Monthly BSE Equity Options'!$L:$L,'Monthly BSE Equity Options'!$A:$A,$A196))</f>
        <v/>
      </c>
      <c r="V196" s="9">
        <f>IF(OR(T196="",U196=""),"",T196+U196)</f>
        <v/>
      </c>
      <c r="W196" s="25">
        <f>IF(V196="","",T196/V196)</f>
        <v/>
      </c>
      <c r="X196" s="25">
        <f>IF(V196="","",U196/V196)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19">
        <f>IF(F197="","",D197/F197)</f>
        <v/>
      </c>
      <c r="H197" s="19">
        <f>IF(F197="","",E197/F197)</f>
        <v/>
      </c>
      <c r="I197" s="26">
        <f>IF(OR(D197="",D185=""),"",D197/D185-1)</f>
        <v/>
      </c>
      <c r="J197" s="19">
        <f>IF(OR(E197="",E185=""),"",E197/E185-1)</f>
        <v/>
      </c>
      <c r="K197" s="19">
        <f>IF(OR(F197="",F185=""),"",F197/F185-1)</f>
        <v/>
      </c>
      <c r="L197" s="19">
        <f>IF(OR(D197="",D196=""),"",D197/D196-1)</f>
        <v/>
      </c>
      <c r="M197" s="19">
        <f>IF(OR(E197="",E196=""),"",E197/E196-1)</f>
        <v/>
      </c>
      <c r="N197" s="19">
        <f>IF(OR(F197="",F196=""),"",F197/F196-1)</f>
        <v/>
      </c>
      <c r="O197" s="22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IF(Q197="","",O197/Q197)</f>
        <v/>
      </c>
      <c r="S197" s="23">
        <f>IF(Q197="","",P197/Q197)</f>
        <v/>
      </c>
      <c r="T197" s="24">
        <f>IF(SUMIFS('Monthly NSE Equity Options'!$L:$L,'Monthly NSE Equity Options'!$A:$A,$A197)=0,"",SUMIFS('Monthly NSE Equity Options'!$L:$L,'Monthly NSE Equity Options'!$A:$A,$A197))</f>
        <v/>
      </c>
      <c r="U197" s="9">
        <f>IF(SUMIFS('Monthly BSE Equity Options'!$L:$L,'Monthly BSE Equity Options'!$A:$A,$A197)=0,"",SUMIFS('Monthly BSE Equity Options'!$L:$L,'Monthly BSE Equity Options'!$A:$A,$A197))</f>
        <v/>
      </c>
      <c r="V197" s="9">
        <f>IF(OR(T197="",U197=""),"",T197+U197)</f>
        <v/>
      </c>
      <c r="W197" s="25">
        <f>IF(V197="","",T197/V197)</f>
        <v/>
      </c>
      <c r="X197" s="25">
        <f>IF(V197="","",U197/V197)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19">
        <f>IF(F198="","",D198/F198)</f>
        <v/>
      </c>
      <c r="H198" s="19">
        <f>IF(F198="","",E198/F198)</f>
        <v/>
      </c>
      <c r="I198" s="26">
        <f>IF(OR(D198="",D186=""),"",D198/D186-1)</f>
        <v/>
      </c>
      <c r="J198" s="19">
        <f>IF(OR(E198="",E186=""),"",E198/E186-1)</f>
        <v/>
      </c>
      <c r="K198" s="19">
        <f>IF(OR(F198="",F186=""),"",F198/F186-1)</f>
        <v/>
      </c>
      <c r="L198" s="19">
        <f>IF(OR(D198="",D197=""),"",D198/D197-1)</f>
        <v/>
      </c>
      <c r="M198" s="19">
        <f>IF(OR(E198="",E197=""),"",E198/E197-1)</f>
        <v/>
      </c>
      <c r="N198" s="19">
        <f>IF(OR(F198="",F197=""),"",F198/F197-1)</f>
        <v/>
      </c>
      <c r="O198" s="22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IF(Q198="","",O198/Q198)</f>
        <v/>
      </c>
      <c r="S198" s="23">
        <f>IF(Q198="","",P198/Q198)</f>
        <v/>
      </c>
      <c r="T198" s="24">
        <f>IF(SUMIFS('Monthly NSE Equity Options'!$L:$L,'Monthly NSE Equity Options'!$A:$A,$A198)=0,"",SUMIFS('Monthly NSE Equity Options'!$L:$L,'Monthly NSE Equity Options'!$A:$A,$A198))</f>
        <v/>
      </c>
      <c r="U198" s="9">
        <f>IF(SUMIFS('Monthly BSE Equity Options'!$L:$L,'Monthly BSE Equity Options'!$A:$A,$A198)=0,"",SUMIFS('Monthly BSE Equity Options'!$L:$L,'Monthly BSE Equity Options'!$A:$A,$A198))</f>
        <v/>
      </c>
      <c r="V198" s="9">
        <f>IF(OR(T198="",U198=""),"",T198+U198)</f>
        <v/>
      </c>
      <c r="W198" s="25">
        <f>IF(V198="","",T198/V198)</f>
        <v/>
      </c>
      <c r="X198" s="25">
        <f>IF(V198="","",U198/V198)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19">
        <f>IF(F199="","",D199/F199)</f>
        <v/>
      </c>
      <c r="H199" s="19">
        <f>IF(F199="","",E199/F199)</f>
        <v/>
      </c>
      <c r="I199" s="26">
        <f>IF(OR(D199="",D187=""),"",D199/D187-1)</f>
        <v/>
      </c>
      <c r="J199" s="19">
        <f>IF(OR(E199="",E187=""),"",E199/E187-1)</f>
        <v/>
      </c>
      <c r="K199" s="19">
        <f>IF(OR(F199="",F187=""),"",F199/F187-1)</f>
        <v/>
      </c>
      <c r="L199" s="19">
        <f>IF(OR(D199="",D198=""),"",D199/D198-1)</f>
        <v/>
      </c>
      <c r="M199" s="19">
        <f>IF(OR(E199="",E198=""),"",E199/E198-1)</f>
        <v/>
      </c>
      <c r="N199" s="19">
        <f>IF(OR(F199="",F198=""),"",F199/F198-1)</f>
        <v/>
      </c>
      <c r="O199" s="22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IF(Q199="","",O199/Q199)</f>
        <v/>
      </c>
      <c r="S199" s="23">
        <f>IF(Q199="","",P199/Q199)</f>
        <v/>
      </c>
      <c r="T199" s="24">
        <f>IF(SUMIFS('Monthly NSE Equity Options'!$L:$L,'Monthly NSE Equity Options'!$A:$A,$A199)=0,"",SUMIFS('Monthly NSE Equity Options'!$L:$L,'Monthly NSE Equity Options'!$A:$A,$A199))</f>
        <v/>
      </c>
      <c r="U199" s="9">
        <f>IF(SUMIFS('Monthly BSE Equity Options'!$L:$L,'Monthly BSE Equity Options'!$A:$A,$A199)=0,"",SUMIFS('Monthly BSE Equity Options'!$L:$L,'Monthly BSE Equity Options'!$A:$A,$A199))</f>
        <v/>
      </c>
      <c r="V199" s="9">
        <f>IF(OR(T199="",U199=""),"",T199+U199)</f>
        <v/>
      </c>
      <c r="W199" s="25">
        <f>IF(V199="","",T199/V199)</f>
        <v/>
      </c>
      <c r="X199" s="25">
        <f>IF(V199="","",U199/V199)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19">
        <f>IF(F200="","",D200/F200)</f>
        <v/>
      </c>
      <c r="H200" s="19">
        <f>IF(F200="","",E200/F200)</f>
        <v/>
      </c>
      <c r="I200" s="26">
        <f>IF(OR(D200="",D188=""),"",D200/D188-1)</f>
        <v/>
      </c>
      <c r="J200" s="19">
        <f>IF(OR(E200="",E188=""),"",E200/E188-1)</f>
        <v/>
      </c>
      <c r="K200" s="19">
        <f>IF(OR(F200="",F188=""),"",F200/F188-1)</f>
        <v/>
      </c>
      <c r="L200" s="19">
        <f>IF(OR(D200="",D199=""),"",D200/D199-1)</f>
        <v/>
      </c>
      <c r="M200" s="19">
        <f>IF(OR(E200="",E199=""),"",E200/E199-1)</f>
        <v/>
      </c>
      <c r="N200" s="19">
        <f>IF(OR(F200="",F199=""),"",F200/F199-1)</f>
        <v/>
      </c>
      <c r="O200" s="22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IF(Q200="","",O200/Q200)</f>
        <v/>
      </c>
      <c r="S200" s="23">
        <f>IF(Q200="","",P200/Q200)</f>
        <v/>
      </c>
      <c r="T200" s="24">
        <f>IF(SUMIFS('Monthly NSE Equity Options'!$L:$L,'Monthly NSE Equity Options'!$A:$A,$A200)=0,"",SUMIFS('Monthly NSE Equity Options'!$L:$L,'Monthly NSE Equity Options'!$A:$A,$A200))</f>
        <v/>
      </c>
      <c r="U200" s="9">
        <f>IF(SUMIFS('Monthly BSE Equity Options'!$L:$L,'Monthly BSE Equity Options'!$A:$A,$A200)=0,"",SUMIFS('Monthly BSE Equity Options'!$L:$L,'Monthly BSE Equity Options'!$A:$A,$A200))</f>
        <v/>
      </c>
      <c r="V200" s="9">
        <f>IF(OR(T200="",U200=""),"",T200+U200)</f>
        <v/>
      </c>
      <c r="W200" s="25">
        <f>IF(V200="","",T200/V200)</f>
        <v/>
      </c>
      <c r="X200" s="25">
        <f>IF(V200="","",U200/V200)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19">
        <f>IF(F201="","",D201/F201)</f>
        <v/>
      </c>
      <c r="H201" s="19">
        <f>IF(F201="","",E201/F201)</f>
        <v/>
      </c>
      <c r="I201" s="26">
        <f>IF(OR(D201="",D189=""),"",D201/D189-1)</f>
        <v/>
      </c>
      <c r="J201" s="19">
        <f>IF(OR(E201="",E189=""),"",E201/E189-1)</f>
        <v/>
      </c>
      <c r="K201" s="19">
        <f>IF(OR(F201="",F189=""),"",F201/F189-1)</f>
        <v/>
      </c>
      <c r="L201" s="19">
        <f>IF(OR(D201="",D200=""),"",D201/D200-1)</f>
        <v/>
      </c>
      <c r="M201" s="19">
        <f>IF(OR(E201="",E200=""),"",E201/E200-1)</f>
        <v/>
      </c>
      <c r="N201" s="19">
        <f>IF(OR(F201="",F200=""),"",F201/F200-1)</f>
        <v/>
      </c>
      <c r="O201" s="22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IF(Q201="","",O201/Q201)</f>
        <v/>
      </c>
      <c r="S201" s="23">
        <f>IF(Q201="","",P201/Q201)</f>
        <v/>
      </c>
      <c r="T201" s="24">
        <f>IF(SUMIFS('Monthly NSE Equity Options'!$L:$L,'Monthly NSE Equity Options'!$A:$A,$A201)=0,"",SUMIFS('Monthly NSE Equity Options'!$L:$L,'Monthly NSE Equity Options'!$A:$A,$A201))</f>
        <v/>
      </c>
      <c r="U201" s="9">
        <f>IF(SUMIFS('Monthly BSE Equity Options'!$L:$L,'Monthly BSE Equity Options'!$A:$A,$A201)=0,"",SUMIFS('Monthly BSE Equity Options'!$L:$L,'Monthly BSE Equity Options'!$A:$A,$A201))</f>
        <v/>
      </c>
      <c r="V201" s="9">
        <f>IF(OR(T201="",U201=""),"",T201+U201)</f>
        <v/>
      </c>
      <c r="W201" s="25">
        <f>IF(V201="","",T201/V201)</f>
        <v/>
      </c>
      <c r="X201" s="25">
        <f>IF(V201="","",U201/V201)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19">
        <f>IF(F202="","",D202/F202)</f>
        <v/>
      </c>
      <c r="H202" s="19">
        <f>IF(F202="","",E202/F202)</f>
        <v/>
      </c>
      <c r="I202" s="26">
        <f>IF(OR(D202="",D190=""),"",D202/D190-1)</f>
        <v/>
      </c>
      <c r="J202" s="19">
        <f>IF(OR(E202="",E190=""),"",E202/E190-1)</f>
        <v/>
      </c>
      <c r="K202" s="19">
        <f>IF(OR(F202="",F190=""),"",F202/F190-1)</f>
        <v/>
      </c>
      <c r="L202" s="19">
        <f>IF(OR(D202="",D201=""),"",D202/D201-1)</f>
        <v/>
      </c>
      <c r="M202" s="19">
        <f>IF(OR(E202="",E201=""),"",E202/E201-1)</f>
        <v/>
      </c>
      <c r="N202" s="19">
        <f>IF(OR(F202="",F201=""),"",F202/F201-1)</f>
        <v/>
      </c>
      <c r="O202" s="22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IF(Q202="","",O202/Q202)</f>
        <v/>
      </c>
      <c r="S202" s="23">
        <f>IF(Q202="","",P202/Q202)</f>
        <v/>
      </c>
      <c r="T202" s="24">
        <f>IF(SUMIFS('Monthly NSE Equity Options'!$L:$L,'Monthly NSE Equity Options'!$A:$A,$A202)=0,"",SUMIFS('Monthly NSE Equity Options'!$L:$L,'Monthly NSE Equity Options'!$A:$A,$A202))</f>
        <v/>
      </c>
      <c r="U202" s="9">
        <f>IF(SUMIFS('Monthly BSE Equity Options'!$L:$L,'Monthly BSE Equity Options'!$A:$A,$A202)=0,"",SUMIFS('Monthly BSE Equity Options'!$L:$L,'Monthly BSE Equity Options'!$A:$A,$A202))</f>
        <v/>
      </c>
      <c r="V202" s="9">
        <f>IF(OR(T202="",U202=""),"",T202+U202)</f>
        <v/>
      </c>
      <c r="W202" s="25">
        <f>IF(V202="","",T202/V202)</f>
        <v/>
      </c>
      <c r="X202" s="25">
        <f>IF(V202="","",U202/V202)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19">
        <f>IF(F203="","",D203/F203)</f>
        <v/>
      </c>
      <c r="H203" s="19">
        <f>IF(F203="","",E203/F203)</f>
        <v/>
      </c>
      <c r="I203" s="26">
        <f>IF(OR(D203="",D191=""),"",D203/D191-1)</f>
        <v/>
      </c>
      <c r="J203" s="19">
        <f>IF(OR(E203="",E191=""),"",E203/E191-1)</f>
        <v/>
      </c>
      <c r="K203" s="19">
        <f>IF(OR(F203="",F191=""),"",F203/F191-1)</f>
        <v/>
      </c>
      <c r="L203" s="19">
        <f>IF(OR(D203="",D202=""),"",D203/D202-1)</f>
        <v/>
      </c>
      <c r="M203" s="19">
        <f>IF(OR(E203="",E202=""),"",E203/E202-1)</f>
        <v/>
      </c>
      <c r="N203" s="19">
        <f>IF(OR(F203="",F202=""),"",F203/F202-1)</f>
        <v/>
      </c>
      <c r="O203" s="22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IF(Q203="","",O203/Q203)</f>
        <v/>
      </c>
      <c r="S203" s="23">
        <f>IF(Q203="","",P203/Q203)</f>
        <v/>
      </c>
      <c r="T203" s="24">
        <f>IF(SUMIFS('Monthly NSE Equity Options'!$L:$L,'Monthly NSE Equity Options'!$A:$A,$A203)=0,"",SUMIFS('Monthly NSE Equity Options'!$L:$L,'Monthly NSE Equity Options'!$A:$A,$A203))</f>
        <v/>
      </c>
      <c r="U203" s="9">
        <f>IF(SUMIFS('Monthly BSE Equity Options'!$L:$L,'Monthly BSE Equity Options'!$A:$A,$A203)=0,"",SUMIFS('Monthly BSE Equity Options'!$L:$L,'Monthly BSE Equity Options'!$A:$A,$A203))</f>
        <v/>
      </c>
      <c r="V203" s="9">
        <f>IF(OR(T203="",U203=""),"",T203+U203)</f>
        <v/>
      </c>
      <c r="W203" s="25">
        <f>IF(V203="","",T203/V203)</f>
        <v/>
      </c>
      <c r="X203" s="25">
        <f>IF(V203="","",U203/V203)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19">
        <f>IF(F204="","",D204/F204)</f>
        <v/>
      </c>
      <c r="H204" s="19">
        <f>IF(F204="","",E204/F204)</f>
        <v/>
      </c>
      <c r="I204" s="26">
        <f>IF(OR(D204="",D192=""),"",D204/D192-1)</f>
        <v/>
      </c>
      <c r="J204" s="19">
        <f>IF(OR(E204="",E192=""),"",E204/E192-1)</f>
        <v/>
      </c>
      <c r="K204" s="19">
        <f>IF(OR(F204="",F192=""),"",F204/F192-1)</f>
        <v/>
      </c>
      <c r="L204" s="19">
        <f>IF(OR(D204="",D203=""),"",D204/D203-1)</f>
        <v/>
      </c>
      <c r="M204" s="19">
        <f>IF(OR(E204="",E203=""),"",E204/E203-1)</f>
        <v/>
      </c>
      <c r="N204" s="19">
        <f>IF(OR(F204="",F203=""),"",F204/F203-1)</f>
        <v/>
      </c>
      <c r="O204" s="22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IF(Q204="","",O204/Q204)</f>
        <v/>
      </c>
      <c r="S204" s="23">
        <f>IF(Q204="","",P204/Q204)</f>
        <v/>
      </c>
      <c r="T204" s="24">
        <f>IF(SUMIFS('Monthly NSE Equity Options'!$L:$L,'Monthly NSE Equity Options'!$A:$A,$A204)=0,"",SUMIFS('Monthly NSE Equity Options'!$L:$L,'Monthly NSE Equity Options'!$A:$A,$A204))</f>
        <v/>
      </c>
      <c r="U204" s="9">
        <f>IF(SUMIFS('Monthly BSE Equity Options'!$L:$L,'Monthly BSE Equity Options'!$A:$A,$A204)=0,"",SUMIFS('Monthly BSE Equity Options'!$L:$L,'Monthly BSE Equity Options'!$A:$A,$A204))</f>
        <v/>
      </c>
      <c r="V204" s="9">
        <f>IF(OR(T204="",U204=""),"",T204+U204)</f>
        <v/>
      </c>
      <c r="W204" s="25">
        <f>IF(V204="","",T204/V204)</f>
        <v/>
      </c>
      <c r="X204" s="25">
        <f>IF(V204="","",U204/V204)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19">
        <f>IF(F205="","",D205/F205)</f>
        <v/>
      </c>
      <c r="H205" s="19">
        <f>IF(F205="","",E205/F205)</f>
        <v/>
      </c>
      <c r="I205" s="26">
        <f>IF(OR(D205="",D193=""),"",D205/D193-1)</f>
        <v/>
      </c>
      <c r="J205" s="19">
        <f>IF(OR(E205="",E193=""),"",E205/E193-1)</f>
        <v/>
      </c>
      <c r="K205" s="19">
        <f>IF(OR(F205="",F193=""),"",F205/F193-1)</f>
        <v/>
      </c>
      <c r="L205" s="19">
        <f>IF(OR(D205="",D204=""),"",D205/D204-1)</f>
        <v/>
      </c>
      <c r="M205" s="19">
        <f>IF(OR(E205="",E204=""),"",E205/E204-1)</f>
        <v/>
      </c>
      <c r="N205" s="19">
        <f>IF(OR(F205="",F204=""),"",F205/F204-1)</f>
        <v/>
      </c>
      <c r="O205" s="22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IF(Q205="","",O205/Q205)</f>
        <v/>
      </c>
      <c r="S205" s="23">
        <f>IF(Q205="","",P205/Q205)</f>
        <v/>
      </c>
      <c r="T205" s="24">
        <f>IF(SUMIFS('Monthly NSE Equity Options'!$L:$L,'Monthly NSE Equity Options'!$A:$A,$A205)=0,"",SUMIFS('Monthly NSE Equity Options'!$L:$L,'Monthly NSE Equity Options'!$A:$A,$A205))</f>
        <v/>
      </c>
      <c r="U205" s="9">
        <f>IF(SUMIFS('Monthly BSE Equity Options'!$L:$L,'Monthly BSE Equity Options'!$A:$A,$A205)=0,"",SUMIFS('Monthly BSE Equity Options'!$L:$L,'Monthly BSE Equity Options'!$A:$A,$A205))</f>
        <v/>
      </c>
      <c r="V205" s="9">
        <f>IF(OR(T205="",U205=""),"",T205+U205)</f>
        <v/>
      </c>
      <c r="W205" s="25">
        <f>IF(V205="","",T205/V205)</f>
        <v/>
      </c>
      <c r="X205" s="25">
        <f>IF(V205="","",U205/V205)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19">
        <f>IF(F206="","",D206/F206)</f>
        <v/>
      </c>
      <c r="H206" s="19">
        <f>IF(F206="","",E206/F206)</f>
        <v/>
      </c>
      <c r="I206" s="26">
        <f>IF(OR(D206="",D194=""),"",D206/D194-1)</f>
        <v/>
      </c>
      <c r="J206" s="19">
        <f>IF(OR(E206="",E194=""),"",E206/E194-1)</f>
        <v/>
      </c>
      <c r="K206" s="19">
        <f>IF(OR(F206="",F194=""),"",F206/F194-1)</f>
        <v/>
      </c>
      <c r="L206" s="19">
        <f>IF(OR(D206="",D205=""),"",D206/D205-1)</f>
        <v/>
      </c>
      <c r="M206" s="19">
        <f>IF(OR(E206="",E205=""),"",E206/E205-1)</f>
        <v/>
      </c>
      <c r="N206" s="19">
        <f>IF(OR(F206="",F205=""),"",F206/F205-1)</f>
        <v/>
      </c>
      <c r="O206" s="22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IF(Q206="","",O206/Q206)</f>
        <v/>
      </c>
      <c r="S206" s="23">
        <f>IF(Q206="","",P206/Q206)</f>
        <v/>
      </c>
      <c r="T206" s="24">
        <f>IF(SUMIFS('Monthly NSE Equity Options'!$L:$L,'Monthly NSE Equity Options'!$A:$A,$A206)=0,"",SUMIFS('Monthly NSE Equity Options'!$L:$L,'Monthly NSE Equity Options'!$A:$A,$A206))</f>
        <v/>
      </c>
      <c r="U206" s="9">
        <f>IF(SUMIFS('Monthly BSE Equity Options'!$L:$L,'Monthly BSE Equity Options'!$A:$A,$A206)=0,"",SUMIFS('Monthly BSE Equity Options'!$L:$L,'Monthly BSE Equity Options'!$A:$A,$A206))</f>
        <v/>
      </c>
      <c r="V206" s="9">
        <f>IF(OR(T206="",U206=""),"",T206+U206)</f>
        <v/>
      </c>
      <c r="W206" s="25">
        <f>IF(V206="","",T206/V206)</f>
        <v/>
      </c>
      <c r="X206" s="25">
        <f>IF(V206="","",U206/V206)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19">
        <f>IF(F207="","",D207/F207)</f>
        <v/>
      </c>
      <c r="H207" s="19">
        <f>IF(F207="","",E207/F207)</f>
        <v/>
      </c>
      <c r="I207" s="26">
        <f>IF(OR(D207="",D195=""),"",D207/D195-1)</f>
        <v/>
      </c>
      <c r="J207" s="19">
        <f>IF(OR(E207="",E195=""),"",E207/E195-1)</f>
        <v/>
      </c>
      <c r="K207" s="19">
        <f>IF(OR(F207="",F195=""),"",F207/F195-1)</f>
        <v/>
      </c>
      <c r="L207" s="19">
        <f>IF(OR(D207="",D206=""),"",D207/D206-1)</f>
        <v/>
      </c>
      <c r="M207" s="19">
        <f>IF(OR(E207="",E206=""),"",E207/E206-1)</f>
        <v/>
      </c>
      <c r="N207" s="19">
        <f>IF(OR(F207="",F206=""),"",F207/F206-1)</f>
        <v/>
      </c>
      <c r="O207" s="22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IF(Q207="","",O207/Q207)</f>
        <v/>
      </c>
      <c r="S207" s="23">
        <f>IF(Q207="","",P207/Q207)</f>
        <v/>
      </c>
      <c r="T207" s="24">
        <f>IF(SUMIFS('Monthly NSE Equity Options'!$L:$L,'Monthly NSE Equity Options'!$A:$A,$A207)=0,"",SUMIFS('Monthly NSE Equity Options'!$L:$L,'Monthly NSE Equity Options'!$A:$A,$A207))</f>
        <v/>
      </c>
      <c r="U207" s="9">
        <f>IF(SUMIFS('Monthly BSE Equity Options'!$L:$L,'Monthly BSE Equity Options'!$A:$A,$A207)=0,"",SUMIFS('Monthly BSE Equity Options'!$L:$L,'Monthly BSE Equity Options'!$A:$A,$A207))</f>
        <v/>
      </c>
      <c r="V207" s="9">
        <f>IF(OR(T207="",U207=""),"",T207+U207)</f>
        <v/>
      </c>
      <c r="W207" s="25">
        <f>IF(V207="","",T207/V207)</f>
        <v/>
      </c>
      <c r="X207" s="25">
        <f>IF(V207="","",U207/V207)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19">
        <f>IF(F208="","",D208/F208)</f>
        <v/>
      </c>
      <c r="H208" s="19">
        <f>IF(F208="","",E208/F208)</f>
        <v/>
      </c>
      <c r="I208" s="26">
        <f>IF(OR(D208="",D196=""),"",D208/D196-1)</f>
        <v/>
      </c>
      <c r="J208" s="19">
        <f>IF(OR(E208="",E196=""),"",E208/E196-1)</f>
        <v/>
      </c>
      <c r="K208" s="19">
        <f>IF(OR(F208="",F196=""),"",F208/F196-1)</f>
        <v/>
      </c>
      <c r="L208" s="19">
        <f>IF(OR(D208="",D207=""),"",D208/D207-1)</f>
        <v/>
      </c>
      <c r="M208" s="19">
        <f>IF(OR(E208="",E207=""),"",E208/E207-1)</f>
        <v/>
      </c>
      <c r="N208" s="19">
        <f>IF(OR(F208="",F207=""),"",F208/F207-1)</f>
        <v/>
      </c>
      <c r="O208" s="22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IF(Q208="","",O208/Q208)</f>
        <v/>
      </c>
      <c r="S208" s="23">
        <f>IF(Q208="","",P208/Q208)</f>
        <v/>
      </c>
      <c r="T208" s="24">
        <f>IF(SUMIFS('Monthly NSE Equity Options'!$L:$L,'Monthly NSE Equity Options'!$A:$A,$A208)=0,"",SUMIFS('Monthly NSE Equity Options'!$L:$L,'Monthly NSE Equity Options'!$A:$A,$A208))</f>
        <v/>
      </c>
      <c r="U208" s="9">
        <f>IF(SUMIFS('Monthly BSE Equity Options'!$L:$L,'Monthly BSE Equity Options'!$A:$A,$A208)=0,"",SUMIFS('Monthly BSE Equity Options'!$L:$L,'Monthly BSE Equity Options'!$A:$A,$A208))</f>
        <v/>
      </c>
      <c r="V208" s="9">
        <f>IF(OR(T208="",U208=""),"",T208+U208)</f>
        <v/>
      </c>
      <c r="W208" s="25">
        <f>IF(V208="","",T208/V208)</f>
        <v/>
      </c>
      <c r="X208" s="25">
        <f>IF(V208="","",U208/V208)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19">
        <f>IF(F209="","",D209/F209)</f>
        <v/>
      </c>
      <c r="H209" s="19">
        <f>IF(F209="","",E209/F209)</f>
        <v/>
      </c>
      <c r="I209" s="26">
        <f>IF(OR(D209="",D197=""),"",D209/D197-1)</f>
        <v/>
      </c>
      <c r="J209" s="19">
        <f>IF(OR(E209="",E197=""),"",E209/E197-1)</f>
        <v/>
      </c>
      <c r="K209" s="19">
        <f>IF(OR(F209="",F197=""),"",F209/F197-1)</f>
        <v/>
      </c>
      <c r="L209" s="19">
        <f>IF(OR(D209="",D208=""),"",D209/D208-1)</f>
        <v/>
      </c>
      <c r="M209" s="19">
        <f>IF(OR(E209="",E208=""),"",E209/E208-1)</f>
        <v/>
      </c>
      <c r="N209" s="19">
        <f>IF(OR(F209="",F208=""),"",F209/F208-1)</f>
        <v/>
      </c>
      <c r="O209" s="22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IF(Q209="","",O209/Q209)</f>
        <v/>
      </c>
      <c r="S209" s="23">
        <f>IF(Q209="","",P209/Q209)</f>
        <v/>
      </c>
      <c r="T209" s="24">
        <f>IF(SUMIFS('Monthly NSE Equity Options'!$L:$L,'Monthly NSE Equity Options'!$A:$A,$A209)=0,"",SUMIFS('Monthly NSE Equity Options'!$L:$L,'Monthly NSE Equity Options'!$A:$A,$A209))</f>
        <v/>
      </c>
      <c r="U209" s="9">
        <f>IF(SUMIFS('Monthly BSE Equity Options'!$L:$L,'Monthly BSE Equity Options'!$A:$A,$A209)=0,"",SUMIFS('Monthly BSE Equity Options'!$L:$L,'Monthly BSE Equity Options'!$A:$A,$A209))</f>
        <v/>
      </c>
      <c r="V209" s="9">
        <f>IF(OR(T209="",U209=""),"",T209+U209)</f>
        <v/>
      </c>
      <c r="W209" s="25">
        <f>IF(V209="","",T209/V209)</f>
        <v/>
      </c>
      <c r="X209" s="25">
        <f>IF(V209="","",U209/V209)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19">
        <f>IF(F210="","",D210/F210)</f>
        <v/>
      </c>
      <c r="H210" s="19">
        <f>IF(F210="","",E210/F210)</f>
        <v/>
      </c>
      <c r="I210" s="26">
        <f>IF(OR(D210="",D198=""),"",D210/D198-1)</f>
        <v/>
      </c>
      <c r="J210" s="19">
        <f>IF(OR(E210="",E198=""),"",E210/E198-1)</f>
        <v/>
      </c>
      <c r="K210" s="19">
        <f>IF(OR(F210="",F198=""),"",F210/F198-1)</f>
        <v/>
      </c>
      <c r="L210" s="19">
        <f>IF(OR(D210="",D209=""),"",D210/D209-1)</f>
        <v/>
      </c>
      <c r="M210" s="19">
        <f>IF(OR(E210="",E209=""),"",E210/E209-1)</f>
        <v/>
      </c>
      <c r="N210" s="19">
        <f>IF(OR(F210="",F209=""),"",F210/F209-1)</f>
        <v/>
      </c>
      <c r="O210" s="22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IF(Q210="","",O210/Q210)</f>
        <v/>
      </c>
      <c r="S210" s="23">
        <f>IF(Q210="","",P210/Q210)</f>
        <v/>
      </c>
      <c r="T210" s="24">
        <f>IF(SUMIFS('Monthly NSE Equity Options'!$L:$L,'Monthly NSE Equity Options'!$A:$A,$A210)=0,"",SUMIFS('Monthly NSE Equity Options'!$L:$L,'Monthly NSE Equity Options'!$A:$A,$A210))</f>
        <v/>
      </c>
      <c r="U210" s="9">
        <f>IF(SUMIFS('Monthly BSE Equity Options'!$L:$L,'Monthly BSE Equity Options'!$A:$A,$A210)=0,"",SUMIFS('Monthly BSE Equity Options'!$L:$L,'Monthly BSE Equity Options'!$A:$A,$A210))</f>
        <v/>
      </c>
      <c r="V210" s="9">
        <f>IF(OR(T210="",U210=""),"",T210+U210)</f>
        <v/>
      </c>
      <c r="W210" s="25">
        <f>IF(V210="","",T210/V210)</f>
        <v/>
      </c>
      <c r="X210" s="25">
        <f>IF(V210="","",U210/V210)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19">
        <f>IF(F211="","",D211/F211)</f>
        <v/>
      </c>
      <c r="H211" s="19">
        <f>IF(F211="","",E211/F211)</f>
        <v/>
      </c>
      <c r="I211" s="26">
        <f>IF(OR(D211="",D199=""),"",D211/D199-1)</f>
        <v/>
      </c>
      <c r="J211" s="19">
        <f>IF(OR(E211="",E199=""),"",E211/E199-1)</f>
        <v/>
      </c>
      <c r="K211" s="19">
        <f>IF(OR(F211="",F199=""),"",F211/F199-1)</f>
        <v/>
      </c>
      <c r="L211" s="19">
        <f>IF(OR(D211="",D210=""),"",D211/D210-1)</f>
        <v/>
      </c>
      <c r="M211" s="19">
        <f>IF(OR(E211="",E210=""),"",E211/E210-1)</f>
        <v/>
      </c>
      <c r="N211" s="19">
        <f>IF(OR(F211="",F210=""),"",F211/F210-1)</f>
        <v/>
      </c>
      <c r="O211" s="22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IF(Q211="","",O211/Q211)</f>
        <v/>
      </c>
      <c r="S211" s="23">
        <f>IF(Q211="","",P211/Q211)</f>
        <v/>
      </c>
      <c r="T211" s="24">
        <f>IF(SUMIFS('Monthly NSE Equity Options'!$L:$L,'Monthly NSE Equity Options'!$A:$A,$A211)=0,"",SUMIFS('Monthly NSE Equity Options'!$L:$L,'Monthly NSE Equity Options'!$A:$A,$A211))</f>
        <v/>
      </c>
      <c r="U211" s="9">
        <f>IF(SUMIFS('Monthly BSE Equity Options'!$L:$L,'Monthly BSE Equity Options'!$A:$A,$A211)=0,"",SUMIFS('Monthly BSE Equity Options'!$L:$L,'Monthly BSE Equity Options'!$A:$A,$A211))</f>
        <v/>
      </c>
      <c r="V211" s="9">
        <f>IF(OR(T211="",U211=""),"",T211+U211)</f>
        <v/>
      </c>
      <c r="W211" s="25">
        <f>IF(V211="","",T211/V211)</f>
        <v/>
      </c>
      <c r="X211" s="25">
        <f>IF(V211="","",U211/V211)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19">
        <f>IF(F212="","",D212/F212)</f>
        <v/>
      </c>
      <c r="H212" s="19">
        <f>IF(F212="","",E212/F212)</f>
        <v/>
      </c>
      <c r="I212" s="26">
        <f>IF(OR(D212="",D200=""),"",D212/D200-1)</f>
        <v/>
      </c>
      <c r="J212" s="19">
        <f>IF(OR(E212="",E200=""),"",E212/E200-1)</f>
        <v/>
      </c>
      <c r="K212" s="19">
        <f>IF(OR(F212="",F200=""),"",F212/F200-1)</f>
        <v/>
      </c>
      <c r="L212" s="19">
        <f>IF(OR(D212="",D211=""),"",D212/D211-1)</f>
        <v/>
      </c>
      <c r="M212" s="19">
        <f>IF(OR(E212="",E211=""),"",E212/E211-1)</f>
        <v/>
      </c>
      <c r="N212" s="19">
        <f>IF(OR(F212="",F211=""),"",F212/F211-1)</f>
        <v/>
      </c>
      <c r="O212" s="22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IF(Q212="","",O212/Q212)</f>
        <v/>
      </c>
      <c r="S212" s="23">
        <f>IF(Q212="","",P212/Q212)</f>
        <v/>
      </c>
      <c r="T212" s="24">
        <f>IF(SUMIFS('Monthly NSE Equity Options'!$L:$L,'Monthly NSE Equity Options'!$A:$A,$A212)=0,"",SUMIFS('Monthly NSE Equity Options'!$L:$L,'Monthly NSE Equity Options'!$A:$A,$A212))</f>
        <v/>
      </c>
      <c r="U212" s="9">
        <f>IF(SUMIFS('Monthly BSE Equity Options'!$L:$L,'Monthly BSE Equity Options'!$A:$A,$A212)=0,"",SUMIFS('Monthly BSE Equity Options'!$L:$L,'Monthly BSE Equity Options'!$A:$A,$A212))</f>
        <v/>
      </c>
      <c r="V212" s="9">
        <f>IF(OR(T212="",U212=""),"",T212+U212)</f>
        <v/>
      </c>
      <c r="W212" s="25">
        <f>IF(V212="","",T212/V212)</f>
        <v/>
      </c>
      <c r="X212" s="25">
        <f>IF(V212="","",U212/V212)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19">
        <f>IF(F213="","",D213/F213)</f>
        <v/>
      </c>
      <c r="H213" s="19">
        <f>IF(F213="","",E213/F213)</f>
        <v/>
      </c>
      <c r="I213" s="26">
        <f>IF(OR(D213="",D201=""),"",D213/D201-1)</f>
        <v/>
      </c>
      <c r="J213" s="19">
        <f>IF(OR(E213="",E201=""),"",E213/E201-1)</f>
        <v/>
      </c>
      <c r="K213" s="19">
        <f>IF(OR(F213="",F201=""),"",F213/F201-1)</f>
        <v/>
      </c>
      <c r="L213" s="19">
        <f>IF(OR(D213="",D212=""),"",D213/D212-1)</f>
        <v/>
      </c>
      <c r="M213" s="19">
        <f>IF(OR(E213="",E212=""),"",E213/E212-1)</f>
        <v/>
      </c>
      <c r="N213" s="19">
        <f>IF(OR(F213="",F212=""),"",F213/F212-1)</f>
        <v/>
      </c>
      <c r="O213" s="22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IF(Q213="","",O213/Q213)</f>
        <v/>
      </c>
      <c r="S213" s="23">
        <f>IF(Q213="","",P213/Q213)</f>
        <v/>
      </c>
      <c r="T213" s="24">
        <f>IF(SUMIFS('Monthly NSE Equity Options'!$L:$L,'Monthly NSE Equity Options'!$A:$A,$A213)=0,"",SUMIFS('Monthly NSE Equity Options'!$L:$L,'Monthly NSE Equity Options'!$A:$A,$A213))</f>
        <v/>
      </c>
      <c r="U213" s="9">
        <f>IF(SUMIFS('Monthly BSE Equity Options'!$L:$L,'Monthly BSE Equity Options'!$A:$A,$A213)=0,"",SUMIFS('Monthly BSE Equity Options'!$L:$L,'Monthly BSE Equity Options'!$A:$A,$A213))</f>
        <v/>
      </c>
      <c r="V213" s="9">
        <f>IF(OR(T213="",U213=""),"",T213+U213)</f>
        <v/>
      </c>
      <c r="W213" s="25">
        <f>IF(V213="","",T213/V213)</f>
        <v/>
      </c>
      <c r="X213" s="25">
        <f>IF(V213="","",U213/V213)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19">
        <f>IF(F214="","",D214/F214)</f>
        <v/>
      </c>
      <c r="H214" s="19">
        <f>IF(F214="","",E214/F214)</f>
        <v/>
      </c>
      <c r="I214" s="26">
        <f>IF(OR(D214="",D202=""),"",D214/D202-1)</f>
        <v/>
      </c>
      <c r="J214" s="19">
        <f>IF(OR(E214="",E202=""),"",E214/E202-1)</f>
        <v/>
      </c>
      <c r="K214" s="19">
        <f>IF(OR(F214="",F202=""),"",F214/F202-1)</f>
        <v/>
      </c>
      <c r="L214" s="19">
        <f>IF(OR(D214="",D213=""),"",D214/D213-1)</f>
        <v/>
      </c>
      <c r="M214" s="19">
        <f>IF(OR(E214="",E213=""),"",E214/E213-1)</f>
        <v/>
      </c>
      <c r="N214" s="19">
        <f>IF(OR(F214="",F213=""),"",F214/F213-1)</f>
        <v/>
      </c>
      <c r="O214" s="22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IF(Q214="","",O214/Q214)</f>
        <v/>
      </c>
      <c r="S214" s="23">
        <f>IF(Q214="","",P214/Q214)</f>
        <v/>
      </c>
      <c r="T214" s="24">
        <f>IF(SUMIFS('Monthly NSE Equity Options'!$L:$L,'Monthly NSE Equity Options'!$A:$A,$A214)=0,"",SUMIFS('Monthly NSE Equity Options'!$L:$L,'Monthly NSE Equity Options'!$A:$A,$A214))</f>
        <v/>
      </c>
      <c r="U214" s="9">
        <f>IF(SUMIFS('Monthly BSE Equity Options'!$L:$L,'Monthly BSE Equity Options'!$A:$A,$A214)=0,"",SUMIFS('Monthly BSE Equity Options'!$L:$L,'Monthly BSE Equity Options'!$A:$A,$A214))</f>
        <v/>
      </c>
      <c r="V214" s="9">
        <f>IF(OR(T214="",U214=""),"",T214+U214)</f>
        <v/>
      </c>
      <c r="W214" s="25">
        <f>IF(V214="","",T214/V214)</f>
        <v/>
      </c>
      <c r="X214" s="25">
        <f>IF(V214="","",U214/V214)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19">
        <f>IF(F215="","",D215/F215)</f>
        <v/>
      </c>
      <c r="H215" s="19">
        <f>IF(F215="","",E215/F215)</f>
        <v/>
      </c>
      <c r="I215" s="26">
        <f>IF(OR(D215="",D203=""),"",D215/D203-1)</f>
        <v/>
      </c>
      <c r="J215" s="19">
        <f>IF(OR(E215="",E203=""),"",E215/E203-1)</f>
        <v/>
      </c>
      <c r="K215" s="19">
        <f>IF(OR(F215="",F203=""),"",F215/F203-1)</f>
        <v/>
      </c>
      <c r="L215" s="19">
        <f>IF(OR(D215="",D214=""),"",D215/D214-1)</f>
        <v/>
      </c>
      <c r="M215" s="19">
        <f>IF(OR(E215="",E214=""),"",E215/E214-1)</f>
        <v/>
      </c>
      <c r="N215" s="19">
        <f>IF(OR(F215="",F214=""),"",F215/F214-1)</f>
        <v/>
      </c>
      <c r="O215" s="22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IF(Q215="","",O215/Q215)</f>
        <v/>
      </c>
      <c r="S215" s="23">
        <f>IF(Q215="","",P215/Q215)</f>
        <v/>
      </c>
      <c r="T215" s="24">
        <f>IF(SUMIFS('Monthly NSE Equity Options'!$L:$L,'Monthly NSE Equity Options'!$A:$A,$A215)=0,"",SUMIFS('Monthly NSE Equity Options'!$L:$L,'Monthly NSE Equity Options'!$A:$A,$A215))</f>
        <v/>
      </c>
      <c r="U215" s="9">
        <f>IF(SUMIFS('Monthly BSE Equity Options'!$L:$L,'Monthly BSE Equity Options'!$A:$A,$A215)=0,"",SUMIFS('Monthly BSE Equity Options'!$L:$L,'Monthly BSE Equity Options'!$A:$A,$A215))</f>
        <v/>
      </c>
      <c r="V215" s="9">
        <f>IF(OR(T215="",U215=""),"",T215+U215)</f>
        <v/>
      </c>
      <c r="W215" s="25">
        <f>IF(V215="","",T215/V215)</f>
        <v/>
      </c>
      <c r="X215" s="25">
        <f>IF(V215="","",U215/V215)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19">
        <f>IF(F216="","",D216/F216)</f>
        <v/>
      </c>
      <c r="H216" s="19">
        <f>IF(F216="","",E216/F216)</f>
        <v/>
      </c>
      <c r="I216" s="26">
        <f>IF(OR(D216="",D204=""),"",D216/D204-1)</f>
        <v/>
      </c>
      <c r="J216" s="19">
        <f>IF(OR(E216="",E204=""),"",E216/E204-1)</f>
        <v/>
      </c>
      <c r="K216" s="19">
        <f>IF(OR(F216="",F204=""),"",F216/F204-1)</f>
        <v/>
      </c>
      <c r="L216" s="19">
        <f>IF(OR(D216="",D215=""),"",D216/D215-1)</f>
        <v/>
      </c>
      <c r="M216" s="19">
        <f>IF(OR(E216="",E215=""),"",E216/E215-1)</f>
        <v/>
      </c>
      <c r="N216" s="19">
        <f>IF(OR(F216="",F215=""),"",F216/F215-1)</f>
        <v/>
      </c>
      <c r="O216" s="22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IF(Q216="","",O216/Q216)</f>
        <v/>
      </c>
      <c r="S216" s="23">
        <f>IF(Q216="","",P216/Q216)</f>
        <v/>
      </c>
      <c r="T216" s="24">
        <f>IF(SUMIFS('Monthly NSE Equity Options'!$L:$L,'Monthly NSE Equity Options'!$A:$A,$A216)=0,"",SUMIFS('Monthly NSE Equity Options'!$L:$L,'Monthly NSE Equity Options'!$A:$A,$A216))</f>
        <v/>
      </c>
      <c r="U216" s="9">
        <f>IF(SUMIFS('Monthly BSE Equity Options'!$L:$L,'Monthly BSE Equity Options'!$A:$A,$A216)=0,"",SUMIFS('Monthly BSE Equity Options'!$L:$L,'Monthly BSE Equity Options'!$A:$A,$A216))</f>
        <v/>
      </c>
      <c r="V216" s="9">
        <f>IF(OR(T216="",U216=""),"",T216+U216)</f>
        <v/>
      </c>
      <c r="W216" s="25">
        <f>IF(V216="","",T216/V216)</f>
        <v/>
      </c>
      <c r="X216" s="25">
        <f>IF(V216="","",U216/V216)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19">
        <f>IF(F217="","",D217/F217)</f>
        <v/>
      </c>
      <c r="H217" s="19">
        <f>IF(F217="","",E217/F217)</f>
        <v/>
      </c>
      <c r="I217" s="26">
        <f>IF(OR(D217="",D205=""),"",D217/D205-1)</f>
        <v/>
      </c>
      <c r="J217" s="19">
        <f>IF(OR(E217="",E205=""),"",E217/E205-1)</f>
        <v/>
      </c>
      <c r="K217" s="19">
        <f>IF(OR(F217="",F205=""),"",F217/F205-1)</f>
        <v/>
      </c>
      <c r="L217" s="19">
        <f>IF(OR(D217="",D216=""),"",D217/D216-1)</f>
        <v/>
      </c>
      <c r="M217" s="19">
        <f>IF(OR(E217="",E216=""),"",E217/E216-1)</f>
        <v/>
      </c>
      <c r="N217" s="19">
        <f>IF(OR(F217="",F216=""),"",F217/F216-1)</f>
        <v/>
      </c>
      <c r="O217" s="22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IF(Q217="","",O217/Q217)</f>
        <v/>
      </c>
      <c r="S217" s="23">
        <f>IF(Q217="","",P217/Q217)</f>
        <v/>
      </c>
      <c r="T217" s="24">
        <f>IF(SUMIFS('Monthly NSE Equity Options'!$L:$L,'Monthly NSE Equity Options'!$A:$A,$A217)=0,"",SUMIFS('Monthly NSE Equity Options'!$L:$L,'Monthly NSE Equity Options'!$A:$A,$A217))</f>
        <v/>
      </c>
      <c r="U217" s="9">
        <f>IF(SUMIFS('Monthly BSE Equity Options'!$L:$L,'Monthly BSE Equity Options'!$A:$A,$A217)=0,"",SUMIFS('Monthly BSE Equity Options'!$L:$L,'Monthly BSE Equity Options'!$A:$A,$A217))</f>
        <v/>
      </c>
      <c r="V217" s="9">
        <f>IF(OR(T217="",U217=""),"",T217+U217)</f>
        <v/>
      </c>
      <c r="W217" s="25">
        <f>IF(V217="","",T217/V217)</f>
        <v/>
      </c>
      <c r="X217" s="25">
        <f>IF(V217="","",U217/V217)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19">
        <f>IF(F218="","",D218/F218)</f>
        <v/>
      </c>
      <c r="H218" s="19">
        <f>IF(F218="","",E218/F218)</f>
        <v/>
      </c>
      <c r="I218" s="26">
        <f>IF(OR(D218="",D206=""),"",D218/D206-1)</f>
        <v/>
      </c>
      <c r="J218" s="19">
        <f>IF(OR(E218="",E206=""),"",E218/E206-1)</f>
        <v/>
      </c>
      <c r="K218" s="19">
        <f>IF(OR(F218="",F206=""),"",F218/F206-1)</f>
        <v/>
      </c>
      <c r="L218" s="19">
        <f>IF(OR(D218="",D217=""),"",D218/D217-1)</f>
        <v/>
      </c>
      <c r="M218" s="19">
        <f>IF(OR(E218="",E217=""),"",E218/E217-1)</f>
        <v/>
      </c>
      <c r="N218" s="19">
        <f>IF(OR(F218="",F217=""),"",F218/F217-1)</f>
        <v/>
      </c>
      <c r="O218" s="22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IF(Q218="","",O218/Q218)</f>
        <v/>
      </c>
      <c r="S218" s="23">
        <f>IF(Q218="","",P218/Q218)</f>
        <v/>
      </c>
      <c r="T218" s="24">
        <f>IF(SUMIFS('Monthly NSE Equity Options'!$L:$L,'Monthly NSE Equity Options'!$A:$A,$A218)=0,"",SUMIFS('Monthly NSE Equity Options'!$L:$L,'Monthly NSE Equity Options'!$A:$A,$A218))</f>
        <v/>
      </c>
      <c r="U218" s="9">
        <f>IF(SUMIFS('Monthly BSE Equity Options'!$L:$L,'Monthly BSE Equity Options'!$A:$A,$A218)=0,"",SUMIFS('Monthly BSE Equity Options'!$L:$L,'Monthly BSE Equity Options'!$A:$A,$A218))</f>
        <v/>
      </c>
      <c r="V218" s="9">
        <f>IF(OR(T218="",U218=""),"",T218+U218)</f>
        <v/>
      </c>
      <c r="W218" s="25">
        <f>IF(V218="","",T218/V218)</f>
        <v/>
      </c>
      <c r="X218" s="25">
        <f>IF(V218="","",U218/V218)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19">
        <f>IF(F219="","",D219/F219)</f>
        <v/>
      </c>
      <c r="H219" s="19">
        <f>IF(F219="","",E219/F219)</f>
        <v/>
      </c>
      <c r="I219" s="26">
        <f>IF(OR(D219="",D207=""),"",D219/D207-1)</f>
        <v/>
      </c>
      <c r="J219" s="19">
        <f>IF(OR(E219="",E207=""),"",E219/E207-1)</f>
        <v/>
      </c>
      <c r="K219" s="19">
        <f>IF(OR(F219="",F207=""),"",F219/F207-1)</f>
        <v/>
      </c>
      <c r="L219" s="19">
        <f>IF(OR(D219="",D218=""),"",D219/D218-1)</f>
        <v/>
      </c>
      <c r="M219" s="19">
        <f>IF(OR(E219="",E218=""),"",E219/E218-1)</f>
        <v/>
      </c>
      <c r="N219" s="19">
        <f>IF(OR(F219="",F218=""),"",F219/F218-1)</f>
        <v/>
      </c>
      <c r="O219" s="22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IF(Q219="","",O219/Q219)</f>
        <v/>
      </c>
      <c r="S219" s="23">
        <f>IF(Q219="","",P219/Q219)</f>
        <v/>
      </c>
      <c r="T219" s="24">
        <f>IF(SUMIFS('Monthly NSE Equity Options'!$L:$L,'Monthly NSE Equity Options'!$A:$A,$A219)=0,"",SUMIFS('Monthly NSE Equity Options'!$L:$L,'Monthly NSE Equity Options'!$A:$A,$A219))</f>
        <v/>
      </c>
      <c r="U219" s="9">
        <f>IF(SUMIFS('Monthly BSE Equity Options'!$L:$L,'Monthly BSE Equity Options'!$A:$A,$A219)=0,"",SUMIFS('Monthly BSE Equity Options'!$L:$L,'Monthly BSE Equity Options'!$A:$A,$A219))</f>
        <v/>
      </c>
      <c r="V219" s="9">
        <f>IF(OR(T219="",U219=""),"",T219+U219)</f>
        <v/>
      </c>
      <c r="W219" s="25">
        <f>IF(V219="","",T219/V219)</f>
        <v/>
      </c>
      <c r="X219" s="25">
        <f>IF(V219="","",U219/V219)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19">
        <f>IF(F220="","",D220/F220)</f>
        <v/>
      </c>
      <c r="H220" s="19">
        <f>IF(F220="","",E220/F220)</f>
        <v/>
      </c>
      <c r="I220" s="26">
        <f>IF(OR(D220="",D208=""),"",D220/D208-1)</f>
        <v/>
      </c>
      <c r="J220" s="19">
        <f>IF(OR(E220="",E208=""),"",E220/E208-1)</f>
        <v/>
      </c>
      <c r="K220" s="19">
        <f>IF(OR(F220="",F208=""),"",F220/F208-1)</f>
        <v/>
      </c>
      <c r="L220" s="19">
        <f>IF(OR(D220="",D219=""),"",D220/D219-1)</f>
        <v/>
      </c>
      <c r="M220" s="19">
        <f>IF(OR(E220="",E219=""),"",E220/E219-1)</f>
        <v/>
      </c>
      <c r="N220" s="19">
        <f>IF(OR(F220="",F219=""),"",F220/F219-1)</f>
        <v/>
      </c>
      <c r="O220" s="22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IF(Q220="","",O220/Q220)</f>
        <v/>
      </c>
      <c r="S220" s="23">
        <f>IF(Q220="","",P220/Q220)</f>
        <v/>
      </c>
      <c r="T220" s="24">
        <f>IF(SUMIFS('Monthly NSE Equity Options'!$L:$L,'Monthly NSE Equity Options'!$A:$A,$A220)=0,"",SUMIFS('Monthly NSE Equity Options'!$L:$L,'Monthly NSE Equity Options'!$A:$A,$A220))</f>
        <v/>
      </c>
      <c r="U220" s="9">
        <f>IF(SUMIFS('Monthly BSE Equity Options'!$L:$L,'Monthly BSE Equity Options'!$A:$A,$A220)=0,"",SUMIFS('Monthly BSE Equity Options'!$L:$L,'Monthly BSE Equity Options'!$A:$A,$A220))</f>
        <v/>
      </c>
      <c r="V220" s="9">
        <f>IF(OR(T220="",U220=""),"",T220+U220)</f>
        <v/>
      </c>
      <c r="W220" s="25">
        <f>IF(V220="","",T220/V220)</f>
        <v/>
      </c>
      <c r="X220" s="25">
        <f>IF(V220="","",U220/V220)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19">
        <f>IF(F221="","",D221/F221)</f>
        <v/>
      </c>
      <c r="H221" s="19">
        <f>IF(F221="","",E221/F221)</f>
        <v/>
      </c>
      <c r="I221" s="26">
        <f>IF(OR(D221="",D209=""),"",D221/D209-1)</f>
        <v/>
      </c>
      <c r="J221" s="19">
        <f>IF(OR(E221="",E209=""),"",E221/E209-1)</f>
        <v/>
      </c>
      <c r="K221" s="19">
        <f>IF(OR(F221="",F209=""),"",F221/F209-1)</f>
        <v/>
      </c>
      <c r="L221" s="19">
        <f>IF(OR(D221="",D220=""),"",D221/D220-1)</f>
        <v/>
      </c>
      <c r="M221" s="19">
        <f>IF(OR(E221="",E220=""),"",E221/E220-1)</f>
        <v/>
      </c>
      <c r="N221" s="19">
        <f>IF(OR(F221="",F220=""),"",F221/F220-1)</f>
        <v/>
      </c>
      <c r="O221" s="22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IF(Q221="","",O221/Q221)</f>
        <v/>
      </c>
      <c r="S221" s="23">
        <f>IF(Q221="","",P221/Q221)</f>
        <v/>
      </c>
      <c r="T221" s="24">
        <f>IF(SUMIFS('Monthly NSE Equity Options'!$L:$L,'Monthly NSE Equity Options'!$A:$A,$A221)=0,"",SUMIFS('Monthly NSE Equity Options'!$L:$L,'Monthly NSE Equity Options'!$A:$A,$A221))</f>
        <v/>
      </c>
      <c r="U221" s="9">
        <f>IF(SUMIFS('Monthly BSE Equity Options'!$L:$L,'Monthly BSE Equity Options'!$A:$A,$A221)=0,"",SUMIFS('Monthly BSE Equity Options'!$L:$L,'Monthly BSE Equity Options'!$A:$A,$A221))</f>
        <v/>
      </c>
      <c r="V221" s="9">
        <f>IF(OR(T221="",U221=""),"",T221+U221)</f>
        <v/>
      </c>
      <c r="W221" s="25">
        <f>IF(V221="","",T221/V221)</f>
        <v/>
      </c>
      <c r="X221" s="25">
        <f>IF(V221="","",U221/V221)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19">
        <f>IF(F222="","",D222/F222)</f>
        <v/>
      </c>
      <c r="H222" s="19">
        <f>IF(F222="","",E222/F222)</f>
        <v/>
      </c>
      <c r="I222" s="26">
        <f>IF(OR(D222="",D210=""),"",D222/D210-1)</f>
        <v/>
      </c>
      <c r="J222" s="19">
        <f>IF(OR(E222="",E210=""),"",E222/E210-1)</f>
        <v/>
      </c>
      <c r="K222" s="19">
        <f>IF(OR(F222="",F210=""),"",F222/F210-1)</f>
        <v/>
      </c>
      <c r="L222" s="19">
        <f>IF(OR(D222="",D221=""),"",D222/D221-1)</f>
        <v/>
      </c>
      <c r="M222" s="19">
        <f>IF(OR(E222="",E221=""),"",E222/E221-1)</f>
        <v/>
      </c>
      <c r="N222" s="19">
        <f>IF(OR(F222="",F221=""),"",F222/F221-1)</f>
        <v/>
      </c>
      <c r="O222" s="22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IF(Q222="","",O222/Q222)</f>
        <v/>
      </c>
      <c r="S222" s="23">
        <f>IF(Q222="","",P222/Q222)</f>
        <v/>
      </c>
      <c r="T222" s="24">
        <f>IF(SUMIFS('Monthly NSE Equity Options'!$L:$L,'Monthly NSE Equity Options'!$A:$A,$A222)=0,"",SUMIFS('Monthly NSE Equity Options'!$L:$L,'Monthly NSE Equity Options'!$A:$A,$A222))</f>
        <v/>
      </c>
      <c r="U222" s="9">
        <f>IF(SUMIFS('Monthly BSE Equity Options'!$L:$L,'Monthly BSE Equity Options'!$A:$A,$A222)=0,"",SUMIFS('Monthly BSE Equity Options'!$L:$L,'Monthly BSE Equity Options'!$A:$A,$A222))</f>
        <v/>
      </c>
      <c r="V222" s="9">
        <f>IF(OR(T222="",U222=""),"",T222+U222)</f>
        <v/>
      </c>
      <c r="W222" s="25">
        <f>IF(V222="","",T222/V222)</f>
        <v/>
      </c>
      <c r="X222" s="25">
        <f>IF(V222="","",U222/V222)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19">
        <f>IF(F223="","",D223/F223)</f>
        <v/>
      </c>
      <c r="H223" s="19">
        <f>IF(F223="","",E223/F223)</f>
        <v/>
      </c>
      <c r="I223" s="26">
        <f>IF(OR(D223="",D211=""),"",D223/D211-1)</f>
        <v/>
      </c>
      <c r="J223" s="19">
        <f>IF(OR(E223="",E211=""),"",E223/E211-1)</f>
        <v/>
      </c>
      <c r="K223" s="19">
        <f>IF(OR(F223="",F211=""),"",F223/F211-1)</f>
        <v/>
      </c>
      <c r="L223" s="19">
        <f>IF(OR(D223="",D222=""),"",D223/D222-1)</f>
        <v/>
      </c>
      <c r="M223" s="19">
        <f>IF(OR(E223="",E222=""),"",E223/E222-1)</f>
        <v/>
      </c>
      <c r="N223" s="19">
        <f>IF(OR(F223="",F222=""),"",F223/F222-1)</f>
        <v/>
      </c>
      <c r="O223" s="22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IF(Q223="","",O223/Q223)</f>
        <v/>
      </c>
      <c r="S223" s="23">
        <f>IF(Q223="","",P223/Q223)</f>
        <v/>
      </c>
      <c r="T223" s="24">
        <f>IF(SUMIFS('Monthly NSE Equity Options'!$L:$L,'Monthly NSE Equity Options'!$A:$A,$A223)=0,"",SUMIFS('Monthly NSE Equity Options'!$L:$L,'Monthly NSE Equity Options'!$A:$A,$A223))</f>
        <v/>
      </c>
      <c r="U223" s="9">
        <f>IF(SUMIFS('Monthly BSE Equity Options'!$L:$L,'Monthly BSE Equity Options'!$A:$A,$A223)=0,"",SUMIFS('Monthly BSE Equity Options'!$L:$L,'Monthly BSE Equity Options'!$A:$A,$A223))</f>
        <v/>
      </c>
      <c r="V223" s="9">
        <f>IF(OR(T223="",U223=""),"",T223+U223)</f>
        <v/>
      </c>
      <c r="W223" s="25">
        <f>IF(V223="","",T223/V223)</f>
        <v/>
      </c>
      <c r="X223" s="25">
        <f>IF(V223="","",U223/V223)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19">
        <f>IF(F224="","",D224/F224)</f>
        <v/>
      </c>
      <c r="H224" s="19">
        <f>IF(F224="","",E224/F224)</f>
        <v/>
      </c>
      <c r="I224" s="26">
        <f>IF(OR(D224="",D212=""),"",D224/D212-1)</f>
        <v/>
      </c>
      <c r="J224" s="19">
        <f>IF(OR(E224="",E212=""),"",E224/E212-1)</f>
        <v/>
      </c>
      <c r="K224" s="19">
        <f>IF(OR(F224="",F212=""),"",F224/F212-1)</f>
        <v/>
      </c>
      <c r="L224" s="19">
        <f>IF(OR(D224="",D223=""),"",D224/D223-1)</f>
        <v/>
      </c>
      <c r="M224" s="19">
        <f>IF(OR(E224="",E223=""),"",E224/E223-1)</f>
        <v/>
      </c>
      <c r="N224" s="19">
        <f>IF(OR(F224="",F223=""),"",F224/F223-1)</f>
        <v/>
      </c>
      <c r="O224" s="22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IF(Q224="","",O224/Q224)</f>
        <v/>
      </c>
      <c r="S224" s="23">
        <f>IF(Q224="","",P224/Q224)</f>
        <v/>
      </c>
      <c r="T224" s="24">
        <f>IF(SUMIFS('Monthly NSE Equity Options'!$L:$L,'Monthly NSE Equity Options'!$A:$A,$A224)=0,"",SUMIFS('Monthly NSE Equity Options'!$L:$L,'Monthly NSE Equity Options'!$A:$A,$A224))</f>
        <v/>
      </c>
      <c r="U224" s="9">
        <f>IF(SUMIFS('Monthly BSE Equity Options'!$L:$L,'Monthly BSE Equity Options'!$A:$A,$A224)=0,"",SUMIFS('Monthly BSE Equity Options'!$L:$L,'Monthly BSE Equity Options'!$A:$A,$A224))</f>
        <v/>
      </c>
      <c r="V224" s="9">
        <f>IF(OR(T224="",U224=""),"",T224+U224)</f>
        <v/>
      </c>
      <c r="W224" s="25">
        <f>IF(V224="","",T224/V224)</f>
        <v/>
      </c>
      <c r="X224" s="25">
        <f>IF(V224="","",U224/V224)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19">
        <f>IF(F225="","",D225/F225)</f>
        <v/>
      </c>
      <c r="H225" s="19">
        <f>IF(F225="","",E225/F225)</f>
        <v/>
      </c>
      <c r="I225" s="26">
        <f>IF(OR(D225="",D213=""),"",D225/D213-1)</f>
        <v/>
      </c>
      <c r="J225" s="19">
        <f>IF(OR(E225="",E213=""),"",E225/E213-1)</f>
        <v/>
      </c>
      <c r="K225" s="19">
        <f>IF(OR(F225="",F213=""),"",F225/F213-1)</f>
        <v/>
      </c>
      <c r="L225" s="19">
        <f>IF(OR(D225="",D224=""),"",D225/D224-1)</f>
        <v/>
      </c>
      <c r="M225" s="19">
        <f>IF(OR(E225="",E224=""),"",E225/E224-1)</f>
        <v/>
      </c>
      <c r="N225" s="19">
        <f>IF(OR(F225="",F224=""),"",F225/F224-1)</f>
        <v/>
      </c>
      <c r="O225" s="22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IF(Q225="","",O225/Q225)</f>
        <v/>
      </c>
      <c r="S225" s="23">
        <f>IF(Q225="","",P225/Q225)</f>
        <v/>
      </c>
      <c r="T225" s="24">
        <f>IF(SUMIFS('Monthly NSE Equity Options'!$L:$L,'Monthly NSE Equity Options'!$A:$A,$A225)=0,"",SUMIFS('Monthly NSE Equity Options'!$L:$L,'Monthly NSE Equity Options'!$A:$A,$A225))</f>
        <v/>
      </c>
      <c r="U225" s="9">
        <f>IF(SUMIFS('Monthly BSE Equity Options'!$L:$L,'Monthly BSE Equity Options'!$A:$A,$A225)=0,"",SUMIFS('Monthly BSE Equity Options'!$L:$L,'Monthly BSE Equity Options'!$A:$A,$A225))</f>
        <v/>
      </c>
      <c r="V225" s="9">
        <f>IF(OR(T225="",U225=""),"",T225+U225)</f>
        <v/>
      </c>
      <c r="W225" s="25">
        <f>IF(V225="","",T225/V225)</f>
        <v/>
      </c>
      <c r="X225" s="25">
        <f>IF(V225="","",U225/V225)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19">
        <f>IF(F226="","",D226/F226)</f>
        <v/>
      </c>
      <c r="H226" s="19">
        <f>IF(F226="","",E226/F226)</f>
        <v/>
      </c>
      <c r="I226" s="26">
        <f>IF(OR(D226="",D214=""),"",D226/D214-1)</f>
        <v/>
      </c>
      <c r="J226" s="19">
        <f>IF(OR(E226="",E214=""),"",E226/E214-1)</f>
        <v/>
      </c>
      <c r="K226" s="19">
        <f>IF(OR(F226="",F214=""),"",F226/F214-1)</f>
        <v/>
      </c>
      <c r="L226" s="19">
        <f>IF(OR(D226="",D225=""),"",D226/D225-1)</f>
        <v/>
      </c>
      <c r="M226" s="19">
        <f>IF(OR(E226="",E225=""),"",E226/E225-1)</f>
        <v/>
      </c>
      <c r="N226" s="19">
        <f>IF(OR(F226="",F225=""),"",F226/F225-1)</f>
        <v/>
      </c>
      <c r="O226" s="22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IF(Q226="","",O226/Q226)</f>
        <v/>
      </c>
      <c r="S226" s="23">
        <f>IF(Q226="","",P226/Q226)</f>
        <v/>
      </c>
      <c r="T226" s="24">
        <f>IF(SUMIFS('Monthly NSE Equity Options'!$L:$L,'Monthly NSE Equity Options'!$A:$A,$A226)=0,"",SUMIFS('Monthly NSE Equity Options'!$L:$L,'Monthly NSE Equity Options'!$A:$A,$A226))</f>
        <v/>
      </c>
      <c r="U226" s="9">
        <f>IF(SUMIFS('Monthly BSE Equity Options'!$L:$L,'Monthly BSE Equity Options'!$A:$A,$A226)=0,"",SUMIFS('Monthly BSE Equity Options'!$L:$L,'Monthly BSE Equity Options'!$A:$A,$A226))</f>
        <v/>
      </c>
      <c r="V226" s="9">
        <f>IF(OR(T226="",U226=""),"",T226+U226)</f>
        <v/>
      </c>
      <c r="W226" s="25">
        <f>IF(V226="","",T226/V226)</f>
        <v/>
      </c>
      <c r="X226" s="25">
        <f>IF(V226="","",U226/V226)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19">
        <f>IF(F227="","",D227/F227)</f>
        <v/>
      </c>
      <c r="H227" s="19">
        <f>IF(F227="","",E227/F227)</f>
        <v/>
      </c>
      <c r="I227" s="26">
        <f>IF(OR(D227="",D215=""),"",D227/D215-1)</f>
        <v/>
      </c>
      <c r="J227" s="19">
        <f>IF(OR(E227="",E215=""),"",E227/E215-1)</f>
        <v/>
      </c>
      <c r="K227" s="19">
        <f>IF(OR(F227="",F215=""),"",F227/F215-1)</f>
        <v/>
      </c>
      <c r="L227" s="19">
        <f>IF(OR(D227="",D226=""),"",D227/D226-1)</f>
        <v/>
      </c>
      <c r="M227" s="19">
        <f>IF(OR(E227="",E226=""),"",E227/E226-1)</f>
        <v/>
      </c>
      <c r="N227" s="19">
        <f>IF(OR(F227="",F226=""),"",F227/F226-1)</f>
        <v/>
      </c>
      <c r="O227" s="22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IF(Q227="","",O227/Q227)</f>
        <v/>
      </c>
      <c r="S227" s="23">
        <f>IF(Q227="","",P227/Q227)</f>
        <v/>
      </c>
      <c r="T227" s="24">
        <f>IF(SUMIFS('Monthly NSE Equity Options'!$L:$L,'Monthly NSE Equity Options'!$A:$A,$A227)=0,"",SUMIFS('Monthly NSE Equity Options'!$L:$L,'Monthly NSE Equity Options'!$A:$A,$A227))</f>
        <v/>
      </c>
      <c r="U227" s="9">
        <f>IF(SUMIFS('Monthly BSE Equity Options'!$L:$L,'Monthly BSE Equity Options'!$A:$A,$A227)=0,"",SUMIFS('Monthly BSE Equity Options'!$L:$L,'Monthly BSE Equity Options'!$A:$A,$A227))</f>
        <v/>
      </c>
      <c r="V227" s="9">
        <f>IF(OR(T227="",U227=""),"",T227+U227)</f>
        <v/>
      </c>
      <c r="W227" s="25">
        <f>IF(V227="","",T227/V227)</f>
        <v/>
      </c>
      <c r="X227" s="25">
        <f>IF(V227="","",U227/V227)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19">
        <f>IF(F228="","",D228/F228)</f>
        <v/>
      </c>
      <c r="H228" s="19">
        <f>IF(F228="","",E228/F228)</f>
        <v/>
      </c>
      <c r="I228" s="26">
        <f>IF(OR(D228="",D216=""),"",D228/D216-1)</f>
        <v/>
      </c>
      <c r="J228" s="19">
        <f>IF(OR(E228="",E216=""),"",E228/E216-1)</f>
        <v/>
      </c>
      <c r="K228" s="19">
        <f>IF(OR(F228="",F216=""),"",F228/F216-1)</f>
        <v/>
      </c>
      <c r="L228" s="19">
        <f>IF(OR(D228="",D227=""),"",D228/D227-1)</f>
        <v/>
      </c>
      <c r="M228" s="19">
        <f>IF(OR(E228="",E227=""),"",E228/E227-1)</f>
        <v/>
      </c>
      <c r="N228" s="19">
        <f>IF(OR(F228="",F227=""),"",F228/F227-1)</f>
        <v/>
      </c>
      <c r="O228" s="22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IF(Q228="","",O228/Q228)</f>
        <v/>
      </c>
      <c r="S228" s="23">
        <f>IF(Q228="","",P228/Q228)</f>
        <v/>
      </c>
      <c r="T228" s="24">
        <f>IF(SUMIFS('Monthly NSE Equity Options'!$L:$L,'Monthly NSE Equity Options'!$A:$A,$A228)=0,"",SUMIFS('Monthly NSE Equity Options'!$L:$L,'Monthly NSE Equity Options'!$A:$A,$A228))</f>
        <v/>
      </c>
      <c r="U228" s="9">
        <f>IF(SUMIFS('Monthly BSE Equity Options'!$L:$L,'Monthly BSE Equity Options'!$A:$A,$A228)=0,"",SUMIFS('Monthly BSE Equity Options'!$L:$L,'Monthly BSE Equity Options'!$A:$A,$A228))</f>
        <v/>
      </c>
      <c r="V228" s="9">
        <f>IF(OR(T228="",U228=""),"",T228+U228)</f>
        <v/>
      </c>
      <c r="W228" s="25">
        <f>IF(V228="","",T228/V228)</f>
        <v/>
      </c>
      <c r="X228" s="25">
        <f>IF(V228="","",U228/V228)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19">
        <f>IF(F229="","",D229/F229)</f>
        <v/>
      </c>
      <c r="H229" s="19">
        <f>IF(F229="","",E229/F229)</f>
        <v/>
      </c>
      <c r="I229" s="26">
        <f>IF(OR(D229="",D217=""),"",D229/D217-1)</f>
        <v/>
      </c>
      <c r="J229" s="19">
        <f>IF(OR(E229="",E217=""),"",E229/E217-1)</f>
        <v/>
      </c>
      <c r="K229" s="19">
        <f>IF(OR(F229="",F217=""),"",F229/F217-1)</f>
        <v/>
      </c>
      <c r="L229" s="19">
        <f>IF(OR(D229="",D228=""),"",D229/D228-1)</f>
        <v/>
      </c>
      <c r="M229" s="19">
        <f>IF(OR(E229="",E228=""),"",E229/E228-1)</f>
        <v/>
      </c>
      <c r="N229" s="19">
        <f>IF(OR(F229="",F228=""),"",F229/F228-1)</f>
        <v/>
      </c>
      <c r="O229" s="22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IF(Q229="","",O229/Q229)</f>
        <v/>
      </c>
      <c r="S229" s="23">
        <f>IF(Q229="","",P229/Q229)</f>
        <v/>
      </c>
      <c r="T229" s="24">
        <f>IF(SUMIFS('Monthly NSE Equity Options'!$L:$L,'Monthly NSE Equity Options'!$A:$A,$A229)=0,"",SUMIFS('Monthly NSE Equity Options'!$L:$L,'Monthly NSE Equity Options'!$A:$A,$A229))</f>
        <v/>
      </c>
      <c r="U229" s="9">
        <f>IF(SUMIFS('Monthly BSE Equity Options'!$L:$L,'Monthly BSE Equity Options'!$A:$A,$A229)=0,"",SUMIFS('Monthly BSE Equity Options'!$L:$L,'Monthly BSE Equity Options'!$A:$A,$A229))</f>
        <v/>
      </c>
      <c r="V229" s="9">
        <f>IF(OR(T229="",U229=""),"",T229+U229)</f>
        <v/>
      </c>
      <c r="W229" s="25">
        <f>IF(V229="","",T229/V229)</f>
        <v/>
      </c>
      <c r="X229" s="25">
        <f>IF(V229="","",U229/V229)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19">
        <f>IF(F230="","",D230/F230)</f>
        <v/>
      </c>
      <c r="H230" s="19">
        <f>IF(F230="","",E230/F230)</f>
        <v/>
      </c>
      <c r="I230" s="26">
        <f>IF(OR(D230="",D218=""),"",D230/D218-1)</f>
        <v/>
      </c>
      <c r="J230" s="19">
        <f>IF(OR(E230="",E218=""),"",E230/E218-1)</f>
        <v/>
      </c>
      <c r="K230" s="19">
        <f>IF(OR(F230="",F218=""),"",F230/F218-1)</f>
        <v/>
      </c>
      <c r="L230" s="19">
        <f>IF(OR(D230="",D229=""),"",D230/D229-1)</f>
        <v/>
      </c>
      <c r="M230" s="19">
        <f>IF(OR(E230="",E229=""),"",E230/E229-1)</f>
        <v/>
      </c>
      <c r="N230" s="19">
        <f>IF(OR(F230="",F229=""),"",F230/F229-1)</f>
        <v/>
      </c>
      <c r="O230" s="22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IF(Q230="","",O230/Q230)</f>
        <v/>
      </c>
      <c r="S230" s="23">
        <f>IF(Q230="","",P230/Q230)</f>
        <v/>
      </c>
      <c r="T230" s="24">
        <f>IF(SUMIFS('Monthly NSE Equity Options'!$L:$L,'Monthly NSE Equity Options'!$A:$A,$A230)=0,"",SUMIFS('Monthly NSE Equity Options'!$L:$L,'Monthly NSE Equity Options'!$A:$A,$A230))</f>
        <v/>
      </c>
      <c r="U230" s="9">
        <f>IF(SUMIFS('Monthly BSE Equity Options'!$L:$L,'Monthly BSE Equity Options'!$A:$A,$A230)=0,"",SUMIFS('Monthly BSE Equity Options'!$L:$L,'Monthly BSE Equity Options'!$A:$A,$A230))</f>
        <v/>
      </c>
      <c r="V230" s="9">
        <f>IF(OR(T230="",U230=""),"",T230+U230)</f>
        <v/>
      </c>
      <c r="W230" s="25">
        <f>IF(V230="","",T230/V230)</f>
        <v/>
      </c>
      <c r="X230" s="25">
        <f>IF(V230="","",U230/V230)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19">
        <f>IF(F231="","",D231/F231)</f>
        <v/>
      </c>
      <c r="H231" s="19">
        <f>IF(F231="","",E231/F231)</f>
        <v/>
      </c>
      <c r="I231" s="26">
        <f>IF(OR(D231="",D219=""),"",D231/D219-1)</f>
        <v/>
      </c>
      <c r="J231" s="19">
        <f>IF(OR(E231="",E219=""),"",E231/E219-1)</f>
        <v/>
      </c>
      <c r="K231" s="19">
        <f>IF(OR(F231="",F219=""),"",F231/F219-1)</f>
        <v/>
      </c>
      <c r="L231" s="19">
        <f>IF(OR(D231="",D230=""),"",D231/D230-1)</f>
        <v/>
      </c>
      <c r="M231" s="19">
        <f>IF(OR(E231="",E230=""),"",E231/E230-1)</f>
        <v/>
      </c>
      <c r="N231" s="19">
        <f>IF(OR(F231="",F230=""),"",F231/F230-1)</f>
        <v/>
      </c>
      <c r="O231" s="22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IF(Q231="","",O231/Q231)</f>
        <v/>
      </c>
      <c r="S231" s="23">
        <f>IF(Q231="","",P231/Q231)</f>
        <v/>
      </c>
      <c r="T231" s="24">
        <f>IF(SUMIFS('Monthly NSE Equity Options'!$L:$L,'Monthly NSE Equity Options'!$A:$A,$A231)=0,"",SUMIFS('Monthly NSE Equity Options'!$L:$L,'Monthly NSE Equity Options'!$A:$A,$A231))</f>
        <v/>
      </c>
      <c r="U231" s="9">
        <f>IF(SUMIFS('Monthly BSE Equity Options'!$L:$L,'Monthly BSE Equity Options'!$A:$A,$A231)=0,"",SUMIFS('Monthly BSE Equity Options'!$L:$L,'Monthly BSE Equity Options'!$A:$A,$A231))</f>
        <v/>
      </c>
      <c r="V231" s="9">
        <f>IF(OR(T231="",U231=""),"",T231+U231)</f>
        <v/>
      </c>
      <c r="W231" s="25">
        <f>IF(V231="","",T231/V231)</f>
        <v/>
      </c>
      <c r="X231" s="25">
        <f>IF(V231="","",U231/V231)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19">
        <f>IF(F232="","",D232/F232)</f>
        <v/>
      </c>
      <c r="H232" s="19">
        <f>IF(F232="","",E232/F232)</f>
        <v/>
      </c>
      <c r="I232" s="26">
        <f>IF(OR(D232="",D220=""),"",D232/D220-1)</f>
        <v/>
      </c>
      <c r="J232" s="19">
        <f>IF(OR(E232="",E220=""),"",E232/E220-1)</f>
        <v/>
      </c>
      <c r="K232" s="19">
        <f>IF(OR(F232="",F220=""),"",F232/F220-1)</f>
        <v/>
      </c>
      <c r="L232" s="19">
        <f>IF(OR(D232="",D231=""),"",D232/D231-1)</f>
        <v/>
      </c>
      <c r="M232" s="19">
        <f>IF(OR(E232="",E231=""),"",E232/E231-1)</f>
        <v/>
      </c>
      <c r="N232" s="19">
        <f>IF(OR(F232="",F231=""),"",F232/F231-1)</f>
        <v/>
      </c>
      <c r="O232" s="22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IF(Q232="","",O232/Q232)</f>
        <v/>
      </c>
      <c r="S232" s="23">
        <f>IF(Q232="","",P232/Q232)</f>
        <v/>
      </c>
      <c r="T232" s="24">
        <f>IF(SUMIFS('Monthly NSE Equity Options'!$L:$L,'Monthly NSE Equity Options'!$A:$A,$A232)=0,"",SUMIFS('Monthly NSE Equity Options'!$L:$L,'Monthly NSE Equity Options'!$A:$A,$A232))</f>
        <v/>
      </c>
      <c r="U232" s="9">
        <f>IF(SUMIFS('Monthly BSE Equity Options'!$L:$L,'Monthly BSE Equity Options'!$A:$A,$A232)=0,"",SUMIFS('Monthly BSE Equity Options'!$L:$L,'Monthly BSE Equity Options'!$A:$A,$A232))</f>
        <v/>
      </c>
      <c r="V232" s="9">
        <f>IF(OR(T232="",U232=""),"",T232+U232)</f>
        <v/>
      </c>
      <c r="W232" s="25">
        <f>IF(V232="","",T232/V232)</f>
        <v/>
      </c>
      <c r="X232" s="25">
        <f>IF(V232="","",U232/V232)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19">
        <f>IF(F233="","",D233/F233)</f>
        <v/>
      </c>
      <c r="H233" s="19">
        <f>IF(F233="","",E233/F233)</f>
        <v/>
      </c>
      <c r="I233" s="26">
        <f>IF(OR(D233="",D221=""),"",D233/D221-1)</f>
        <v/>
      </c>
      <c r="J233" s="19">
        <f>IF(OR(E233="",E221=""),"",E233/E221-1)</f>
        <v/>
      </c>
      <c r="K233" s="19">
        <f>IF(OR(F233="",F221=""),"",F233/F221-1)</f>
        <v/>
      </c>
      <c r="L233" s="19">
        <f>IF(OR(D233="",D232=""),"",D233/D232-1)</f>
        <v/>
      </c>
      <c r="M233" s="19">
        <f>IF(OR(E233="",E232=""),"",E233/E232-1)</f>
        <v/>
      </c>
      <c r="N233" s="19">
        <f>IF(OR(F233="",F232=""),"",F233/F232-1)</f>
        <v/>
      </c>
      <c r="O233" s="22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IF(Q233="","",O233/Q233)</f>
        <v/>
      </c>
      <c r="S233" s="23">
        <f>IF(Q233="","",P233/Q233)</f>
        <v/>
      </c>
      <c r="T233" s="24">
        <f>IF(SUMIFS('Monthly NSE Equity Options'!$L:$L,'Monthly NSE Equity Options'!$A:$A,$A233)=0,"",SUMIFS('Monthly NSE Equity Options'!$L:$L,'Monthly NSE Equity Options'!$A:$A,$A233))</f>
        <v/>
      </c>
      <c r="U233" s="9">
        <f>IF(SUMIFS('Monthly BSE Equity Options'!$L:$L,'Monthly BSE Equity Options'!$A:$A,$A233)=0,"",SUMIFS('Monthly BSE Equity Options'!$L:$L,'Monthly BSE Equity Options'!$A:$A,$A233))</f>
        <v/>
      </c>
      <c r="V233" s="9">
        <f>IF(OR(T233="",U233=""),"",T233+U233)</f>
        <v/>
      </c>
      <c r="W233" s="25">
        <f>IF(V233="","",T233/V233)</f>
        <v/>
      </c>
      <c r="X233" s="25">
        <f>IF(V233="","",U233/V233)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19">
        <f>IF(F234="","",D234/F234)</f>
        <v/>
      </c>
      <c r="H234" s="19">
        <f>IF(F234="","",E234/F234)</f>
        <v/>
      </c>
      <c r="I234" s="26">
        <f>IF(OR(D234="",D222=""),"",D234/D222-1)</f>
        <v/>
      </c>
      <c r="J234" s="19">
        <f>IF(OR(E234="",E222=""),"",E234/E222-1)</f>
        <v/>
      </c>
      <c r="K234" s="19">
        <f>IF(OR(F234="",F222=""),"",F234/F222-1)</f>
        <v/>
      </c>
      <c r="L234" s="19">
        <f>IF(OR(D234="",D233=""),"",D234/D233-1)</f>
        <v/>
      </c>
      <c r="M234" s="19">
        <f>IF(OR(E234="",E233=""),"",E234/E233-1)</f>
        <v/>
      </c>
      <c r="N234" s="19">
        <f>IF(OR(F234="",F233=""),"",F234/F233-1)</f>
        <v/>
      </c>
      <c r="O234" s="22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IF(Q234="","",O234/Q234)</f>
        <v/>
      </c>
      <c r="S234" s="23">
        <f>IF(Q234="","",P234/Q234)</f>
        <v/>
      </c>
      <c r="T234" s="24">
        <f>IF(SUMIFS('Monthly NSE Equity Options'!$L:$L,'Monthly NSE Equity Options'!$A:$A,$A234)=0,"",SUMIFS('Monthly NSE Equity Options'!$L:$L,'Monthly NSE Equity Options'!$A:$A,$A234))</f>
        <v/>
      </c>
      <c r="U234" s="9">
        <f>IF(SUMIFS('Monthly BSE Equity Options'!$L:$L,'Monthly BSE Equity Options'!$A:$A,$A234)=0,"",SUMIFS('Monthly BSE Equity Options'!$L:$L,'Monthly BSE Equity Options'!$A:$A,$A234))</f>
        <v/>
      </c>
      <c r="V234" s="9">
        <f>IF(OR(T234="",U234=""),"",T234+U234)</f>
        <v/>
      </c>
      <c r="W234" s="25">
        <f>IF(V234="","",T234/V234)</f>
        <v/>
      </c>
      <c r="X234" s="25">
        <f>IF(V234="","",U234/V234)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19">
        <f>IF(F235="","",D235/F235)</f>
        <v/>
      </c>
      <c r="H235" s="19">
        <f>IF(F235="","",E235/F235)</f>
        <v/>
      </c>
      <c r="I235" s="26">
        <f>IF(OR(D235="",D223=""),"",D235/D223-1)</f>
        <v/>
      </c>
      <c r="J235" s="19">
        <f>IF(OR(E235="",E223=""),"",E235/E223-1)</f>
        <v/>
      </c>
      <c r="K235" s="19">
        <f>IF(OR(F235="",F223=""),"",F235/F223-1)</f>
        <v/>
      </c>
      <c r="L235" s="19">
        <f>IF(OR(D235="",D234=""),"",D235/D234-1)</f>
        <v/>
      </c>
      <c r="M235" s="19">
        <f>IF(OR(E235="",E234=""),"",E235/E234-1)</f>
        <v/>
      </c>
      <c r="N235" s="19">
        <f>IF(OR(F235="",F234=""),"",F235/F234-1)</f>
        <v/>
      </c>
      <c r="O235" s="22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IF(Q235="","",O235/Q235)</f>
        <v/>
      </c>
      <c r="S235" s="23">
        <f>IF(Q235="","",P235/Q235)</f>
        <v/>
      </c>
      <c r="T235" s="24">
        <f>IF(SUMIFS('Monthly NSE Equity Options'!$L:$L,'Monthly NSE Equity Options'!$A:$A,$A235)=0,"",SUMIFS('Monthly NSE Equity Options'!$L:$L,'Monthly NSE Equity Options'!$A:$A,$A235))</f>
        <v/>
      </c>
      <c r="U235" s="9">
        <f>IF(SUMIFS('Monthly BSE Equity Options'!$L:$L,'Monthly BSE Equity Options'!$A:$A,$A235)=0,"",SUMIFS('Monthly BSE Equity Options'!$L:$L,'Monthly BSE Equity Options'!$A:$A,$A235))</f>
        <v/>
      </c>
      <c r="V235" s="9">
        <f>IF(OR(T235="",U235=""),"",T235+U235)</f>
        <v/>
      </c>
      <c r="W235" s="25">
        <f>IF(V235="","",T235/V235)</f>
        <v/>
      </c>
      <c r="X235" s="25">
        <f>IF(V235="","",U235/V235)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19">
        <f>IF(F236="","",D236/F236)</f>
        <v/>
      </c>
      <c r="H236" s="19">
        <f>IF(F236="","",E236/F236)</f>
        <v/>
      </c>
      <c r="I236" s="26">
        <f>IF(OR(D236="",D224=""),"",D236/D224-1)</f>
        <v/>
      </c>
      <c r="J236" s="19">
        <f>IF(OR(E236="",E224=""),"",E236/E224-1)</f>
        <v/>
      </c>
      <c r="K236" s="19">
        <f>IF(OR(F236="",F224=""),"",F236/F224-1)</f>
        <v/>
      </c>
      <c r="L236" s="19">
        <f>IF(OR(D236="",D235=""),"",D236/D235-1)</f>
        <v/>
      </c>
      <c r="M236" s="19">
        <f>IF(OR(E236="",E235=""),"",E236/E235-1)</f>
        <v/>
      </c>
      <c r="N236" s="19">
        <f>IF(OR(F236="",F235=""),"",F236/F235-1)</f>
        <v/>
      </c>
      <c r="O236" s="22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IF(Q236="","",O236/Q236)</f>
        <v/>
      </c>
      <c r="S236" s="23">
        <f>IF(Q236="","",P236/Q236)</f>
        <v/>
      </c>
      <c r="T236" s="24">
        <f>IF(SUMIFS('Monthly NSE Equity Options'!$L:$L,'Monthly NSE Equity Options'!$A:$A,$A236)=0,"",SUMIFS('Monthly NSE Equity Options'!$L:$L,'Monthly NSE Equity Options'!$A:$A,$A236))</f>
        <v/>
      </c>
      <c r="U236" s="9">
        <f>IF(SUMIFS('Monthly BSE Equity Options'!$L:$L,'Monthly BSE Equity Options'!$A:$A,$A236)=0,"",SUMIFS('Monthly BSE Equity Options'!$L:$L,'Monthly BSE Equity Options'!$A:$A,$A236))</f>
        <v/>
      </c>
      <c r="V236" s="9">
        <f>IF(OR(T236="",U236=""),"",T236+U236)</f>
        <v/>
      </c>
      <c r="W236" s="25">
        <f>IF(V236="","",T236/V236)</f>
        <v/>
      </c>
      <c r="X236" s="25">
        <f>IF(V236="","",U236/V236)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19">
        <f>IF(F237="","",D237/F237)</f>
        <v/>
      </c>
      <c r="H237" s="19">
        <f>IF(F237="","",E237/F237)</f>
        <v/>
      </c>
      <c r="I237" s="26">
        <f>IF(OR(D237="",D225=""),"",D237/D225-1)</f>
        <v/>
      </c>
      <c r="J237" s="19">
        <f>IF(OR(E237="",E225=""),"",E237/E225-1)</f>
        <v/>
      </c>
      <c r="K237" s="19">
        <f>IF(OR(F237="",F225=""),"",F237/F225-1)</f>
        <v/>
      </c>
      <c r="L237" s="19">
        <f>IF(OR(D237="",D236=""),"",D237/D236-1)</f>
        <v/>
      </c>
      <c r="M237" s="19">
        <f>IF(OR(E237="",E236=""),"",E237/E236-1)</f>
        <v/>
      </c>
      <c r="N237" s="19">
        <f>IF(OR(F237="",F236=""),"",F237/F236-1)</f>
        <v/>
      </c>
      <c r="O237" s="22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IF(Q237="","",O237/Q237)</f>
        <v/>
      </c>
      <c r="S237" s="23">
        <f>IF(Q237="","",P237/Q237)</f>
        <v/>
      </c>
      <c r="T237" s="24">
        <f>IF(SUMIFS('Monthly NSE Equity Options'!$L:$L,'Monthly NSE Equity Options'!$A:$A,$A237)=0,"",SUMIFS('Monthly NSE Equity Options'!$L:$L,'Monthly NSE Equity Options'!$A:$A,$A237))</f>
        <v/>
      </c>
      <c r="U237" s="9">
        <f>IF(SUMIFS('Monthly BSE Equity Options'!$L:$L,'Monthly BSE Equity Options'!$A:$A,$A237)=0,"",SUMIFS('Monthly BSE Equity Options'!$L:$L,'Monthly BSE Equity Options'!$A:$A,$A237))</f>
        <v/>
      </c>
      <c r="V237" s="9">
        <f>IF(OR(T237="",U237=""),"",T237+U237)</f>
        <v/>
      </c>
      <c r="W237" s="25">
        <f>IF(V237="","",T237/V237)</f>
        <v/>
      </c>
      <c r="X237" s="25">
        <f>IF(V237="","",U237/V237)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19">
        <f>IF(F238="","",D238/F238)</f>
        <v/>
      </c>
      <c r="H238" s="19">
        <f>IF(F238="","",E238/F238)</f>
        <v/>
      </c>
      <c r="I238" s="26">
        <f>IF(OR(D238="",D226=""),"",D238/D226-1)</f>
        <v/>
      </c>
      <c r="J238" s="19">
        <f>IF(OR(E238="",E226=""),"",E238/E226-1)</f>
        <v/>
      </c>
      <c r="K238" s="19">
        <f>IF(OR(F238="",F226=""),"",F238/F226-1)</f>
        <v/>
      </c>
      <c r="L238" s="19">
        <f>IF(OR(D238="",D237=""),"",D238/D237-1)</f>
        <v/>
      </c>
      <c r="M238" s="19">
        <f>IF(OR(E238="",E237=""),"",E238/E237-1)</f>
        <v/>
      </c>
      <c r="N238" s="19">
        <f>IF(OR(F238="",F237=""),"",F238/F237-1)</f>
        <v/>
      </c>
      <c r="O238" s="22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IF(Q238="","",O238/Q238)</f>
        <v/>
      </c>
      <c r="S238" s="23">
        <f>IF(Q238="","",P238/Q238)</f>
        <v/>
      </c>
      <c r="T238" s="24">
        <f>IF(SUMIFS('Monthly NSE Equity Options'!$L:$L,'Monthly NSE Equity Options'!$A:$A,$A238)=0,"",SUMIFS('Monthly NSE Equity Options'!$L:$L,'Monthly NSE Equity Options'!$A:$A,$A238))</f>
        <v/>
      </c>
      <c r="U238" s="9">
        <f>IF(SUMIFS('Monthly BSE Equity Options'!$L:$L,'Monthly BSE Equity Options'!$A:$A,$A238)=0,"",SUMIFS('Monthly BSE Equity Options'!$L:$L,'Monthly BSE Equity Options'!$A:$A,$A238))</f>
        <v/>
      </c>
      <c r="V238" s="9">
        <f>IF(OR(T238="",U238=""),"",T238+U238)</f>
        <v/>
      </c>
      <c r="W238" s="25">
        <f>IF(V238="","",T238/V238)</f>
        <v/>
      </c>
      <c r="X238" s="25">
        <f>IF(V238="","",U238/V238)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19">
        <f>IF(F239="","",D239/F239)</f>
        <v/>
      </c>
      <c r="H239" s="19">
        <f>IF(F239="","",E239/F239)</f>
        <v/>
      </c>
      <c r="I239" s="26">
        <f>IF(OR(D239="",D227=""),"",D239/D227-1)</f>
        <v/>
      </c>
      <c r="J239" s="19">
        <f>IF(OR(E239="",E227=""),"",E239/E227-1)</f>
        <v/>
      </c>
      <c r="K239" s="19">
        <f>IF(OR(F239="",F227=""),"",F239/F227-1)</f>
        <v/>
      </c>
      <c r="L239" s="19">
        <f>IF(OR(D239="",D238=""),"",D239/D238-1)</f>
        <v/>
      </c>
      <c r="M239" s="19">
        <f>IF(OR(E239="",E238=""),"",E239/E238-1)</f>
        <v/>
      </c>
      <c r="N239" s="19">
        <f>IF(OR(F239="",F238=""),"",F239/F238-1)</f>
        <v/>
      </c>
      <c r="O239" s="22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IF(Q239="","",O239/Q239)</f>
        <v/>
      </c>
      <c r="S239" s="23">
        <f>IF(Q239="","",P239/Q239)</f>
        <v/>
      </c>
      <c r="T239" s="24">
        <f>IF(SUMIFS('Monthly NSE Equity Options'!$L:$L,'Monthly NSE Equity Options'!$A:$A,$A239)=0,"",SUMIFS('Monthly NSE Equity Options'!$L:$L,'Monthly NSE Equity Options'!$A:$A,$A239))</f>
        <v/>
      </c>
      <c r="U239" s="9">
        <f>IF(SUMIFS('Monthly BSE Equity Options'!$L:$L,'Monthly BSE Equity Options'!$A:$A,$A239)=0,"",SUMIFS('Monthly BSE Equity Options'!$L:$L,'Monthly BSE Equity Options'!$A:$A,$A239))</f>
        <v/>
      </c>
      <c r="V239" s="9">
        <f>IF(OR(T239="",U239=""),"",T239+U239)</f>
        <v/>
      </c>
      <c r="W239" s="25">
        <f>IF(V239="","",T239/V239)</f>
        <v/>
      </c>
      <c r="X239" s="25">
        <f>IF(V239="","",U239/V239)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19">
        <f>IF(F240="","",D240/F240)</f>
        <v/>
      </c>
      <c r="H240" s="19">
        <f>IF(F240="","",E240/F240)</f>
        <v/>
      </c>
      <c r="I240" s="26">
        <f>IF(OR(D240="",D228=""),"",D240/D228-1)</f>
        <v/>
      </c>
      <c r="J240" s="19">
        <f>IF(OR(E240="",E228=""),"",E240/E228-1)</f>
        <v/>
      </c>
      <c r="K240" s="19">
        <f>IF(OR(F240="",F228=""),"",F240/F228-1)</f>
        <v/>
      </c>
      <c r="L240" s="19">
        <f>IF(OR(D240="",D239=""),"",D240/D239-1)</f>
        <v/>
      </c>
      <c r="M240" s="19">
        <f>IF(OR(E240="",E239=""),"",E240/E239-1)</f>
        <v/>
      </c>
      <c r="N240" s="19">
        <f>IF(OR(F240="",F239=""),"",F240/F239-1)</f>
        <v/>
      </c>
      <c r="O240" s="22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IF(Q240="","",O240/Q240)</f>
        <v/>
      </c>
      <c r="S240" s="23">
        <f>IF(Q240="","",P240/Q240)</f>
        <v/>
      </c>
      <c r="T240" s="24">
        <f>IF(SUMIFS('Monthly NSE Equity Options'!$L:$L,'Monthly NSE Equity Options'!$A:$A,$A240)=0,"",SUMIFS('Monthly NSE Equity Options'!$L:$L,'Monthly NSE Equity Options'!$A:$A,$A240))</f>
        <v/>
      </c>
      <c r="U240" s="9">
        <f>IF(SUMIFS('Monthly BSE Equity Options'!$L:$L,'Monthly BSE Equity Options'!$A:$A,$A240)=0,"",SUMIFS('Monthly BSE Equity Options'!$L:$L,'Monthly BSE Equity Options'!$A:$A,$A240))</f>
        <v/>
      </c>
      <c r="V240" s="9">
        <f>IF(OR(T240="",U240=""),"",T240+U240)</f>
        <v/>
      </c>
      <c r="W240" s="25">
        <f>IF(V240="","",T240/V240)</f>
        <v/>
      </c>
      <c r="X240" s="25">
        <f>IF(V240="","",U240/V240)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19">
        <f>IF(F241="","",D241/F241)</f>
        <v/>
      </c>
      <c r="H241" s="19">
        <f>IF(F241="","",E241/F241)</f>
        <v/>
      </c>
      <c r="I241" s="26">
        <f>IF(OR(D241="",D229=""),"",D241/D229-1)</f>
        <v/>
      </c>
      <c r="J241" s="19">
        <f>IF(OR(E241="",E229=""),"",E241/E229-1)</f>
        <v/>
      </c>
      <c r="K241" s="19">
        <f>IF(OR(F241="",F229=""),"",F241/F229-1)</f>
        <v/>
      </c>
      <c r="L241" s="19">
        <f>IF(OR(D241="",D240=""),"",D241/D240-1)</f>
        <v/>
      </c>
      <c r="M241" s="19">
        <f>IF(OR(E241="",E240=""),"",E241/E240-1)</f>
        <v/>
      </c>
      <c r="N241" s="19">
        <f>IF(OR(F241="",F240=""),"",F241/F240-1)</f>
        <v/>
      </c>
      <c r="O241" s="22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IF(Q241="","",O241/Q241)</f>
        <v/>
      </c>
      <c r="S241" s="23">
        <f>IF(Q241="","",P241/Q241)</f>
        <v/>
      </c>
      <c r="T241" s="24">
        <f>IF(SUMIFS('Monthly NSE Equity Options'!$L:$L,'Monthly NSE Equity Options'!$A:$A,$A241)=0,"",SUMIFS('Monthly NSE Equity Options'!$L:$L,'Monthly NSE Equity Options'!$A:$A,$A241))</f>
        <v/>
      </c>
      <c r="U241" s="9">
        <f>IF(SUMIFS('Monthly BSE Equity Options'!$L:$L,'Monthly BSE Equity Options'!$A:$A,$A241)=0,"",SUMIFS('Monthly BSE Equity Options'!$L:$L,'Monthly BSE Equity Options'!$A:$A,$A241))</f>
        <v/>
      </c>
      <c r="V241" s="9">
        <f>IF(OR(T241="",U241=""),"",T241+U241)</f>
        <v/>
      </c>
      <c r="W241" s="25">
        <f>IF(V241="","",T241/V241)</f>
        <v/>
      </c>
      <c r="X241" s="25">
        <f>IF(V241="","",U241/V241)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19">
        <f>IF(F242="","",D242/F242)</f>
        <v/>
      </c>
      <c r="H242" s="19">
        <f>IF(F242="","",E242/F242)</f>
        <v/>
      </c>
      <c r="I242" s="26">
        <f>IF(OR(D242="",D230=""),"",D242/D230-1)</f>
        <v/>
      </c>
      <c r="J242" s="19">
        <f>IF(OR(E242="",E230=""),"",E242/E230-1)</f>
        <v/>
      </c>
      <c r="K242" s="19">
        <f>IF(OR(F242="",F230=""),"",F242/F230-1)</f>
        <v/>
      </c>
      <c r="L242" s="19">
        <f>IF(OR(D242="",D241=""),"",D242/D241-1)</f>
        <v/>
      </c>
      <c r="M242" s="19">
        <f>IF(OR(E242="",E241=""),"",E242/E241-1)</f>
        <v/>
      </c>
      <c r="N242" s="19">
        <f>IF(OR(F242="",F241=""),"",F242/F241-1)</f>
        <v/>
      </c>
      <c r="O242" s="22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IF(Q242="","",O242/Q242)</f>
        <v/>
      </c>
      <c r="S242" s="23">
        <f>IF(Q242="","",P242/Q242)</f>
        <v/>
      </c>
      <c r="T242" s="24">
        <f>IF(SUMIFS('Monthly NSE Equity Options'!$L:$L,'Monthly NSE Equity Options'!$A:$A,$A242)=0,"",SUMIFS('Monthly NSE Equity Options'!$L:$L,'Monthly NSE Equity Options'!$A:$A,$A242))</f>
        <v/>
      </c>
      <c r="U242" s="9">
        <f>IF(SUMIFS('Monthly BSE Equity Options'!$L:$L,'Monthly BSE Equity Options'!$A:$A,$A242)=0,"",SUMIFS('Monthly BSE Equity Options'!$L:$L,'Monthly BSE Equity Options'!$A:$A,$A242))</f>
        <v/>
      </c>
      <c r="V242" s="9">
        <f>IF(OR(T242="",U242=""),"",T242+U242)</f>
        <v/>
      </c>
      <c r="W242" s="25">
        <f>IF(V242="","",T242/V242)</f>
        <v/>
      </c>
      <c r="X242" s="25">
        <f>IF(V242="","",U242/V242)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19">
        <f>IF(F243="","",D243/F243)</f>
        <v/>
      </c>
      <c r="H243" s="19">
        <f>IF(F243="","",E243/F243)</f>
        <v/>
      </c>
      <c r="I243" s="26">
        <f>IF(OR(D243="",D231=""),"",D243/D231-1)</f>
        <v/>
      </c>
      <c r="J243" s="19">
        <f>IF(OR(E243="",E231=""),"",E243/E231-1)</f>
        <v/>
      </c>
      <c r="K243" s="19">
        <f>IF(OR(F243="",F231=""),"",F243/F231-1)</f>
        <v/>
      </c>
      <c r="L243" s="19">
        <f>IF(OR(D243="",D242=""),"",D243/D242-1)</f>
        <v/>
      </c>
      <c r="M243" s="19">
        <f>IF(OR(E243="",E242=""),"",E243/E242-1)</f>
        <v/>
      </c>
      <c r="N243" s="19">
        <f>IF(OR(F243="",F242=""),"",F243/F242-1)</f>
        <v/>
      </c>
      <c r="O243" s="22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IF(Q243="","",O243/Q243)</f>
        <v/>
      </c>
      <c r="S243" s="23">
        <f>IF(Q243="","",P243/Q243)</f>
        <v/>
      </c>
      <c r="T243" s="24">
        <f>IF(SUMIFS('Monthly NSE Equity Options'!$L:$L,'Monthly NSE Equity Options'!$A:$A,$A243)=0,"",SUMIFS('Monthly NSE Equity Options'!$L:$L,'Monthly NSE Equity Options'!$A:$A,$A243))</f>
        <v/>
      </c>
      <c r="U243" s="9">
        <f>IF(SUMIFS('Monthly BSE Equity Options'!$L:$L,'Monthly BSE Equity Options'!$A:$A,$A243)=0,"",SUMIFS('Monthly BSE Equity Options'!$L:$L,'Monthly BSE Equity Options'!$A:$A,$A243))</f>
        <v/>
      </c>
      <c r="V243" s="9">
        <f>IF(OR(T243="",U243=""),"",T243+U243)</f>
        <v/>
      </c>
      <c r="W243" s="25">
        <f>IF(V243="","",T243/V243)</f>
        <v/>
      </c>
      <c r="X243" s="25">
        <f>IF(V243="","",U243/V243)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19">
        <f>IF(F244="","",D244/F244)</f>
        <v/>
      </c>
      <c r="H244" s="19">
        <f>IF(F244="","",E244/F244)</f>
        <v/>
      </c>
      <c r="I244" s="26">
        <f>IF(OR(D244="",D232=""),"",D244/D232-1)</f>
        <v/>
      </c>
      <c r="J244" s="19">
        <f>IF(OR(E244="",E232=""),"",E244/E232-1)</f>
        <v/>
      </c>
      <c r="K244" s="19">
        <f>IF(OR(F244="",F232=""),"",F244/F232-1)</f>
        <v/>
      </c>
      <c r="L244" s="19">
        <f>IF(OR(D244="",D243=""),"",D244/D243-1)</f>
        <v/>
      </c>
      <c r="M244" s="19">
        <f>IF(OR(E244="",E243=""),"",E244/E243-1)</f>
        <v/>
      </c>
      <c r="N244" s="19">
        <f>IF(OR(F244="",F243=""),"",F244/F243-1)</f>
        <v/>
      </c>
      <c r="O244" s="22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IF(Q244="","",O244/Q244)</f>
        <v/>
      </c>
      <c r="S244" s="23">
        <f>IF(Q244="","",P244/Q244)</f>
        <v/>
      </c>
      <c r="T244" s="24">
        <f>IF(SUMIFS('Monthly NSE Equity Options'!$L:$L,'Monthly NSE Equity Options'!$A:$A,$A244)=0,"",SUMIFS('Monthly NSE Equity Options'!$L:$L,'Monthly NSE Equity Options'!$A:$A,$A244))</f>
        <v/>
      </c>
      <c r="U244" s="9">
        <f>IF(SUMIFS('Monthly BSE Equity Options'!$L:$L,'Monthly BSE Equity Options'!$A:$A,$A244)=0,"",SUMIFS('Monthly BSE Equity Options'!$L:$L,'Monthly BSE Equity Options'!$A:$A,$A244))</f>
        <v/>
      </c>
      <c r="V244" s="9">
        <f>IF(OR(T244="",U244=""),"",T244+U244)</f>
        <v/>
      </c>
      <c r="W244" s="25">
        <f>IF(V244="","",T244/V244)</f>
        <v/>
      </c>
      <c r="X244" s="25">
        <f>IF(V244="","",U244/V244)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19">
        <f>IF(F245="","",D245/F245)</f>
        <v/>
      </c>
      <c r="H245" s="19">
        <f>IF(F245="","",E245/F245)</f>
        <v/>
      </c>
      <c r="I245" s="26">
        <f>IF(OR(D245="",D233=""),"",D245/D233-1)</f>
        <v/>
      </c>
      <c r="J245" s="19">
        <f>IF(OR(E245="",E233=""),"",E245/E233-1)</f>
        <v/>
      </c>
      <c r="K245" s="19">
        <f>IF(OR(F245="",F233=""),"",F245/F233-1)</f>
        <v/>
      </c>
      <c r="L245" s="19">
        <f>IF(OR(D245="",D244=""),"",D245/D244-1)</f>
        <v/>
      </c>
      <c r="M245" s="19">
        <f>IF(OR(E245="",E244=""),"",E245/E244-1)</f>
        <v/>
      </c>
      <c r="N245" s="19">
        <f>IF(OR(F245="",F244=""),"",F245/F244-1)</f>
        <v/>
      </c>
      <c r="O245" s="22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IF(Q245="","",O245/Q245)</f>
        <v/>
      </c>
      <c r="S245" s="23">
        <f>IF(Q245="","",P245/Q245)</f>
        <v/>
      </c>
      <c r="T245" s="24">
        <f>IF(SUMIFS('Monthly NSE Equity Options'!$L:$L,'Monthly NSE Equity Options'!$A:$A,$A245)=0,"",SUMIFS('Monthly NSE Equity Options'!$L:$L,'Monthly NSE Equity Options'!$A:$A,$A245))</f>
        <v/>
      </c>
      <c r="U245" s="9">
        <f>IF(SUMIFS('Monthly BSE Equity Options'!$L:$L,'Monthly BSE Equity Options'!$A:$A,$A245)=0,"",SUMIFS('Monthly BSE Equity Options'!$L:$L,'Monthly BSE Equity Options'!$A:$A,$A245))</f>
        <v/>
      </c>
      <c r="V245" s="9">
        <f>IF(OR(T245="",U245=""),"",T245+U245)</f>
        <v/>
      </c>
      <c r="W245" s="25">
        <f>IF(V245="","",T245/V245)</f>
        <v/>
      </c>
      <c r="X245" s="25">
        <f>IF(V245="","",U245/V245)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19">
        <f>IF(F246="","",D246/F246)</f>
        <v/>
      </c>
      <c r="H246" s="19">
        <f>IF(F246="","",E246/F246)</f>
        <v/>
      </c>
      <c r="I246" s="26">
        <f>IF(OR(D246="",D234=""),"",D246/D234-1)</f>
        <v/>
      </c>
      <c r="J246" s="19">
        <f>IF(OR(E246="",E234=""),"",E246/E234-1)</f>
        <v/>
      </c>
      <c r="K246" s="19">
        <f>IF(OR(F246="",F234=""),"",F246/F234-1)</f>
        <v/>
      </c>
      <c r="L246" s="19">
        <f>IF(OR(D246="",D245=""),"",D246/D245-1)</f>
        <v/>
      </c>
      <c r="M246" s="19">
        <f>IF(OR(E246="",E245=""),"",E246/E245-1)</f>
        <v/>
      </c>
      <c r="N246" s="19">
        <f>IF(OR(F246="",F245=""),"",F246/F245-1)</f>
        <v/>
      </c>
      <c r="O246" s="22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IF(Q246="","",O246/Q246)</f>
        <v/>
      </c>
      <c r="S246" s="23">
        <f>IF(Q246="","",P246/Q246)</f>
        <v/>
      </c>
      <c r="T246" s="24">
        <f>IF(SUMIFS('Monthly NSE Equity Options'!$L:$L,'Monthly NSE Equity Options'!$A:$A,$A246)=0,"",SUMIFS('Monthly NSE Equity Options'!$L:$L,'Monthly NSE Equity Options'!$A:$A,$A246))</f>
        <v/>
      </c>
      <c r="U246" s="9">
        <f>IF(SUMIFS('Monthly BSE Equity Options'!$L:$L,'Monthly BSE Equity Options'!$A:$A,$A246)=0,"",SUMIFS('Monthly BSE Equity Options'!$L:$L,'Monthly BSE Equity Options'!$A:$A,$A246))</f>
        <v/>
      </c>
      <c r="V246" s="9">
        <f>IF(OR(T246="",U246=""),"",T246+U246)</f>
        <v/>
      </c>
      <c r="W246" s="25">
        <f>IF(V246="","",T246/V246)</f>
        <v/>
      </c>
      <c r="X246" s="25">
        <f>IF(V246="","",U246/V246)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19">
        <f>IF(F247="","",D247/F247)</f>
        <v/>
      </c>
      <c r="H247" s="19">
        <f>IF(F247="","",E247/F247)</f>
        <v/>
      </c>
      <c r="I247" s="26">
        <f>IF(OR(D247="",D235=""),"",D247/D235-1)</f>
        <v/>
      </c>
      <c r="J247" s="19">
        <f>IF(OR(E247="",E235=""),"",E247/E235-1)</f>
        <v/>
      </c>
      <c r="K247" s="19">
        <f>IF(OR(F247="",F235=""),"",F247/F235-1)</f>
        <v/>
      </c>
      <c r="L247" s="19">
        <f>IF(OR(D247="",D246=""),"",D247/D246-1)</f>
        <v/>
      </c>
      <c r="M247" s="19">
        <f>IF(OR(E247="",E246=""),"",E247/E246-1)</f>
        <v/>
      </c>
      <c r="N247" s="19">
        <f>IF(OR(F247="",F246=""),"",F247/F246-1)</f>
        <v/>
      </c>
      <c r="O247" s="22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IF(Q247="","",O247/Q247)</f>
        <v/>
      </c>
      <c r="S247" s="23">
        <f>IF(Q247="","",P247/Q247)</f>
        <v/>
      </c>
      <c r="T247" s="24">
        <f>IF(SUMIFS('Monthly NSE Equity Options'!$L:$L,'Monthly NSE Equity Options'!$A:$A,$A247)=0,"",SUMIFS('Monthly NSE Equity Options'!$L:$L,'Monthly NSE Equity Options'!$A:$A,$A247))</f>
        <v/>
      </c>
      <c r="U247" s="9">
        <f>IF(SUMIFS('Monthly BSE Equity Options'!$L:$L,'Monthly BSE Equity Options'!$A:$A,$A247)=0,"",SUMIFS('Monthly BSE Equity Options'!$L:$L,'Monthly BSE Equity Options'!$A:$A,$A247))</f>
        <v/>
      </c>
      <c r="V247" s="9">
        <f>IF(OR(T247="",U247=""),"",T247+U247)</f>
        <v/>
      </c>
      <c r="W247" s="25">
        <f>IF(V247="","",T247/V247)</f>
        <v/>
      </c>
      <c r="X247" s="25">
        <f>IF(V247="","",U247/V247)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19">
        <f>IF(F248="","",D248/F248)</f>
        <v/>
      </c>
      <c r="H248" s="19">
        <f>IF(F248="","",E248/F248)</f>
        <v/>
      </c>
      <c r="I248" s="26">
        <f>IF(OR(D248="",D236=""),"",D248/D236-1)</f>
        <v/>
      </c>
      <c r="J248" s="19">
        <f>IF(OR(E248="",E236=""),"",E248/E236-1)</f>
        <v/>
      </c>
      <c r="K248" s="19">
        <f>IF(OR(F248="",F236=""),"",F248/F236-1)</f>
        <v/>
      </c>
      <c r="L248" s="19">
        <f>IF(OR(D248="",D247=""),"",D248/D247-1)</f>
        <v/>
      </c>
      <c r="M248" s="19">
        <f>IF(OR(E248="",E247=""),"",E248/E247-1)</f>
        <v/>
      </c>
      <c r="N248" s="19">
        <f>IF(OR(F248="",F247=""),"",F248/F247-1)</f>
        <v/>
      </c>
      <c r="O248" s="22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IF(Q248="","",O248/Q248)</f>
        <v/>
      </c>
      <c r="S248" s="23">
        <f>IF(Q248="","",P248/Q248)</f>
        <v/>
      </c>
      <c r="T248" s="24">
        <f>IF(SUMIFS('Monthly NSE Equity Options'!$L:$L,'Monthly NSE Equity Options'!$A:$A,$A248)=0,"",SUMIFS('Monthly NSE Equity Options'!$L:$L,'Monthly NSE Equity Options'!$A:$A,$A248))</f>
        <v/>
      </c>
      <c r="U248" s="9">
        <f>IF(SUMIFS('Monthly BSE Equity Options'!$L:$L,'Monthly BSE Equity Options'!$A:$A,$A248)=0,"",SUMIFS('Monthly BSE Equity Options'!$L:$L,'Monthly BSE Equity Options'!$A:$A,$A248))</f>
        <v/>
      </c>
      <c r="V248" s="9">
        <f>IF(OR(T248="",U248=""),"",T248+U248)</f>
        <v/>
      </c>
      <c r="W248" s="25">
        <f>IF(V248="","",T248/V248)</f>
        <v/>
      </c>
      <c r="X248" s="25">
        <f>IF(V248="","",U248/V248)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19">
        <f>IF(F249="","",D249/F249)</f>
        <v/>
      </c>
      <c r="H249" s="19">
        <f>IF(F249="","",E249/F249)</f>
        <v/>
      </c>
      <c r="I249" s="26">
        <f>IF(OR(D249="",D237=""),"",D249/D237-1)</f>
        <v/>
      </c>
      <c r="J249" s="19">
        <f>IF(OR(E249="",E237=""),"",E249/E237-1)</f>
        <v/>
      </c>
      <c r="K249" s="19">
        <f>IF(OR(F249="",F237=""),"",F249/F237-1)</f>
        <v/>
      </c>
      <c r="L249" s="19">
        <f>IF(OR(D249="",D248=""),"",D249/D248-1)</f>
        <v/>
      </c>
      <c r="M249" s="19">
        <f>IF(OR(E249="",E248=""),"",E249/E248-1)</f>
        <v/>
      </c>
      <c r="N249" s="19">
        <f>IF(OR(F249="",F248=""),"",F249/F248-1)</f>
        <v/>
      </c>
      <c r="O249" s="22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IF(Q249="","",O249/Q249)</f>
        <v/>
      </c>
      <c r="S249" s="23">
        <f>IF(Q249="","",P249/Q249)</f>
        <v/>
      </c>
      <c r="T249" s="24">
        <f>IF(SUMIFS('Monthly NSE Equity Options'!$L:$L,'Monthly NSE Equity Options'!$A:$A,$A249)=0,"",SUMIFS('Monthly NSE Equity Options'!$L:$L,'Monthly NSE Equity Options'!$A:$A,$A249))</f>
        <v/>
      </c>
      <c r="U249" s="9">
        <f>IF(SUMIFS('Monthly BSE Equity Options'!$L:$L,'Monthly BSE Equity Options'!$A:$A,$A249)=0,"",SUMIFS('Monthly BSE Equity Options'!$L:$L,'Monthly BSE Equity Options'!$A:$A,$A249))</f>
        <v/>
      </c>
      <c r="V249" s="9">
        <f>IF(OR(T249="",U249=""),"",T249+U249)</f>
        <v/>
      </c>
      <c r="W249" s="25">
        <f>IF(V249="","",T249/V249)</f>
        <v/>
      </c>
      <c r="X249" s="25">
        <f>IF(V249="","",U249/V249)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19">
        <f>IF(F250="","",D250/F250)</f>
        <v/>
      </c>
      <c r="H250" s="19">
        <f>IF(F250="","",E250/F250)</f>
        <v/>
      </c>
      <c r="I250" s="26">
        <f>IF(OR(D250="",D238=""),"",D250/D238-1)</f>
        <v/>
      </c>
      <c r="J250" s="19">
        <f>IF(OR(E250="",E238=""),"",E250/E238-1)</f>
        <v/>
      </c>
      <c r="K250" s="19">
        <f>IF(OR(F250="",F238=""),"",F250/F238-1)</f>
        <v/>
      </c>
      <c r="L250" s="19">
        <f>IF(OR(D250="",D249=""),"",D250/D249-1)</f>
        <v/>
      </c>
      <c r="M250" s="19">
        <f>IF(OR(E250="",E249=""),"",E250/E249-1)</f>
        <v/>
      </c>
      <c r="N250" s="19">
        <f>IF(OR(F250="",F249=""),"",F250/F249-1)</f>
        <v/>
      </c>
      <c r="O250" s="22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IF(Q250="","",O250/Q250)</f>
        <v/>
      </c>
      <c r="S250" s="23">
        <f>IF(Q250="","",P250/Q250)</f>
        <v/>
      </c>
      <c r="T250" s="24">
        <f>IF(SUMIFS('Monthly NSE Equity Options'!$L:$L,'Monthly NSE Equity Options'!$A:$A,$A250)=0,"",SUMIFS('Monthly NSE Equity Options'!$L:$L,'Monthly NSE Equity Options'!$A:$A,$A250))</f>
        <v/>
      </c>
      <c r="U250" s="9">
        <f>IF(SUMIFS('Monthly BSE Equity Options'!$L:$L,'Monthly BSE Equity Options'!$A:$A,$A250)=0,"",SUMIFS('Monthly BSE Equity Options'!$L:$L,'Monthly BSE Equity Options'!$A:$A,$A250))</f>
        <v/>
      </c>
      <c r="V250" s="9">
        <f>IF(OR(T250="",U250=""),"",T250+U250)</f>
        <v/>
      </c>
      <c r="W250" s="25">
        <f>IF(V250="","",T250/V250)</f>
        <v/>
      </c>
      <c r="X250" s="25">
        <f>IF(V250="","",U250/V250)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19">
        <f>IF(F251="","",D251/F251)</f>
        <v/>
      </c>
      <c r="H251" s="19">
        <f>IF(F251="","",E251/F251)</f>
        <v/>
      </c>
      <c r="I251" s="26">
        <f>IF(OR(D251="",D239=""),"",D251/D239-1)</f>
        <v/>
      </c>
      <c r="J251" s="19">
        <f>IF(OR(E251="",E239=""),"",E251/E239-1)</f>
        <v/>
      </c>
      <c r="K251" s="19">
        <f>IF(OR(F251="",F239=""),"",F251/F239-1)</f>
        <v/>
      </c>
      <c r="L251" s="19">
        <f>IF(OR(D251="",D250=""),"",D251/D250-1)</f>
        <v/>
      </c>
      <c r="M251" s="19">
        <f>IF(OR(E251="",E250=""),"",E251/E250-1)</f>
        <v/>
      </c>
      <c r="N251" s="19">
        <f>IF(OR(F251="",F250=""),"",F251/F250-1)</f>
        <v/>
      </c>
      <c r="O251" s="22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IF(Q251="","",O251/Q251)</f>
        <v/>
      </c>
      <c r="S251" s="23">
        <f>IF(Q251="","",P251/Q251)</f>
        <v/>
      </c>
      <c r="T251" s="24">
        <f>IF(SUMIFS('Monthly NSE Equity Options'!$L:$L,'Monthly NSE Equity Options'!$A:$A,$A251)=0,"",SUMIFS('Monthly NSE Equity Options'!$L:$L,'Monthly NSE Equity Options'!$A:$A,$A251))</f>
        <v/>
      </c>
      <c r="U251" s="9">
        <f>IF(SUMIFS('Monthly BSE Equity Options'!$L:$L,'Monthly BSE Equity Options'!$A:$A,$A251)=0,"",SUMIFS('Monthly BSE Equity Options'!$L:$L,'Monthly BSE Equity Options'!$A:$A,$A251))</f>
        <v/>
      </c>
      <c r="V251" s="9">
        <f>IF(OR(T251="",U251=""),"",T251+U251)</f>
        <v/>
      </c>
      <c r="W251" s="25">
        <f>IF(V251="","",T251/V251)</f>
        <v/>
      </c>
      <c r="X251" s="25">
        <f>IF(V251="","",U251/V251)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19">
        <f>IF(F252="","",D252/F252)</f>
        <v/>
      </c>
      <c r="H252" s="19">
        <f>IF(F252="","",E252/F252)</f>
        <v/>
      </c>
      <c r="I252" s="26">
        <f>IF(OR(D252="",D240=""),"",D252/D240-1)</f>
        <v/>
      </c>
      <c r="J252" s="19">
        <f>IF(OR(E252="",E240=""),"",E252/E240-1)</f>
        <v/>
      </c>
      <c r="K252" s="19">
        <f>IF(OR(F252="",F240=""),"",F252/F240-1)</f>
        <v/>
      </c>
      <c r="L252" s="19">
        <f>IF(OR(D252="",D251=""),"",D252/D251-1)</f>
        <v/>
      </c>
      <c r="M252" s="19">
        <f>IF(OR(E252="",E251=""),"",E252/E251-1)</f>
        <v/>
      </c>
      <c r="N252" s="19">
        <f>IF(OR(F252="",F251=""),"",F252/F251-1)</f>
        <v/>
      </c>
      <c r="O252" s="22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IF(Q252="","",O252/Q252)</f>
        <v/>
      </c>
      <c r="S252" s="23">
        <f>IF(Q252="","",P252/Q252)</f>
        <v/>
      </c>
      <c r="T252" s="24">
        <f>IF(SUMIFS('Monthly NSE Equity Options'!$L:$L,'Monthly NSE Equity Options'!$A:$A,$A252)=0,"",SUMIFS('Monthly NSE Equity Options'!$L:$L,'Monthly NSE Equity Options'!$A:$A,$A252))</f>
        <v/>
      </c>
      <c r="U252" s="9">
        <f>IF(SUMIFS('Monthly BSE Equity Options'!$L:$L,'Monthly BSE Equity Options'!$A:$A,$A252)=0,"",SUMIFS('Monthly BSE Equity Options'!$L:$L,'Monthly BSE Equity Options'!$A:$A,$A252))</f>
        <v/>
      </c>
      <c r="V252" s="9">
        <f>IF(OR(T252="",U252=""),"",T252+U252)</f>
        <v/>
      </c>
      <c r="W252" s="25">
        <f>IF(V252="","",T252/V252)</f>
        <v/>
      </c>
      <c r="X252" s="25">
        <f>IF(V252="","",U252/V252)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19">
        <f>IF(F253="","",D253/F253)</f>
        <v/>
      </c>
      <c r="H253" s="19">
        <f>IF(F253="","",E253/F253)</f>
        <v/>
      </c>
      <c r="I253" s="26">
        <f>IF(OR(D253="",D241=""),"",D253/D241-1)</f>
        <v/>
      </c>
      <c r="J253" s="19">
        <f>IF(OR(E253="",E241=""),"",E253/E241-1)</f>
        <v/>
      </c>
      <c r="K253" s="19">
        <f>IF(OR(F253="",F241=""),"",F253/F241-1)</f>
        <v/>
      </c>
      <c r="L253" s="19">
        <f>IF(OR(D253="",D252=""),"",D253/D252-1)</f>
        <v/>
      </c>
      <c r="M253" s="19">
        <f>IF(OR(E253="",E252=""),"",E253/E252-1)</f>
        <v/>
      </c>
      <c r="N253" s="19">
        <f>IF(OR(F253="",F252=""),"",F253/F252-1)</f>
        <v/>
      </c>
      <c r="O253" s="22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IF(Q253="","",O253/Q253)</f>
        <v/>
      </c>
      <c r="S253" s="23">
        <f>IF(Q253="","",P253/Q253)</f>
        <v/>
      </c>
      <c r="T253" s="24">
        <f>IF(SUMIFS('Monthly NSE Equity Options'!$L:$L,'Monthly NSE Equity Options'!$A:$A,$A253)=0,"",SUMIFS('Monthly NSE Equity Options'!$L:$L,'Monthly NSE Equity Options'!$A:$A,$A253))</f>
        <v/>
      </c>
      <c r="U253" s="9">
        <f>IF(SUMIFS('Monthly BSE Equity Options'!$L:$L,'Monthly BSE Equity Options'!$A:$A,$A253)=0,"",SUMIFS('Monthly BSE Equity Options'!$L:$L,'Monthly BSE Equity Options'!$A:$A,$A253))</f>
        <v/>
      </c>
      <c r="V253" s="9">
        <f>IF(OR(T253="",U253=""),"",T253+U253)</f>
        <v/>
      </c>
      <c r="W253" s="25">
        <f>IF(V253="","",T253/V253)</f>
        <v/>
      </c>
      <c r="X253" s="25">
        <f>IF(V253="","",U253/V253)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19">
        <f>IF(F254="","",D254/F254)</f>
        <v/>
      </c>
      <c r="H254" s="19">
        <f>IF(F254="","",E254/F254)</f>
        <v/>
      </c>
      <c r="I254" s="26">
        <f>IF(OR(D254="",D242=""),"",D254/D242-1)</f>
        <v/>
      </c>
      <c r="J254" s="19">
        <f>IF(OR(E254="",E242=""),"",E254/E242-1)</f>
        <v/>
      </c>
      <c r="K254" s="19">
        <f>IF(OR(F254="",F242=""),"",F254/F242-1)</f>
        <v/>
      </c>
      <c r="L254" s="19">
        <f>IF(OR(D254="",D253=""),"",D254/D253-1)</f>
        <v/>
      </c>
      <c r="M254" s="19">
        <f>IF(OR(E254="",E253=""),"",E254/E253-1)</f>
        <v/>
      </c>
      <c r="N254" s="19">
        <f>IF(OR(F254="",F253=""),"",F254/F253-1)</f>
        <v/>
      </c>
      <c r="O254" s="22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IF(Q254="","",O254/Q254)</f>
        <v/>
      </c>
      <c r="S254" s="23">
        <f>IF(Q254="","",P254/Q254)</f>
        <v/>
      </c>
      <c r="T254" s="24">
        <f>IF(SUMIFS('Monthly NSE Equity Options'!$L:$L,'Monthly NSE Equity Options'!$A:$A,$A254)=0,"",SUMIFS('Monthly NSE Equity Options'!$L:$L,'Monthly NSE Equity Options'!$A:$A,$A254))</f>
        <v/>
      </c>
      <c r="U254" s="9">
        <f>IF(SUMIFS('Monthly BSE Equity Options'!$L:$L,'Monthly BSE Equity Options'!$A:$A,$A254)=0,"",SUMIFS('Monthly BSE Equity Options'!$L:$L,'Monthly BSE Equity Options'!$A:$A,$A254))</f>
        <v/>
      </c>
      <c r="V254" s="9">
        <f>IF(OR(T254="",U254=""),"",T254+U254)</f>
        <v/>
      </c>
      <c r="W254" s="25">
        <f>IF(V254="","",T254/V254)</f>
        <v/>
      </c>
      <c r="X254" s="25">
        <f>IF(V254="","",U254/V254)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19">
        <f>IF(F255="","",D255/F255)</f>
        <v/>
      </c>
      <c r="H255" s="19">
        <f>IF(F255="","",E255/F255)</f>
        <v/>
      </c>
      <c r="I255" s="26">
        <f>IF(OR(D255="",D243=""),"",D255/D243-1)</f>
        <v/>
      </c>
      <c r="J255" s="19">
        <f>IF(OR(E255="",E243=""),"",E255/E243-1)</f>
        <v/>
      </c>
      <c r="K255" s="19">
        <f>IF(OR(F255="",F243=""),"",F255/F243-1)</f>
        <v/>
      </c>
      <c r="L255" s="19">
        <f>IF(OR(D255="",D254=""),"",D255/D254-1)</f>
        <v/>
      </c>
      <c r="M255" s="19">
        <f>IF(OR(E255="",E254=""),"",E255/E254-1)</f>
        <v/>
      </c>
      <c r="N255" s="19">
        <f>IF(OR(F255="",F254=""),"",F255/F254-1)</f>
        <v/>
      </c>
      <c r="O255" s="22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IF(Q255="","",O255/Q255)</f>
        <v/>
      </c>
      <c r="S255" s="23">
        <f>IF(Q255="","",P255/Q255)</f>
        <v/>
      </c>
      <c r="T255" s="24">
        <f>IF(SUMIFS('Monthly NSE Equity Options'!$L:$L,'Monthly NSE Equity Options'!$A:$A,$A255)=0,"",SUMIFS('Monthly NSE Equity Options'!$L:$L,'Monthly NSE Equity Options'!$A:$A,$A255))</f>
        <v/>
      </c>
      <c r="U255" s="9">
        <f>IF(SUMIFS('Monthly BSE Equity Options'!$L:$L,'Monthly BSE Equity Options'!$A:$A,$A255)=0,"",SUMIFS('Monthly BSE Equity Options'!$L:$L,'Monthly BSE Equity Options'!$A:$A,$A255))</f>
        <v/>
      </c>
      <c r="V255" s="9">
        <f>IF(OR(T255="",U255=""),"",T255+U255)</f>
        <v/>
      </c>
      <c r="W255" s="25">
        <f>IF(V255="","",T255/V255)</f>
        <v/>
      </c>
      <c r="X255" s="25">
        <f>IF(V255="","",U255/V255)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19">
        <f>IF(F256="","",D256/F256)</f>
        <v/>
      </c>
      <c r="H256" s="19">
        <f>IF(F256="","",E256/F256)</f>
        <v/>
      </c>
      <c r="I256" s="26">
        <f>IF(OR(D256="",D244=""),"",D256/D244-1)</f>
        <v/>
      </c>
      <c r="J256" s="19">
        <f>IF(OR(E256="",E244=""),"",E256/E244-1)</f>
        <v/>
      </c>
      <c r="K256" s="19">
        <f>IF(OR(F256="",F244=""),"",F256/F244-1)</f>
        <v/>
      </c>
      <c r="L256" s="19">
        <f>IF(OR(D256="",D255=""),"",D256/D255-1)</f>
        <v/>
      </c>
      <c r="M256" s="19">
        <f>IF(OR(E256="",E255=""),"",E256/E255-1)</f>
        <v/>
      </c>
      <c r="N256" s="19">
        <f>IF(OR(F256="",F255=""),"",F256/F255-1)</f>
        <v/>
      </c>
      <c r="O256" s="22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IF(Q256="","",O256/Q256)</f>
        <v/>
      </c>
      <c r="S256" s="23">
        <f>IF(Q256="","",P256/Q256)</f>
        <v/>
      </c>
      <c r="T256" s="24">
        <f>IF(SUMIFS('Monthly NSE Equity Options'!$L:$L,'Monthly NSE Equity Options'!$A:$A,$A256)=0,"",SUMIFS('Monthly NSE Equity Options'!$L:$L,'Monthly NSE Equity Options'!$A:$A,$A256))</f>
        <v/>
      </c>
      <c r="U256" s="9">
        <f>IF(SUMIFS('Monthly BSE Equity Options'!$L:$L,'Monthly BSE Equity Options'!$A:$A,$A256)=0,"",SUMIFS('Monthly BSE Equity Options'!$L:$L,'Monthly BSE Equity Options'!$A:$A,$A256))</f>
        <v/>
      </c>
      <c r="V256" s="9">
        <f>IF(OR(T256="",U256=""),"",T256+U256)</f>
        <v/>
      </c>
      <c r="W256" s="25">
        <f>IF(V256="","",T256/V256)</f>
        <v/>
      </c>
      <c r="X256" s="25">
        <f>IF(V256="","",U256/V256)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19">
        <f>IF(F257="","",D257/F257)</f>
        <v/>
      </c>
      <c r="H257" s="19">
        <f>IF(F257="","",E257/F257)</f>
        <v/>
      </c>
      <c r="I257" s="26">
        <f>IF(OR(D257="",D245=""),"",D257/D245-1)</f>
        <v/>
      </c>
      <c r="J257" s="19">
        <f>IF(OR(E257="",E245=""),"",E257/E245-1)</f>
        <v/>
      </c>
      <c r="K257" s="19">
        <f>IF(OR(F257="",F245=""),"",F257/F245-1)</f>
        <v/>
      </c>
      <c r="L257" s="19">
        <f>IF(OR(D257="",D256=""),"",D257/D256-1)</f>
        <v/>
      </c>
      <c r="M257" s="19">
        <f>IF(OR(E257="",E256=""),"",E257/E256-1)</f>
        <v/>
      </c>
      <c r="N257" s="19">
        <f>IF(OR(F257="",F256=""),"",F257/F256-1)</f>
        <v/>
      </c>
      <c r="O257" s="22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IF(Q257="","",O257/Q257)</f>
        <v/>
      </c>
      <c r="S257" s="23">
        <f>IF(Q257="","",P257/Q257)</f>
        <v/>
      </c>
      <c r="T257" s="24">
        <f>IF(SUMIFS('Monthly NSE Equity Options'!$L:$L,'Monthly NSE Equity Options'!$A:$A,$A257)=0,"",SUMIFS('Monthly NSE Equity Options'!$L:$L,'Monthly NSE Equity Options'!$A:$A,$A257))</f>
        <v/>
      </c>
      <c r="U257" s="9">
        <f>IF(SUMIFS('Monthly BSE Equity Options'!$L:$L,'Monthly BSE Equity Options'!$A:$A,$A257)=0,"",SUMIFS('Monthly BSE Equity Options'!$L:$L,'Monthly BSE Equity Options'!$A:$A,$A257))</f>
        <v/>
      </c>
      <c r="V257" s="9">
        <f>IF(OR(T257="",U257=""),"",T257+U257)</f>
        <v/>
      </c>
      <c r="W257" s="25">
        <f>IF(V257="","",T257/V257)</f>
        <v/>
      </c>
      <c r="X257" s="25">
        <f>IF(V257="","",U257/V257)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19">
        <f>IF(F258="","",D258/F258)</f>
        <v/>
      </c>
      <c r="H258" s="19">
        <f>IF(F258="","",E258/F258)</f>
        <v/>
      </c>
      <c r="I258" s="26">
        <f>IF(OR(D258="",D246=""),"",D258/D246-1)</f>
        <v/>
      </c>
      <c r="J258" s="19">
        <f>IF(OR(E258="",E246=""),"",E258/E246-1)</f>
        <v/>
      </c>
      <c r="K258" s="19">
        <f>IF(OR(F258="",F246=""),"",F258/F246-1)</f>
        <v/>
      </c>
      <c r="L258" s="19">
        <f>IF(OR(D258="",D257=""),"",D258/D257-1)</f>
        <v/>
      </c>
      <c r="M258" s="19">
        <f>IF(OR(E258="",E257=""),"",E258/E257-1)</f>
        <v/>
      </c>
      <c r="N258" s="19">
        <f>IF(OR(F258="",F257=""),"",F258/F257-1)</f>
        <v/>
      </c>
      <c r="O258" s="22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IF(Q258="","",O258/Q258)</f>
        <v/>
      </c>
      <c r="S258" s="23">
        <f>IF(Q258="","",P258/Q258)</f>
        <v/>
      </c>
      <c r="T258" s="24">
        <f>IF(SUMIFS('Monthly NSE Equity Options'!$L:$L,'Monthly NSE Equity Options'!$A:$A,$A258)=0,"",SUMIFS('Monthly NSE Equity Options'!$L:$L,'Monthly NSE Equity Options'!$A:$A,$A258))</f>
        <v/>
      </c>
      <c r="U258" s="9">
        <f>IF(SUMIFS('Monthly BSE Equity Options'!$L:$L,'Monthly BSE Equity Options'!$A:$A,$A258)=0,"",SUMIFS('Monthly BSE Equity Options'!$L:$L,'Monthly BSE Equity Options'!$A:$A,$A258))</f>
        <v/>
      </c>
      <c r="V258" s="9">
        <f>IF(OR(T258="",U258=""),"",T258+U258)</f>
        <v/>
      </c>
      <c r="W258" s="25">
        <f>IF(V258="","",T258/V258)</f>
        <v/>
      </c>
      <c r="X258" s="25">
        <f>IF(V258="","",U258/V258)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19">
        <f>IF(F259="","",D259/F259)</f>
        <v/>
      </c>
      <c r="H259" s="19">
        <f>IF(F259="","",E259/F259)</f>
        <v/>
      </c>
      <c r="I259" s="26">
        <f>IF(OR(D259="",D247=""),"",D259/D247-1)</f>
        <v/>
      </c>
      <c r="J259" s="19">
        <f>IF(OR(E259="",E247=""),"",E259/E247-1)</f>
        <v/>
      </c>
      <c r="K259" s="19">
        <f>IF(OR(F259="",F247=""),"",F259/F247-1)</f>
        <v/>
      </c>
      <c r="L259" s="19">
        <f>IF(OR(D259="",D258=""),"",D259/D258-1)</f>
        <v/>
      </c>
      <c r="M259" s="19">
        <f>IF(OR(E259="",E258=""),"",E259/E258-1)</f>
        <v/>
      </c>
      <c r="N259" s="19">
        <f>IF(OR(F259="",F258=""),"",F259/F258-1)</f>
        <v/>
      </c>
      <c r="O259" s="22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IF(Q259="","",O259/Q259)</f>
        <v/>
      </c>
      <c r="S259" s="23">
        <f>IF(Q259="","",P259/Q259)</f>
        <v/>
      </c>
      <c r="T259" s="24">
        <f>IF(SUMIFS('Monthly NSE Equity Options'!$L:$L,'Monthly NSE Equity Options'!$A:$A,$A259)=0,"",SUMIFS('Monthly NSE Equity Options'!$L:$L,'Monthly NSE Equity Options'!$A:$A,$A259))</f>
        <v/>
      </c>
      <c r="U259" s="9">
        <f>IF(SUMIFS('Monthly BSE Equity Options'!$L:$L,'Monthly BSE Equity Options'!$A:$A,$A259)=0,"",SUMIFS('Monthly BSE Equity Options'!$L:$L,'Monthly BSE Equity Options'!$A:$A,$A259))</f>
        <v/>
      </c>
      <c r="V259" s="9">
        <f>IF(OR(T259="",U259=""),"",T259+U259)</f>
        <v/>
      </c>
      <c r="W259" s="25">
        <f>IF(V259="","",T259/V259)</f>
        <v/>
      </c>
      <c r="X259" s="25">
        <f>IF(V259="","",U259/V259)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19">
        <f>IF(F260="","",D260/F260)</f>
        <v/>
      </c>
      <c r="H260" s="19">
        <f>IF(F260="","",E260/F260)</f>
        <v/>
      </c>
      <c r="I260" s="26">
        <f>IF(OR(D260="",D248=""),"",D260/D248-1)</f>
        <v/>
      </c>
      <c r="J260" s="19">
        <f>IF(OR(E260="",E248=""),"",E260/E248-1)</f>
        <v/>
      </c>
      <c r="K260" s="19">
        <f>IF(OR(F260="",F248=""),"",F260/F248-1)</f>
        <v/>
      </c>
      <c r="L260" s="19">
        <f>IF(OR(D260="",D259=""),"",D260/D259-1)</f>
        <v/>
      </c>
      <c r="M260" s="19">
        <f>IF(OR(E260="",E259=""),"",E260/E259-1)</f>
        <v/>
      </c>
      <c r="N260" s="19">
        <f>IF(OR(F260="",F259=""),"",F260/F259-1)</f>
        <v/>
      </c>
      <c r="O260" s="22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IF(Q260="","",O260/Q260)</f>
        <v/>
      </c>
      <c r="S260" s="23">
        <f>IF(Q260="","",P260/Q260)</f>
        <v/>
      </c>
      <c r="T260" s="24">
        <f>IF(SUMIFS('Monthly NSE Equity Options'!$L:$L,'Monthly NSE Equity Options'!$A:$A,$A260)=0,"",SUMIFS('Monthly NSE Equity Options'!$L:$L,'Monthly NSE Equity Options'!$A:$A,$A260))</f>
        <v/>
      </c>
      <c r="U260" s="9">
        <f>IF(SUMIFS('Monthly BSE Equity Options'!$L:$L,'Monthly BSE Equity Options'!$A:$A,$A260)=0,"",SUMIFS('Monthly BSE Equity Options'!$L:$L,'Monthly BSE Equity Options'!$A:$A,$A260))</f>
        <v/>
      </c>
      <c r="V260" s="9">
        <f>IF(OR(T260="",U260=""),"",T260+U260)</f>
        <v/>
      </c>
      <c r="W260" s="25">
        <f>IF(V260="","",T260/V260)</f>
        <v/>
      </c>
      <c r="X260" s="25">
        <f>IF(V260="","",U260/V260)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19">
        <f>IF(F261="","",D261/F261)</f>
        <v/>
      </c>
      <c r="H261" s="19">
        <f>IF(F261="","",E261/F261)</f>
        <v/>
      </c>
      <c r="I261" s="26">
        <f>IF(OR(D261="",D249=""),"",D261/D249-1)</f>
        <v/>
      </c>
      <c r="J261" s="19">
        <f>IF(OR(E261="",E249=""),"",E261/E249-1)</f>
        <v/>
      </c>
      <c r="K261" s="19">
        <f>IF(OR(F261="",F249=""),"",F261/F249-1)</f>
        <v/>
      </c>
      <c r="L261" s="19">
        <f>IF(OR(D261="",D260=""),"",D261/D260-1)</f>
        <v/>
      </c>
      <c r="M261" s="19">
        <f>IF(OR(E261="",E260=""),"",E261/E260-1)</f>
        <v/>
      </c>
      <c r="N261" s="19">
        <f>IF(OR(F261="",F260=""),"",F261/F260-1)</f>
        <v/>
      </c>
      <c r="O261" s="22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IF(Q261="","",O261/Q261)</f>
        <v/>
      </c>
      <c r="S261" s="23">
        <f>IF(Q261="","",P261/Q261)</f>
        <v/>
      </c>
      <c r="T261" s="24">
        <f>IF(SUMIFS('Monthly NSE Equity Options'!$L:$L,'Monthly NSE Equity Options'!$A:$A,$A261)=0,"",SUMIFS('Monthly NSE Equity Options'!$L:$L,'Monthly NSE Equity Options'!$A:$A,$A261))</f>
        <v/>
      </c>
      <c r="U261" s="9">
        <f>IF(SUMIFS('Monthly BSE Equity Options'!$L:$L,'Monthly BSE Equity Options'!$A:$A,$A261)=0,"",SUMIFS('Monthly BSE Equity Options'!$L:$L,'Monthly BSE Equity Options'!$A:$A,$A261))</f>
        <v/>
      </c>
      <c r="V261" s="9">
        <f>IF(OR(T261="",U261=""),"",T261+U261)</f>
        <v/>
      </c>
      <c r="W261" s="25">
        <f>IF(V261="","",T261/V261)</f>
        <v/>
      </c>
      <c r="X261" s="25">
        <f>IF(V261="","",U261/V261)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19">
        <f>IF(F262="","",D262/F262)</f>
        <v/>
      </c>
      <c r="H262" s="19">
        <f>IF(F262="","",E262/F262)</f>
        <v/>
      </c>
      <c r="I262" s="26">
        <f>IF(OR(D262="",D250=""),"",D262/D250-1)</f>
        <v/>
      </c>
      <c r="J262" s="19">
        <f>IF(OR(E262="",E250=""),"",E262/E250-1)</f>
        <v/>
      </c>
      <c r="K262" s="19">
        <f>IF(OR(F262="",F250=""),"",F262/F250-1)</f>
        <v/>
      </c>
      <c r="L262" s="19">
        <f>IF(OR(D262="",D261=""),"",D262/D261-1)</f>
        <v/>
      </c>
      <c r="M262" s="19">
        <f>IF(OR(E262="",E261=""),"",E262/E261-1)</f>
        <v/>
      </c>
      <c r="N262" s="19">
        <f>IF(OR(F262="",F261=""),"",F262/F261-1)</f>
        <v/>
      </c>
      <c r="O262" s="22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IF(Q262="","",O262/Q262)</f>
        <v/>
      </c>
      <c r="S262" s="23">
        <f>IF(Q262="","",P262/Q262)</f>
        <v/>
      </c>
      <c r="T262" s="24">
        <f>IF(SUMIFS('Monthly NSE Equity Options'!$L:$L,'Monthly NSE Equity Options'!$A:$A,$A262)=0,"",SUMIFS('Monthly NSE Equity Options'!$L:$L,'Monthly NSE Equity Options'!$A:$A,$A262))</f>
        <v/>
      </c>
      <c r="U262" s="9">
        <f>IF(SUMIFS('Monthly BSE Equity Options'!$L:$L,'Monthly BSE Equity Options'!$A:$A,$A262)=0,"",SUMIFS('Monthly BSE Equity Options'!$L:$L,'Monthly BSE Equity Options'!$A:$A,$A262))</f>
        <v/>
      </c>
      <c r="V262" s="9">
        <f>IF(OR(T262="",U262=""),"",T262+U262)</f>
        <v/>
      </c>
      <c r="W262" s="25">
        <f>IF(V262="","",T262/V262)</f>
        <v/>
      </c>
      <c r="X262" s="25">
        <f>IF(V262="","",U262/V262)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19">
        <f>IF(F263="","",D263/F263)</f>
        <v/>
      </c>
      <c r="H263" s="19">
        <f>IF(F263="","",E263/F263)</f>
        <v/>
      </c>
      <c r="I263" s="26">
        <f>IF(OR(D263="",D251=""),"",D263/D251-1)</f>
        <v/>
      </c>
      <c r="J263" s="19">
        <f>IF(OR(E263="",E251=""),"",E263/E251-1)</f>
        <v/>
      </c>
      <c r="K263" s="19">
        <f>IF(OR(F263="",F251=""),"",F263/F251-1)</f>
        <v/>
      </c>
      <c r="L263" s="19">
        <f>IF(OR(D263="",D262=""),"",D263/D262-1)</f>
        <v/>
      </c>
      <c r="M263" s="19">
        <f>IF(OR(E263="",E262=""),"",E263/E262-1)</f>
        <v/>
      </c>
      <c r="N263" s="19">
        <f>IF(OR(F263="",F262=""),"",F263/F262-1)</f>
        <v/>
      </c>
      <c r="O263" s="22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IF(Q263="","",O263/Q263)</f>
        <v/>
      </c>
      <c r="S263" s="23">
        <f>IF(Q263="","",P263/Q263)</f>
        <v/>
      </c>
      <c r="T263" s="24">
        <f>IF(SUMIFS('Monthly NSE Equity Options'!$L:$L,'Monthly NSE Equity Options'!$A:$A,$A263)=0,"",SUMIFS('Monthly NSE Equity Options'!$L:$L,'Monthly NSE Equity Options'!$A:$A,$A263))</f>
        <v/>
      </c>
      <c r="U263" s="9">
        <f>IF(SUMIFS('Monthly BSE Equity Options'!$L:$L,'Monthly BSE Equity Options'!$A:$A,$A263)=0,"",SUMIFS('Monthly BSE Equity Options'!$L:$L,'Monthly BSE Equity Options'!$A:$A,$A263))</f>
        <v/>
      </c>
      <c r="V263" s="9">
        <f>IF(OR(T263="",U263=""),"",T263+U263)</f>
        <v/>
      </c>
      <c r="W263" s="25">
        <f>IF(V263="","",T263/V263)</f>
        <v/>
      </c>
      <c r="X263" s="25">
        <f>IF(V263="","",U263/V263)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19">
        <f>IF(F264="","",D264/F264)</f>
        <v/>
      </c>
      <c r="H264" s="19">
        <f>IF(F264="","",E264/F264)</f>
        <v/>
      </c>
      <c r="I264" s="26">
        <f>IF(OR(D264="",D252=""),"",D264/D252-1)</f>
        <v/>
      </c>
      <c r="J264" s="19">
        <f>IF(OR(E264="",E252=""),"",E264/E252-1)</f>
        <v/>
      </c>
      <c r="K264" s="19">
        <f>IF(OR(F264="",F252=""),"",F264/F252-1)</f>
        <v/>
      </c>
      <c r="L264" s="19">
        <f>IF(OR(D264="",D263=""),"",D264/D263-1)</f>
        <v/>
      </c>
      <c r="M264" s="19">
        <f>IF(OR(E264="",E263=""),"",E264/E263-1)</f>
        <v/>
      </c>
      <c r="N264" s="19">
        <f>IF(OR(F264="",F263=""),"",F264/F263-1)</f>
        <v/>
      </c>
      <c r="O264" s="22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IF(Q264="","",O264/Q264)</f>
        <v/>
      </c>
      <c r="S264" s="23">
        <f>IF(Q264="","",P264/Q264)</f>
        <v/>
      </c>
      <c r="T264" s="24">
        <f>IF(SUMIFS('Monthly NSE Equity Options'!$L:$L,'Monthly NSE Equity Options'!$A:$A,$A264)=0,"",SUMIFS('Monthly NSE Equity Options'!$L:$L,'Monthly NSE Equity Options'!$A:$A,$A264))</f>
        <v/>
      </c>
      <c r="U264" s="9">
        <f>IF(SUMIFS('Monthly BSE Equity Options'!$L:$L,'Monthly BSE Equity Options'!$A:$A,$A264)=0,"",SUMIFS('Monthly BSE Equity Options'!$L:$L,'Monthly BSE Equity Options'!$A:$A,$A264))</f>
        <v/>
      </c>
      <c r="V264" s="9">
        <f>IF(OR(T264="",U264=""),"",T264+U264)</f>
        <v/>
      </c>
      <c r="W264" s="25">
        <f>IF(V264="","",T264/V264)</f>
        <v/>
      </c>
      <c r="X264" s="25">
        <f>IF(V264="","",U264/V264)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19">
        <f>IF(F265="","",D265/F265)</f>
        <v/>
      </c>
      <c r="H265" s="19">
        <f>IF(F265="","",E265/F265)</f>
        <v/>
      </c>
      <c r="I265" s="26">
        <f>IF(OR(D265="",D253=""),"",D265/D253-1)</f>
        <v/>
      </c>
      <c r="J265" s="19">
        <f>IF(OR(E265="",E253=""),"",E265/E253-1)</f>
        <v/>
      </c>
      <c r="K265" s="19">
        <f>IF(OR(F265="",F253=""),"",F265/F253-1)</f>
        <v/>
      </c>
      <c r="L265" s="19">
        <f>IF(OR(D265="",D264=""),"",D265/D264-1)</f>
        <v/>
      </c>
      <c r="M265" s="19">
        <f>IF(OR(E265="",E264=""),"",E265/E264-1)</f>
        <v/>
      </c>
      <c r="N265" s="19">
        <f>IF(OR(F265="",F264=""),"",F265/F264-1)</f>
        <v/>
      </c>
      <c r="O265" s="22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IF(Q265="","",O265/Q265)</f>
        <v/>
      </c>
      <c r="S265" s="23">
        <f>IF(Q265="","",P265/Q265)</f>
        <v/>
      </c>
      <c r="T265" s="24">
        <f>IF(SUMIFS('Monthly NSE Equity Options'!$L:$L,'Monthly NSE Equity Options'!$A:$A,$A265)=0,"",SUMIFS('Monthly NSE Equity Options'!$L:$L,'Monthly NSE Equity Options'!$A:$A,$A265))</f>
        <v/>
      </c>
      <c r="U265" s="9">
        <f>IF(SUMIFS('Monthly BSE Equity Options'!$L:$L,'Monthly BSE Equity Options'!$A:$A,$A265)=0,"",SUMIFS('Monthly BSE Equity Options'!$L:$L,'Monthly BSE Equity Options'!$A:$A,$A265))</f>
        <v/>
      </c>
      <c r="V265" s="9">
        <f>IF(OR(T265="",U265=""),"",T265+U265)</f>
        <v/>
      </c>
      <c r="W265" s="25">
        <f>IF(V265="","",T265/V265)</f>
        <v/>
      </c>
      <c r="X265" s="25">
        <f>IF(V265="","",U265/V265)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19">
        <f>IF(F266="","",D266/F266)</f>
        <v/>
      </c>
      <c r="H266" s="19">
        <f>IF(F266="","",E266/F266)</f>
        <v/>
      </c>
      <c r="I266" s="26">
        <f>IF(OR(D266="",D254=""),"",D266/D254-1)</f>
        <v/>
      </c>
      <c r="J266" s="19">
        <f>IF(OR(E266="",E254=""),"",E266/E254-1)</f>
        <v/>
      </c>
      <c r="K266" s="19">
        <f>IF(OR(F266="",F254=""),"",F266/F254-1)</f>
        <v/>
      </c>
      <c r="L266" s="19">
        <f>IF(OR(D266="",D265=""),"",D266/D265-1)</f>
        <v/>
      </c>
      <c r="M266" s="19">
        <f>IF(OR(E266="",E265=""),"",E266/E265-1)</f>
        <v/>
      </c>
      <c r="N266" s="19">
        <f>IF(OR(F266="",F265=""),"",F266/F265-1)</f>
        <v/>
      </c>
      <c r="O266" s="22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IF(Q266="","",O266/Q266)</f>
        <v/>
      </c>
      <c r="S266" s="23">
        <f>IF(Q266="","",P266/Q266)</f>
        <v/>
      </c>
      <c r="T266" s="24">
        <f>IF(SUMIFS('Monthly NSE Equity Options'!$L:$L,'Monthly NSE Equity Options'!$A:$A,$A266)=0,"",SUMIFS('Monthly NSE Equity Options'!$L:$L,'Monthly NSE Equity Options'!$A:$A,$A266))</f>
        <v/>
      </c>
      <c r="U266" s="9">
        <f>IF(SUMIFS('Monthly BSE Equity Options'!$L:$L,'Monthly BSE Equity Options'!$A:$A,$A266)=0,"",SUMIFS('Monthly BSE Equity Options'!$L:$L,'Monthly BSE Equity Options'!$A:$A,$A266))</f>
        <v/>
      </c>
      <c r="V266" s="9">
        <f>IF(OR(T266="",U266=""),"",T266+U266)</f>
        <v/>
      </c>
      <c r="W266" s="25">
        <f>IF(V266="","",T266/V266)</f>
        <v/>
      </c>
      <c r="X266" s="25">
        <f>IF(V266="","",U266/V266)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19">
        <f>IF(F267="","",D267/F267)</f>
        <v/>
      </c>
      <c r="H267" s="19">
        <f>IF(F267="","",E267/F267)</f>
        <v/>
      </c>
      <c r="I267" s="26">
        <f>IF(OR(D267="",D255=""),"",D267/D255-1)</f>
        <v/>
      </c>
      <c r="J267" s="19">
        <f>IF(OR(E267="",E255=""),"",E267/E255-1)</f>
        <v/>
      </c>
      <c r="K267" s="19">
        <f>IF(OR(F267="",F255=""),"",F267/F255-1)</f>
        <v/>
      </c>
      <c r="L267" s="19">
        <f>IF(OR(D267="",D266=""),"",D267/D266-1)</f>
        <v/>
      </c>
      <c r="M267" s="19">
        <f>IF(OR(E267="",E266=""),"",E267/E266-1)</f>
        <v/>
      </c>
      <c r="N267" s="19">
        <f>IF(OR(F267="",F266=""),"",F267/F266-1)</f>
        <v/>
      </c>
      <c r="O267" s="22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IF(Q267="","",O267/Q267)</f>
        <v/>
      </c>
      <c r="S267" s="23">
        <f>IF(Q267="","",P267/Q267)</f>
        <v/>
      </c>
      <c r="T267" s="24">
        <f>IF(SUMIFS('Monthly NSE Equity Options'!$L:$L,'Monthly NSE Equity Options'!$A:$A,$A267)=0,"",SUMIFS('Monthly NSE Equity Options'!$L:$L,'Monthly NSE Equity Options'!$A:$A,$A267))</f>
        <v/>
      </c>
      <c r="U267" s="9">
        <f>IF(SUMIFS('Monthly BSE Equity Options'!$L:$L,'Monthly BSE Equity Options'!$A:$A,$A267)=0,"",SUMIFS('Monthly BSE Equity Options'!$L:$L,'Monthly BSE Equity Options'!$A:$A,$A267))</f>
        <v/>
      </c>
      <c r="V267" s="9">
        <f>IF(OR(T267="",U267=""),"",T267+U267)</f>
        <v/>
      </c>
      <c r="W267" s="25">
        <f>IF(V267="","",T267/V267)</f>
        <v/>
      </c>
      <c r="X267" s="25">
        <f>IF(V267="","",U267/V267)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19">
        <f>IF(F268="","",D268/F268)</f>
        <v/>
      </c>
      <c r="H268" s="19">
        <f>IF(F268="","",E268/F268)</f>
        <v/>
      </c>
      <c r="I268" s="26">
        <f>IF(OR(D268="",D256=""),"",D268/D256-1)</f>
        <v/>
      </c>
      <c r="J268" s="19">
        <f>IF(OR(E268="",E256=""),"",E268/E256-1)</f>
        <v/>
      </c>
      <c r="K268" s="19">
        <f>IF(OR(F268="",F256=""),"",F268/F256-1)</f>
        <v/>
      </c>
      <c r="L268" s="19">
        <f>IF(OR(D268="",D267=""),"",D268/D267-1)</f>
        <v/>
      </c>
      <c r="M268" s="19">
        <f>IF(OR(E268="",E267=""),"",E268/E267-1)</f>
        <v/>
      </c>
      <c r="N268" s="19">
        <f>IF(OR(F268="",F267=""),"",F268/F267-1)</f>
        <v/>
      </c>
      <c r="O268" s="22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IF(Q268="","",O268/Q268)</f>
        <v/>
      </c>
      <c r="S268" s="23">
        <f>IF(Q268="","",P268/Q268)</f>
        <v/>
      </c>
      <c r="T268" s="24">
        <f>IF(SUMIFS('Monthly NSE Equity Options'!$L:$L,'Monthly NSE Equity Options'!$A:$A,$A268)=0,"",SUMIFS('Monthly NSE Equity Options'!$L:$L,'Monthly NSE Equity Options'!$A:$A,$A268))</f>
        <v/>
      </c>
      <c r="U268" s="9">
        <f>IF(SUMIFS('Monthly BSE Equity Options'!$L:$L,'Monthly BSE Equity Options'!$A:$A,$A268)=0,"",SUMIFS('Monthly BSE Equity Options'!$L:$L,'Monthly BSE Equity Options'!$A:$A,$A268))</f>
        <v/>
      </c>
      <c r="V268" s="9">
        <f>IF(OR(T268="",U268=""),"",T268+U268)</f>
        <v/>
      </c>
      <c r="W268" s="25">
        <f>IF(V268="","",T268/V268)</f>
        <v/>
      </c>
      <c r="X268" s="25">
        <f>IF(V268="","",U268/V268)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19">
        <f>IF(F269="","",D269/F269)</f>
        <v/>
      </c>
      <c r="H269" s="19">
        <f>IF(F269="","",E269/F269)</f>
        <v/>
      </c>
      <c r="I269" s="26">
        <f>IF(OR(D269="",D257=""),"",D269/D257-1)</f>
        <v/>
      </c>
      <c r="J269" s="19">
        <f>IF(OR(E269="",E257=""),"",E269/E257-1)</f>
        <v/>
      </c>
      <c r="K269" s="19">
        <f>IF(OR(F269="",F257=""),"",F269/F257-1)</f>
        <v/>
      </c>
      <c r="L269" s="19">
        <f>IF(OR(D269="",D268=""),"",D269/D268-1)</f>
        <v/>
      </c>
      <c r="M269" s="19">
        <f>IF(OR(E269="",E268=""),"",E269/E268-1)</f>
        <v/>
      </c>
      <c r="N269" s="19">
        <f>IF(OR(F269="",F268=""),"",F269/F268-1)</f>
        <v/>
      </c>
      <c r="O269" s="22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IF(Q269="","",O269/Q269)</f>
        <v/>
      </c>
      <c r="S269" s="23">
        <f>IF(Q269="","",P269/Q269)</f>
        <v/>
      </c>
      <c r="T269" s="24">
        <f>IF(SUMIFS('Monthly NSE Equity Options'!$L:$L,'Monthly NSE Equity Options'!$A:$A,$A269)=0,"",SUMIFS('Monthly NSE Equity Options'!$L:$L,'Monthly NSE Equity Options'!$A:$A,$A269))</f>
        <v/>
      </c>
      <c r="U269" s="9">
        <f>IF(SUMIFS('Monthly BSE Equity Options'!$L:$L,'Monthly BSE Equity Options'!$A:$A,$A269)=0,"",SUMIFS('Monthly BSE Equity Options'!$L:$L,'Monthly BSE Equity Options'!$A:$A,$A269))</f>
        <v/>
      </c>
      <c r="V269" s="9">
        <f>IF(OR(T269="",U269=""),"",T269+U269)</f>
        <v/>
      </c>
      <c r="W269" s="25">
        <f>IF(V269="","",T269/V269)</f>
        <v/>
      </c>
      <c r="X269" s="25">
        <f>IF(V269="","",U269/V269)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19">
        <f>IF(F270="","",D270/F270)</f>
        <v/>
      </c>
      <c r="H270" s="19">
        <f>IF(F270="","",E270/F270)</f>
        <v/>
      </c>
      <c r="I270" s="26">
        <f>IF(OR(D270="",D258=""),"",D270/D258-1)</f>
        <v/>
      </c>
      <c r="J270" s="19">
        <f>IF(OR(E270="",E258=""),"",E270/E258-1)</f>
        <v/>
      </c>
      <c r="K270" s="19">
        <f>IF(OR(F270="",F258=""),"",F270/F258-1)</f>
        <v/>
      </c>
      <c r="L270" s="19">
        <f>IF(OR(D270="",D269=""),"",D270/D269-1)</f>
        <v/>
      </c>
      <c r="M270" s="19">
        <f>IF(OR(E270="",E269=""),"",E270/E269-1)</f>
        <v/>
      </c>
      <c r="N270" s="19">
        <f>IF(OR(F270="",F269=""),"",F270/F269-1)</f>
        <v/>
      </c>
      <c r="O270" s="22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IF(Q270="","",O270/Q270)</f>
        <v/>
      </c>
      <c r="S270" s="23">
        <f>IF(Q270="","",P270/Q270)</f>
        <v/>
      </c>
      <c r="T270" s="24">
        <f>IF(SUMIFS('Monthly NSE Equity Options'!$L:$L,'Monthly NSE Equity Options'!$A:$A,$A270)=0,"",SUMIFS('Monthly NSE Equity Options'!$L:$L,'Monthly NSE Equity Options'!$A:$A,$A270))</f>
        <v/>
      </c>
      <c r="U270" s="9">
        <f>IF(SUMIFS('Monthly BSE Equity Options'!$L:$L,'Monthly BSE Equity Options'!$A:$A,$A270)=0,"",SUMIFS('Monthly BSE Equity Options'!$L:$L,'Monthly BSE Equity Options'!$A:$A,$A270))</f>
        <v/>
      </c>
      <c r="V270" s="9">
        <f>IF(OR(T270="",U270=""),"",T270+U270)</f>
        <v/>
      </c>
      <c r="W270" s="25">
        <f>IF(V270="","",T270/V270)</f>
        <v/>
      </c>
      <c r="X270" s="25">
        <f>IF(V270="","",U270/V270)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19">
        <f>IF(F271="","",D271/F271)</f>
        <v/>
      </c>
      <c r="H271" s="19">
        <f>IF(F271="","",E271/F271)</f>
        <v/>
      </c>
      <c r="I271" s="26">
        <f>IF(OR(D271="",D259=""),"",D271/D259-1)</f>
        <v/>
      </c>
      <c r="J271" s="19">
        <f>IF(OR(E271="",E259=""),"",E271/E259-1)</f>
        <v/>
      </c>
      <c r="K271" s="19">
        <f>IF(OR(F271="",F259=""),"",F271/F259-1)</f>
        <v/>
      </c>
      <c r="L271" s="19">
        <f>IF(OR(D271="",D270=""),"",D271/D270-1)</f>
        <v/>
      </c>
      <c r="M271" s="19">
        <f>IF(OR(E271="",E270=""),"",E271/E270-1)</f>
        <v/>
      </c>
      <c r="N271" s="19">
        <f>IF(OR(F271="",F270=""),"",F271/F270-1)</f>
        <v/>
      </c>
      <c r="O271" s="22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IF(Q271="","",O271/Q271)</f>
        <v/>
      </c>
      <c r="S271" s="23">
        <f>IF(Q271="","",P271/Q271)</f>
        <v/>
      </c>
      <c r="T271" s="24">
        <f>IF(SUMIFS('Monthly NSE Equity Options'!$L:$L,'Monthly NSE Equity Options'!$A:$A,$A271)=0,"",SUMIFS('Monthly NSE Equity Options'!$L:$L,'Monthly NSE Equity Options'!$A:$A,$A271))</f>
        <v/>
      </c>
      <c r="U271" s="9">
        <f>IF(SUMIFS('Monthly BSE Equity Options'!$L:$L,'Monthly BSE Equity Options'!$A:$A,$A271)=0,"",SUMIFS('Monthly BSE Equity Options'!$L:$L,'Monthly BSE Equity Options'!$A:$A,$A271))</f>
        <v/>
      </c>
      <c r="V271" s="9">
        <f>IF(OR(T271="",U271=""),"",T271+U271)</f>
        <v/>
      </c>
      <c r="W271" s="25">
        <f>IF(V271="","",T271/V271)</f>
        <v/>
      </c>
      <c r="X271" s="25">
        <f>IF(V271="","",U271/V271)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19">
        <f>IF(F272="","",D272/F272)</f>
        <v/>
      </c>
      <c r="H272" s="19">
        <f>IF(F272="","",E272/F272)</f>
        <v/>
      </c>
      <c r="I272" s="26">
        <f>IF(OR(D272="",D260=""),"",D272/D260-1)</f>
        <v/>
      </c>
      <c r="J272" s="19">
        <f>IF(OR(E272="",E260=""),"",E272/E260-1)</f>
        <v/>
      </c>
      <c r="K272" s="19">
        <f>IF(OR(F272="",F260=""),"",F272/F260-1)</f>
        <v/>
      </c>
      <c r="L272" s="19">
        <f>IF(OR(D272="",D271=""),"",D272/D271-1)</f>
        <v/>
      </c>
      <c r="M272" s="19">
        <f>IF(OR(E272="",E271=""),"",E272/E271-1)</f>
        <v/>
      </c>
      <c r="N272" s="19">
        <f>IF(OR(F272="",F271=""),"",F272/F271-1)</f>
        <v/>
      </c>
      <c r="O272" s="22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IF(Q272="","",O272/Q272)</f>
        <v/>
      </c>
      <c r="S272" s="23">
        <f>IF(Q272="","",P272/Q272)</f>
        <v/>
      </c>
      <c r="T272" s="24">
        <f>IF(SUMIFS('Monthly NSE Equity Options'!$L:$L,'Monthly NSE Equity Options'!$A:$A,$A272)=0,"",SUMIFS('Monthly NSE Equity Options'!$L:$L,'Monthly NSE Equity Options'!$A:$A,$A272))</f>
        <v/>
      </c>
      <c r="U272" s="9">
        <f>IF(SUMIFS('Monthly BSE Equity Options'!$L:$L,'Monthly BSE Equity Options'!$A:$A,$A272)=0,"",SUMIFS('Monthly BSE Equity Options'!$L:$L,'Monthly BSE Equity Options'!$A:$A,$A272))</f>
        <v/>
      </c>
      <c r="V272" s="9">
        <f>IF(OR(T272="",U272=""),"",T272+U272)</f>
        <v/>
      </c>
      <c r="W272" s="25">
        <f>IF(V272="","",T272/V272)</f>
        <v/>
      </c>
      <c r="X272" s="25">
        <f>IF(V272="","",U272/V272)</f>
        <v/>
      </c>
    </row>
    <row r="274">
      <c r="A274" s="1" t="inlineStr">
        <is>
          <t>MTD Comparison - Jul-2026 MTD vs Jul-2025 MTD (same number of trading days)</t>
        </is>
      </c>
    </row>
    <row r="275">
      <c r="A275" s="5" t="inlineStr">
        <is>
          <t>Trading days elapsed in Jul-2026 (per NSE daily)</t>
        </is>
      </c>
      <c r="B275" s="6">
        <f>COUNTIF('Daily NSE Equity Options'!$A:$A,"&gt;="&amp;DATE(2026,7,1))</f>
        <v/>
      </c>
    </row>
    <row r="276">
      <c r="A276" s="5" t="inlineStr">
        <is>
          <t>Matched Jul-2025 window</t>
        </is>
      </c>
      <c r="B276" s="11">
        <f>DATE(2025,7,1)</f>
        <v/>
      </c>
      <c r="C276" s="11">
        <f>INDEX('Daily NSE Equity Options'!$A:$A,COUNTIF('Daily NSE Equity Options'!$A:$A,"&lt;"&amp;DATE(2025,7,1))+1+$B275)</f>
        <v/>
      </c>
    </row>
    <row r="277">
      <c r="D277" s="2" t="inlineStr">
        <is>
          <t>NSE Premium Turnover (INR Bn)</t>
        </is>
      </c>
      <c r="E277" s="2" t="inlineStr">
        <is>
          <t>BSE Premium Turnover (INR Bn)</t>
        </is>
      </c>
      <c r="F277" s="2" t="inlineStr">
        <is>
          <t>Total Premium Turnover (INR Bn)</t>
        </is>
      </c>
      <c r="G277" s="2" t="inlineStr">
        <is>
          <t>NSE Premium Market Share</t>
        </is>
      </c>
      <c r="H277" s="2" t="inlineStr">
        <is>
          <t>BSE Premium Market Share</t>
        </is>
      </c>
      <c r="O277" s="3" t="inlineStr">
        <is>
          <t>NSE Notional Turnover (INR Bn)</t>
        </is>
      </c>
      <c r="P277" s="3" t="inlineStr">
        <is>
          <t>BSE Notional Turnover (INR Bn)</t>
        </is>
      </c>
      <c r="Q277" s="3" t="inlineStr">
        <is>
          <t>Total Notional Turnover (INR Bn)</t>
        </is>
      </c>
      <c r="R277" s="3" t="inlineStr">
        <is>
          <t>NSE Notional Market Share</t>
        </is>
      </c>
      <c r="S277" s="3" t="inlineStr">
        <is>
          <t>BSE Notional Market Share</t>
        </is>
      </c>
      <c r="T277" s="4" t="inlineStr">
        <is>
          <t>NSE No. of Contracts</t>
        </is>
      </c>
      <c r="U277" s="4" t="inlineStr">
        <is>
          <t>BSE No. of Contracts</t>
        </is>
      </c>
      <c r="V277" s="4" t="inlineStr">
        <is>
          <t>Total No. of Contracts</t>
        </is>
      </c>
      <c r="W277" s="4" t="inlineStr">
        <is>
          <t>NSE Contracts Market Share</t>
        </is>
      </c>
      <c r="X277" s="4" t="inlineStr">
        <is>
          <t>BSE Contracts Market Share</t>
        </is>
      </c>
    </row>
    <row r="278">
      <c r="A278" s="5" t="inlineStr">
        <is>
          <t>Jul-2025 MTD (first N trading days)</t>
        </is>
      </c>
      <c r="D278" s="7">
        <f>SUMIFS('Daily NSE Equity Options'!$K:$K,'Daily NSE Equity Options'!$A:$A,"&gt;="&amp;$B$276,'Daily NSE Equity Options'!$A:$A,"&lt;="&amp;$C$276)</f>
        <v/>
      </c>
      <c r="E278" s="7">
        <f>SUMIFS('Daily BSE Equity Options'!$K:$K,'Daily BSE Equity Options'!$A:$A,"&gt;="&amp;$B$276,'Daily BSE Equity Options'!$A:$A,"&lt;="&amp;$C$276)</f>
        <v/>
      </c>
      <c r="F278" s="7">
        <f>D278+E278</f>
        <v/>
      </c>
      <c r="G278" s="19">
        <f>IF(F278=0,"",D278/F278)</f>
        <v/>
      </c>
      <c r="H278" s="19">
        <f>IF(F278=0,"",E278/F278)</f>
        <v/>
      </c>
      <c r="O278" s="8">
        <f>SUMIFS('Daily NSE Equity Options'!$L:$L,'Daily NSE Equity Options'!$A:$A,"&gt;="&amp;$B$276,'Daily NSE Equity Options'!$A:$A,"&lt;="&amp;$C$276)</f>
        <v/>
      </c>
      <c r="P278" s="8">
        <f>SUMIFS('Daily BSE Equity Options'!$L:$L,'Daily BSE Equity Options'!$A:$A,"&gt;="&amp;$B$276,'Daily BSE Equity Options'!$A:$A,"&lt;="&amp;$C$276)</f>
        <v/>
      </c>
      <c r="Q278" s="8">
        <f>O278+P278</f>
        <v/>
      </c>
      <c r="R278" s="23">
        <f>IF(Q278=0,"",O278/Q278)</f>
        <v/>
      </c>
      <c r="S278" s="23">
        <f>IF(Q278=0,"",P278/Q278)</f>
        <v/>
      </c>
      <c r="T278" s="9">
        <f>SUMIFS('Daily NSE Equity Options'!$M:$M,'Daily NSE Equity Options'!$A:$A,"&gt;="&amp;$B$276,'Daily NSE Equity Options'!$A:$A,"&lt;="&amp;$C$276)</f>
        <v/>
      </c>
      <c r="U278" s="9">
        <f>SUMIFS('Daily BSE Equity Options'!$M:$M,'Daily BSE Equity Options'!$A:$A,"&gt;="&amp;$B$276,'Daily BSE Equity Options'!$A:$A,"&lt;="&amp;$C$276)</f>
        <v/>
      </c>
      <c r="V278" s="9">
        <f>T278+U278</f>
        <v/>
      </c>
      <c r="W278" s="25">
        <f>IF(V278=0,"",T278/V278)</f>
        <v/>
      </c>
      <c r="X278" s="25">
        <f>IF(V278=0,"",U278/V278)</f>
        <v/>
      </c>
    </row>
    <row r="279">
      <c r="A279" s="5" t="inlineStr">
        <is>
          <t>Jul-2026 MTD</t>
        </is>
      </c>
      <c r="D279" s="7">
        <f>SUMIFS('Daily NSE Equity Options'!$K:$K,'Daily NSE Equity Options'!$A:$A,"&gt;="&amp;DATE(2026,7,1))</f>
        <v/>
      </c>
      <c r="E279" s="7">
        <f>SUMIFS('Daily BSE Equity Options'!$K:$K,'Daily BSE Equity Options'!$A:$A,"&gt;="&amp;DATE(2026,7,1))</f>
        <v/>
      </c>
      <c r="F279" s="7">
        <f>D279+E279</f>
        <v/>
      </c>
      <c r="G279" s="19">
        <f>IF(F279=0,"",D279/F279)</f>
        <v/>
      </c>
      <c r="H279" s="19">
        <f>IF(F279=0,"",E279/F279)</f>
        <v/>
      </c>
      <c r="O279" s="8">
        <f>SUMIFS('Daily NSE Equity Options'!$L:$L,'Daily NSE Equity Options'!$A:$A,"&gt;="&amp;DATE(2026,7,1))</f>
        <v/>
      </c>
      <c r="P279" s="8">
        <f>SUMIFS('Daily BSE Equity Options'!$L:$L,'Daily BSE Equity Options'!$A:$A,"&gt;="&amp;DATE(2026,7,1))</f>
        <v/>
      </c>
      <c r="Q279" s="8">
        <f>O279+P279</f>
        <v/>
      </c>
      <c r="R279" s="23">
        <f>IF(Q279=0,"",O279/Q279)</f>
        <v/>
      </c>
      <c r="S279" s="23">
        <f>IF(Q279=0,"",P279/Q279)</f>
        <v/>
      </c>
      <c r="T279" s="9">
        <f>SUMIFS('Daily NSE Equity Options'!$M:$M,'Daily NSE Equity Options'!$A:$A,"&gt;="&amp;DATE(2026,7,1))</f>
        <v/>
      </c>
      <c r="U279" s="9">
        <f>SUMIFS('Daily BSE Equity Options'!$M:$M,'Daily BSE Equity Options'!$A:$A,"&gt;="&amp;DATE(2026,7,1))</f>
        <v/>
      </c>
      <c r="V279" s="9">
        <f>T279+U279</f>
        <v/>
      </c>
      <c r="W279" s="25">
        <f>IF(V279=0,"",T279/V279)</f>
        <v/>
      </c>
      <c r="X279" s="25">
        <f>IF(V279=0,"",U279/V279)</f>
        <v/>
      </c>
    </row>
    <row r="280">
      <c r="A280" s="1" t="inlineStr">
        <is>
          <t>MTD Growth (Jul-2026 vs Jul-2025)</t>
        </is>
      </c>
      <c r="D280" s="19">
        <f>IF(OR(D278=0,D278=""),"",D279/D278-1)</f>
        <v/>
      </c>
      <c r="E280" s="19">
        <f>IF(OR(E278=0,E278=""),"",E279/E278-1)</f>
        <v/>
      </c>
      <c r="F280" s="19">
        <f>IF(OR(F278=0,F278=""),"",F279/F278-1)</f>
        <v/>
      </c>
      <c r="O280" s="23">
        <f>IF(OR(O278=0,O278=""),"",O279/O278-1)</f>
        <v/>
      </c>
      <c r="P280" s="23">
        <f>IF(OR(P278=0,P278=""),"",P279/P278-1)</f>
        <v/>
      </c>
      <c r="Q280" s="23">
        <f>IF(OR(Q278=0,Q278=""),"",Q279/Q278-1)</f>
        <v/>
      </c>
      <c r="T280" s="25">
        <f>IF(OR(T278=0,T278=""),"",T279/T278-1)</f>
        <v/>
      </c>
      <c r="U280" s="25">
        <f>IF(OR(U278=0,U278=""),"",U279/U278-1)</f>
        <v/>
      </c>
      <c r="V280" s="25">
        <f>IF(OR(V278=0,V278=""),"",V279/V278-1)</f>
        <v/>
      </c>
    </row>
  </sheetData>
  <conditionalFormatting sqref="G2:G2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27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24" customWidth="1" min="17" max="17"/>
    <col width="24" customWidth="1" min="18" max="18"/>
    <col width="16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16" customWidth="1" min="25" max="2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5" t="inlineStr">
        <is>
          <t>NSE Premium YoY Growth</t>
        </is>
      </c>
      <c r="K1" s="2" t="inlineStr">
        <is>
          <t>BSE Premium YoY Growth</t>
        </is>
      </c>
      <c r="L1" s="2" t="inlineStr">
        <is>
          <t>Total Premium YoY Growth</t>
        </is>
      </c>
      <c r="M1" s="2" t="inlineStr">
        <is>
          <t>NSE Premium DoD Growth</t>
        </is>
      </c>
      <c r="N1" s="2" t="inlineStr">
        <is>
          <t>BSE Premium DoD Growth</t>
        </is>
      </c>
      <c r="O1" s="2" t="inlineStr">
        <is>
          <t>Total Premium DoD Growth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Market Share</t>
        </is>
      </c>
      <c r="T1" s="3" t="inlineStr">
        <is>
          <t>BSE Notional Market Share</t>
        </is>
      </c>
      <c r="U1" s="17" t="inlineStr">
        <is>
          <t>NSE No. of Contracts</t>
        </is>
      </c>
      <c r="V1" s="4" t="inlineStr">
        <is>
          <t>BSE No. of Contracts</t>
        </is>
      </c>
      <c r="W1" s="4" t="inlineStr">
        <is>
          <t>Total No. of Contracts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19">
        <f>IF(G2="","",E2/G2)</f>
        <v/>
      </c>
      <c r="I2" s="19">
        <f>IF(G2="","",F2/G2)</f>
        <v/>
      </c>
      <c r="J2" s="26">
        <f>IFERROR(IF(OR(E2="",INDEX(E:E,MATCH(DATE(YEAR($A2)-1,MONTH($A2),DAY($A2)),$A:$A,0))=""),"",E2/INDEX(E:E,MATCH(DATE(YEAR($A2)-1,MONTH($A2),DAY($A2)),$A:$A,0))-1),"")</f>
        <v/>
      </c>
      <c r="K2" s="19">
        <f>IFERROR(IF(OR(F2="",INDEX(F:F,MATCH(DATE(YEAR($A2)-1,MONTH($A2),DAY($A2)),$A:$A,0))=""),"",F2/INDEX(F:F,MATCH(DATE(YEAR($A2)-1,MONTH($A2),DAY($A2)),$A:$A,0))-1),"")</f>
        <v/>
      </c>
      <c r="L2" s="19">
        <f>IFERROR(IF(OR(G2="",INDEX(G:G,MATCH(DATE(YEAR($A2)-1,MONTH($A2),DAY($A2)),$A:$A,0))=""),"",G2/INDEX(G:G,MATCH(DATE(YEAR($A2)-1,MONTH($A2),DAY($A2)),$A:$A,0))-1),"")</f>
        <v/>
      </c>
      <c r="M2" s="21" t="n"/>
      <c r="N2" s="21" t="n"/>
      <c r="O2" s="21" t="n"/>
      <c r="P2" s="22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IF(R2="","",P2/R2)</f>
        <v/>
      </c>
      <c r="T2" s="23">
        <f>IF(R2="","",Q2/R2)</f>
        <v/>
      </c>
      <c r="U2" s="24">
        <f>IF(SUMIFS('Daily NSE Equity Options'!$M:$M,'Daily NSE Equity Options'!$A:$A,$A2)=0,"",SUMIFS('Daily NSE Equity Options'!$M:$M,'Daily NSE Equity Options'!$A:$A,$A2))</f>
        <v/>
      </c>
      <c r="V2" s="9">
        <f>IF(SUMIFS('Daily BSE Equity Options'!$M:$M,'Daily BSE Equity Options'!$A:$A,$A2)=0,"",SUMIFS('Daily BSE Equity Options'!$M:$M,'Daily BSE Equity Options'!$A:$A,$A2))</f>
        <v/>
      </c>
      <c r="W2" s="9">
        <f>IF(OR(U2="",V2=""),"",U2+V2)</f>
        <v/>
      </c>
      <c r="X2" s="25">
        <f>IF(W2="","",U2/W2)</f>
        <v/>
      </c>
      <c r="Y2" s="25">
        <f>IF(W2="","",V2/W2)</f>
        <v/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19">
        <f>IF(G3="","",E3/G3)</f>
        <v/>
      </c>
      <c r="I3" s="19">
        <f>IF(G3="","",F3/G3)</f>
        <v/>
      </c>
      <c r="J3" s="26">
        <f>IFERROR(IF(OR(E3="",INDEX(E:E,MATCH(DATE(YEAR($A3)-1,MONTH($A3),DAY($A3)),$A:$A,0))=""),"",E3/INDEX(E:E,MATCH(DATE(YEAR($A3)-1,MONTH($A3),DAY($A3)),$A:$A,0))-1),"")</f>
        <v/>
      </c>
      <c r="K3" s="19">
        <f>IFERROR(IF(OR(F3="",INDEX(F:F,MATCH(DATE(YEAR($A3)-1,MONTH($A3),DAY($A3)),$A:$A,0))=""),"",F3/INDEX(F:F,MATCH(DATE(YEAR($A3)-1,MONTH($A3),DAY($A3)),$A:$A,0))-1),"")</f>
        <v/>
      </c>
      <c r="L3" s="19">
        <f>IFERROR(IF(OR(G3="",INDEX(G:G,MATCH(DATE(YEAR($A3)-1,MONTH($A3),DAY($A3)),$A:$A,0))=""),"",G3/INDEX(G:G,MATCH(DATE(YEAR($A3)-1,MONTH($A3),DAY($A3)),$A:$A,0))-1),"")</f>
        <v/>
      </c>
      <c r="M3" s="19">
        <f>IF(OR(E3="",E2=""),"",E3/E2-1)</f>
        <v/>
      </c>
      <c r="N3" s="19">
        <f>IF(OR(F3="",F2=""),"",F3/F2-1)</f>
        <v/>
      </c>
      <c r="O3" s="19">
        <f>IF(OR(G3="",G2=""),"",G3/G2-1)</f>
        <v/>
      </c>
      <c r="P3" s="22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IF(R3="","",P3/R3)</f>
        <v/>
      </c>
      <c r="T3" s="23">
        <f>IF(R3="","",Q3/R3)</f>
        <v/>
      </c>
      <c r="U3" s="24">
        <f>IF(SUMIFS('Daily NSE Equity Options'!$M:$M,'Daily NSE Equity Options'!$A:$A,$A3)=0,"",SUMIFS('Daily NSE Equity Options'!$M:$M,'Daily NSE Equity Options'!$A:$A,$A3))</f>
        <v/>
      </c>
      <c r="V3" s="9">
        <f>IF(SUMIFS('Daily BSE Equity Options'!$M:$M,'Daily BSE Equity Options'!$A:$A,$A3)=0,"",SUMIFS('Daily BSE Equity Options'!$M:$M,'Daily BSE Equity Options'!$A:$A,$A3))</f>
        <v/>
      </c>
      <c r="W3" s="9">
        <f>IF(OR(U3="",V3=""),"",U3+V3)</f>
        <v/>
      </c>
      <c r="X3" s="25">
        <f>IF(W3="","",U3/W3)</f>
        <v/>
      </c>
      <c r="Y3" s="25">
        <f>IF(W3="","",V3/W3)</f>
        <v/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19">
        <f>IF(G4="","",E4/G4)</f>
        <v/>
      </c>
      <c r="I4" s="19">
        <f>IF(G4="","",F4/G4)</f>
        <v/>
      </c>
      <c r="J4" s="26">
        <f>IFERROR(IF(OR(E4="",INDEX(E:E,MATCH(DATE(YEAR($A4)-1,MONTH($A4),DAY($A4)),$A:$A,0))=""),"",E4/INDEX(E:E,MATCH(DATE(YEAR($A4)-1,MONTH($A4),DAY($A4)),$A:$A,0))-1),"")</f>
        <v/>
      </c>
      <c r="K4" s="19">
        <f>IFERROR(IF(OR(F4="",INDEX(F:F,MATCH(DATE(YEAR($A4)-1,MONTH($A4),DAY($A4)),$A:$A,0))=""),"",F4/INDEX(F:F,MATCH(DATE(YEAR($A4)-1,MONTH($A4),DAY($A4)),$A:$A,0))-1),"")</f>
        <v/>
      </c>
      <c r="L4" s="19">
        <f>IFERROR(IF(OR(G4="",INDEX(G:G,MATCH(DATE(YEAR($A4)-1,MONTH($A4),DAY($A4)),$A:$A,0))=""),"",G4/INDEX(G:G,MATCH(DATE(YEAR($A4)-1,MONTH($A4),DAY($A4)),$A:$A,0))-1),"")</f>
        <v/>
      </c>
      <c r="M4" s="19">
        <f>IF(OR(E4="",E3=""),"",E4/E3-1)</f>
        <v/>
      </c>
      <c r="N4" s="19">
        <f>IF(OR(F4="",F3=""),"",F4/F3-1)</f>
        <v/>
      </c>
      <c r="O4" s="19">
        <f>IF(OR(G4="",G3=""),"",G4/G3-1)</f>
        <v/>
      </c>
      <c r="P4" s="22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IF(R4="","",P4/R4)</f>
        <v/>
      </c>
      <c r="T4" s="23">
        <f>IF(R4="","",Q4/R4)</f>
        <v/>
      </c>
      <c r="U4" s="24">
        <f>IF(SUMIFS('Daily NSE Equity Options'!$M:$M,'Daily NSE Equity Options'!$A:$A,$A4)=0,"",SUMIFS('Daily NSE Equity Options'!$M:$M,'Daily NSE Equity Options'!$A:$A,$A4))</f>
        <v/>
      </c>
      <c r="V4" s="9">
        <f>IF(SUMIFS('Daily BSE Equity Options'!$M:$M,'Daily BSE Equity Options'!$A:$A,$A4)=0,"",SUMIFS('Daily BSE Equity Options'!$M:$M,'Daily BSE Equity Options'!$A:$A,$A4))</f>
        <v/>
      </c>
      <c r="W4" s="9">
        <f>IF(OR(U4="",V4=""),"",U4+V4)</f>
        <v/>
      </c>
      <c r="X4" s="25">
        <f>IF(W4="","",U4/W4)</f>
        <v/>
      </c>
      <c r="Y4" s="25">
        <f>IF(W4="","",V4/W4)</f>
        <v/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19">
        <f>IF(G5="","",E5/G5)</f>
        <v/>
      </c>
      <c r="I5" s="19">
        <f>IF(G5="","",F5/G5)</f>
        <v/>
      </c>
      <c r="J5" s="26">
        <f>IFERROR(IF(OR(E5="",INDEX(E:E,MATCH(DATE(YEAR($A5)-1,MONTH($A5),DAY($A5)),$A:$A,0))=""),"",E5/INDEX(E:E,MATCH(DATE(YEAR($A5)-1,MONTH($A5),DAY($A5)),$A:$A,0))-1),"")</f>
        <v/>
      </c>
      <c r="K5" s="19">
        <f>IFERROR(IF(OR(F5="",INDEX(F:F,MATCH(DATE(YEAR($A5)-1,MONTH($A5),DAY($A5)),$A:$A,0))=""),"",F5/INDEX(F:F,MATCH(DATE(YEAR($A5)-1,MONTH($A5),DAY($A5)),$A:$A,0))-1),"")</f>
        <v/>
      </c>
      <c r="L5" s="19">
        <f>IFERROR(IF(OR(G5="",INDEX(G:G,MATCH(DATE(YEAR($A5)-1,MONTH($A5),DAY($A5)),$A:$A,0))=""),"",G5/INDEX(G:G,MATCH(DATE(YEAR($A5)-1,MONTH($A5),DAY($A5)),$A:$A,0))-1),"")</f>
        <v/>
      </c>
      <c r="M5" s="19">
        <f>IF(OR(E5="",E4=""),"",E5/E4-1)</f>
        <v/>
      </c>
      <c r="N5" s="19">
        <f>IF(OR(F5="",F4=""),"",F5/F4-1)</f>
        <v/>
      </c>
      <c r="O5" s="19">
        <f>IF(OR(G5="",G4=""),"",G5/G4-1)</f>
        <v/>
      </c>
      <c r="P5" s="22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IF(R5="","",P5/R5)</f>
        <v/>
      </c>
      <c r="T5" s="23">
        <f>IF(R5="","",Q5/R5)</f>
        <v/>
      </c>
      <c r="U5" s="24">
        <f>IF(SUMIFS('Daily NSE Equity Options'!$M:$M,'Daily NSE Equity Options'!$A:$A,$A5)=0,"",SUMIFS('Daily NSE Equity Options'!$M:$M,'Daily NSE Equity Options'!$A:$A,$A5))</f>
        <v/>
      </c>
      <c r="V5" s="9">
        <f>IF(SUMIFS('Daily BSE Equity Options'!$M:$M,'Daily BSE Equity Options'!$A:$A,$A5)=0,"",SUMIFS('Daily BSE Equity Options'!$M:$M,'Daily BSE Equity Options'!$A:$A,$A5))</f>
        <v/>
      </c>
      <c r="W5" s="9">
        <f>IF(OR(U5="",V5=""),"",U5+V5)</f>
        <v/>
      </c>
      <c r="X5" s="25">
        <f>IF(W5="","",U5/W5)</f>
        <v/>
      </c>
      <c r="Y5" s="25">
        <f>IF(W5="","",V5/W5)</f>
        <v/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19">
        <f>IF(G6="","",E6/G6)</f>
        <v/>
      </c>
      <c r="I6" s="19">
        <f>IF(G6="","",F6/G6)</f>
        <v/>
      </c>
      <c r="J6" s="26">
        <f>IFERROR(IF(OR(E6="",INDEX(E:E,MATCH(DATE(YEAR($A6)-1,MONTH($A6),DAY($A6)),$A:$A,0))=""),"",E6/INDEX(E:E,MATCH(DATE(YEAR($A6)-1,MONTH($A6),DAY($A6)),$A:$A,0))-1),"")</f>
        <v/>
      </c>
      <c r="K6" s="19">
        <f>IFERROR(IF(OR(F6="",INDEX(F:F,MATCH(DATE(YEAR($A6)-1,MONTH($A6),DAY($A6)),$A:$A,0))=""),"",F6/INDEX(F:F,MATCH(DATE(YEAR($A6)-1,MONTH($A6),DAY($A6)),$A:$A,0))-1),"")</f>
        <v/>
      </c>
      <c r="L6" s="19">
        <f>IFERROR(IF(OR(G6="",INDEX(G:G,MATCH(DATE(YEAR($A6)-1,MONTH($A6),DAY($A6)),$A:$A,0))=""),"",G6/INDEX(G:G,MATCH(DATE(YEAR($A6)-1,MONTH($A6),DAY($A6)),$A:$A,0))-1),"")</f>
        <v/>
      </c>
      <c r="M6" s="19">
        <f>IF(OR(E6="",E5=""),"",E6/E5-1)</f>
        <v/>
      </c>
      <c r="N6" s="19">
        <f>IF(OR(F6="",F5=""),"",F6/F5-1)</f>
        <v/>
      </c>
      <c r="O6" s="19">
        <f>IF(OR(G6="",G5=""),"",G6/G5-1)</f>
        <v/>
      </c>
      <c r="P6" s="22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IF(R6="","",P6/R6)</f>
        <v/>
      </c>
      <c r="T6" s="23">
        <f>IF(R6="","",Q6/R6)</f>
        <v/>
      </c>
      <c r="U6" s="24">
        <f>IF(SUMIFS('Daily NSE Equity Options'!$M:$M,'Daily NSE Equity Options'!$A:$A,$A6)=0,"",SUMIFS('Daily NSE Equity Options'!$M:$M,'Daily NSE Equity Options'!$A:$A,$A6))</f>
        <v/>
      </c>
      <c r="V6" s="9">
        <f>IF(SUMIFS('Daily BSE Equity Options'!$M:$M,'Daily BSE Equity Options'!$A:$A,$A6)=0,"",SUMIFS('Daily BSE Equity Options'!$M:$M,'Daily BSE Equity Options'!$A:$A,$A6))</f>
        <v/>
      </c>
      <c r="W6" s="9">
        <f>IF(OR(U6="",V6=""),"",U6+V6)</f>
        <v/>
      </c>
      <c r="X6" s="25">
        <f>IF(W6="","",U6/W6)</f>
        <v/>
      </c>
      <c r="Y6" s="25">
        <f>IF(W6="","",V6/W6)</f>
        <v/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19">
        <f>IF(G7="","",E7/G7)</f>
        <v/>
      </c>
      <c r="I7" s="19">
        <f>IF(G7="","",F7/G7)</f>
        <v/>
      </c>
      <c r="J7" s="26">
        <f>IFERROR(IF(OR(E7="",INDEX(E:E,MATCH(DATE(YEAR($A7)-1,MONTH($A7),DAY($A7)),$A:$A,0))=""),"",E7/INDEX(E:E,MATCH(DATE(YEAR($A7)-1,MONTH($A7),DAY($A7)),$A:$A,0))-1),"")</f>
        <v/>
      </c>
      <c r="K7" s="19">
        <f>IFERROR(IF(OR(F7="",INDEX(F:F,MATCH(DATE(YEAR($A7)-1,MONTH($A7),DAY($A7)),$A:$A,0))=""),"",F7/INDEX(F:F,MATCH(DATE(YEAR($A7)-1,MONTH($A7),DAY($A7)),$A:$A,0))-1),"")</f>
        <v/>
      </c>
      <c r="L7" s="19">
        <f>IFERROR(IF(OR(G7="",INDEX(G:G,MATCH(DATE(YEAR($A7)-1,MONTH($A7),DAY($A7)),$A:$A,0))=""),"",G7/INDEX(G:G,MATCH(DATE(YEAR($A7)-1,MONTH($A7),DAY($A7)),$A:$A,0))-1),"")</f>
        <v/>
      </c>
      <c r="M7" s="19">
        <f>IF(OR(E7="",E6=""),"",E7/E6-1)</f>
        <v/>
      </c>
      <c r="N7" s="19">
        <f>IF(OR(F7="",F6=""),"",F7/F6-1)</f>
        <v/>
      </c>
      <c r="O7" s="19">
        <f>IF(OR(G7="",G6=""),"",G7/G6-1)</f>
        <v/>
      </c>
      <c r="P7" s="22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IF(R7="","",P7/R7)</f>
        <v/>
      </c>
      <c r="T7" s="23">
        <f>IF(R7="","",Q7/R7)</f>
        <v/>
      </c>
      <c r="U7" s="24">
        <f>IF(SUMIFS('Daily NSE Equity Options'!$M:$M,'Daily NSE Equity Options'!$A:$A,$A7)=0,"",SUMIFS('Daily NSE Equity Options'!$M:$M,'Daily NSE Equity Options'!$A:$A,$A7))</f>
        <v/>
      </c>
      <c r="V7" s="9">
        <f>IF(SUMIFS('Daily BSE Equity Options'!$M:$M,'Daily BSE Equity Options'!$A:$A,$A7)=0,"",SUMIFS('Daily BSE Equity Options'!$M:$M,'Daily BSE Equity Options'!$A:$A,$A7))</f>
        <v/>
      </c>
      <c r="W7" s="9">
        <f>IF(OR(U7="",V7=""),"",U7+V7)</f>
        <v/>
      </c>
      <c r="X7" s="25">
        <f>IF(W7="","",U7/W7)</f>
        <v/>
      </c>
      <c r="Y7" s="25">
        <f>IF(W7="","",V7/W7)</f>
        <v/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19">
        <f>IF(G8="","",E8/G8)</f>
        <v/>
      </c>
      <c r="I8" s="19">
        <f>IF(G8="","",F8/G8)</f>
        <v/>
      </c>
      <c r="J8" s="26">
        <f>IFERROR(IF(OR(E8="",INDEX(E:E,MATCH(DATE(YEAR($A8)-1,MONTH($A8),DAY($A8)),$A:$A,0))=""),"",E8/INDEX(E:E,MATCH(DATE(YEAR($A8)-1,MONTH($A8),DAY($A8)),$A:$A,0))-1),"")</f>
        <v/>
      </c>
      <c r="K8" s="19">
        <f>IFERROR(IF(OR(F8="",INDEX(F:F,MATCH(DATE(YEAR($A8)-1,MONTH($A8),DAY($A8)),$A:$A,0))=""),"",F8/INDEX(F:F,MATCH(DATE(YEAR($A8)-1,MONTH($A8),DAY($A8)),$A:$A,0))-1),"")</f>
        <v/>
      </c>
      <c r="L8" s="19">
        <f>IFERROR(IF(OR(G8="",INDEX(G:G,MATCH(DATE(YEAR($A8)-1,MONTH($A8),DAY($A8)),$A:$A,0))=""),"",G8/INDEX(G:G,MATCH(DATE(YEAR($A8)-1,MONTH($A8),DAY($A8)),$A:$A,0))-1),"")</f>
        <v/>
      </c>
      <c r="M8" s="19">
        <f>IF(OR(E8="",E7=""),"",E8/E7-1)</f>
        <v/>
      </c>
      <c r="N8" s="19">
        <f>IF(OR(F8="",F7=""),"",F8/F7-1)</f>
        <v/>
      </c>
      <c r="O8" s="19">
        <f>IF(OR(G8="",G7=""),"",G8/G7-1)</f>
        <v/>
      </c>
      <c r="P8" s="22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IF(R8="","",P8/R8)</f>
        <v/>
      </c>
      <c r="T8" s="23">
        <f>IF(R8="","",Q8/R8)</f>
        <v/>
      </c>
      <c r="U8" s="24">
        <f>IF(SUMIFS('Daily NSE Equity Options'!$M:$M,'Daily NSE Equity Options'!$A:$A,$A8)=0,"",SUMIFS('Daily NSE Equity Options'!$M:$M,'Daily NSE Equity Options'!$A:$A,$A8))</f>
        <v/>
      </c>
      <c r="V8" s="9">
        <f>IF(SUMIFS('Daily BSE Equity Options'!$M:$M,'Daily BSE Equity Options'!$A:$A,$A8)=0,"",SUMIFS('Daily BSE Equity Options'!$M:$M,'Daily BSE Equity Options'!$A:$A,$A8))</f>
        <v/>
      </c>
      <c r="W8" s="9">
        <f>IF(OR(U8="",V8=""),"",U8+V8)</f>
        <v/>
      </c>
      <c r="X8" s="25">
        <f>IF(W8="","",U8/W8)</f>
        <v/>
      </c>
      <c r="Y8" s="25">
        <f>IF(W8="","",V8/W8)</f>
        <v/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19">
        <f>IF(G9="","",E9/G9)</f>
        <v/>
      </c>
      <c r="I9" s="19">
        <f>IF(G9="","",F9/G9)</f>
        <v/>
      </c>
      <c r="J9" s="26">
        <f>IFERROR(IF(OR(E9="",INDEX(E:E,MATCH(DATE(YEAR($A9)-1,MONTH($A9),DAY($A9)),$A:$A,0))=""),"",E9/INDEX(E:E,MATCH(DATE(YEAR($A9)-1,MONTH($A9),DAY($A9)),$A:$A,0))-1),"")</f>
        <v/>
      </c>
      <c r="K9" s="19">
        <f>IFERROR(IF(OR(F9="",INDEX(F:F,MATCH(DATE(YEAR($A9)-1,MONTH($A9),DAY($A9)),$A:$A,0))=""),"",F9/INDEX(F:F,MATCH(DATE(YEAR($A9)-1,MONTH($A9),DAY($A9)),$A:$A,0))-1),"")</f>
        <v/>
      </c>
      <c r="L9" s="19">
        <f>IFERROR(IF(OR(G9="",INDEX(G:G,MATCH(DATE(YEAR($A9)-1,MONTH($A9),DAY($A9)),$A:$A,0))=""),"",G9/INDEX(G:G,MATCH(DATE(YEAR($A9)-1,MONTH($A9),DAY($A9)),$A:$A,0))-1),"")</f>
        <v/>
      </c>
      <c r="M9" s="19">
        <f>IF(OR(E9="",E8=""),"",E9/E8-1)</f>
        <v/>
      </c>
      <c r="N9" s="19">
        <f>IF(OR(F9="",F8=""),"",F9/F8-1)</f>
        <v/>
      </c>
      <c r="O9" s="19">
        <f>IF(OR(G9="",G8=""),"",G9/G8-1)</f>
        <v/>
      </c>
      <c r="P9" s="22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IF(R9="","",P9/R9)</f>
        <v/>
      </c>
      <c r="T9" s="23">
        <f>IF(R9="","",Q9/R9)</f>
        <v/>
      </c>
      <c r="U9" s="24">
        <f>IF(SUMIFS('Daily NSE Equity Options'!$M:$M,'Daily NSE Equity Options'!$A:$A,$A9)=0,"",SUMIFS('Daily NSE Equity Options'!$M:$M,'Daily NSE Equity Options'!$A:$A,$A9))</f>
        <v/>
      </c>
      <c r="V9" s="9">
        <f>IF(SUMIFS('Daily BSE Equity Options'!$M:$M,'Daily BSE Equity Options'!$A:$A,$A9)=0,"",SUMIFS('Daily BSE Equity Options'!$M:$M,'Daily BSE Equity Options'!$A:$A,$A9))</f>
        <v/>
      </c>
      <c r="W9" s="9">
        <f>IF(OR(U9="",V9=""),"",U9+V9)</f>
        <v/>
      </c>
      <c r="X9" s="25">
        <f>IF(W9="","",U9/W9)</f>
        <v/>
      </c>
      <c r="Y9" s="25">
        <f>IF(W9="","",V9/W9)</f>
        <v/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19">
        <f>IF(G10="","",E10/G10)</f>
        <v/>
      </c>
      <c r="I10" s="19">
        <f>IF(G10="","",F10/G10)</f>
        <v/>
      </c>
      <c r="J10" s="26">
        <f>IFERROR(IF(OR(E10="",INDEX(E:E,MATCH(DATE(YEAR($A10)-1,MONTH($A10),DAY($A10)),$A:$A,0))=""),"",E10/INDEX(E:E,MATCH(DATE(YEAR($A10)-1,MONTH($A10),DAY($A10)),$A:$A,0))-1),"")</f>
        <v/>
      </c>
      <c r="K10" s="19">
        <f>IFERROR(IF(OR(F10="",INDEX(F:F,MATCH(DATE(YEAR($A10)-1,MONTH($A10),DAY($A10)),$A:$A,0))=""),"",F10/INDEX(F:F,MATCH(DATE(YEAR($A10)-1,MONTH($A10),DAY($A10)),$A:$A,0))-1),"")</f>
        <v/>
      </c>
      <c r="L10" s="19">
        <f>IFERROR(IF(OR(G10="",INDEX(G:G,MATCH(DATE(YEAR($A10)-1,MONTH($A10),DAY($A10)),$A:$A,0))=""),"",G10/INDEX(G:G,MATCH(DATE(YEAR($A10)-1,MONTH($A10),DAY($A10)),$A:$A,0))-1),"")</f>
        <v/>
      </c>
      <c r="M10" s="19">
        <f>IF(OR(E10="",E9=""),"",E10/E9-1)</f>
        <v/>
      </c>
      <c r="N10" s="19">
        <f>IF(OR(F10="",F9=""),"",F10/F9-1)</f>
        <v/>
      </c>
      <c r="O10" s="19">
        <f>IF(OR(G10="",G9=""),"",G10/G9-1)</f>
        <v/>
      </c>
      <c r="P10" s="22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IF(R10="","",P10/R10)</f>
        <v/>
      </c>
      <c r="T10" s="23">
        <f>IF(R10="","",Q10/R10)</f>
        <v/>
      </c>
      <c r="U10" s="24">
        <f>IF(SUMIFS('Daily NSE Equity Options'!$M:$M,'Daily NSE Equity Options'!$A:$A,$A10)=0,"",SUMIFS('Daily NSE Equity Options'!$M:$M,'Daily NSE Equity Options'!$A:$A,$A10))</f>
        <v/>
      </c>
      <c r="V10" s="9">
        <f>IF(SUMIFS('Daily BSE Equity Options'!$M:$M,'Daily BSE Equity Options'!$A:$A,$A10)=0,"",SUMIFS('Daily BSE Equity Options'!$M:$M,'Daily BSE Equity Options'!$A:$A,$A10))</f>
        <v/>
      </c>
      <c r="W10" s="9">
        <f>IF(OR(U10="",V10=""),"",U10+V10)</f>
        <v/>
      </c>
      <c r="X10" s="25">
        <f>IF(W10="","",U10/W10)</f>
        <v/>
      </c>
      <c r="Y10" s="25">
        <f>IF(W10="","",V10/W10)</f>
        <v/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19">
        <f>IF(G11="","",E11/G11)</f>
        <v/>
      </c>
      <c r="I11" s="19">
        <f>IF(G11="","",F11/G11)</f>
        <v/>
      </c>
      <c r="J11" s="26">
        <f>IFERROR(IF(OR(E11="",INDEX(E:E,MATCH(DATE(YEAR($A11)-1,MONTH($A11),DAY($A11)),$A:$A,0))=""),"",E11/INDEX(E:E,MATCH(DATE(YEAR($A11)-1,MONTH($A11),DAY($A11)),$A:$A,0))-1),"")</f>
        <v/>
      </c>
      <c r="K11" s="19">
        <f>IFERROR(IF(OR(F11="",INDEX(F:F,MATCH(DATE(YEAR($A11)-1,MONTH($A11),DAY($A11)),$A:$A,0))=""),"",F11/INDEX(F:F,MATCH(DATE(YEAR($A11)-1,MONTH($A11),DAY($A11)),$A:$A,0))-1),"")</f>
        <v/>
      </c>
      <c r="L11" s="19">
        <f>IFERROR(IF(OR(G11="",INDEX(G:G,MATCH(DATE(YEAR($A11)-1,MONTH($A11),DAY($A11)),$A:$A,0))=""),"",G11/INDEX(G:G,MATCH(DATE(YEAR($A11)-1,MONTH($A11),DAY($A11)),$A:$A,0))-1),"")</f>
        <v/>
      </c>
      <c r="M11" s="19">
        <f>IF(OR(E11="",E10=""),"",E11/E10-1)</f>
        <v/>
      </c>
      <c r="N11" s="19">
        <f>IF(OR(F11="",F10=""),"",F11/F10-1)</f>
        <v/>
      </c>
      <c r="O11" s="19">
        <f>IF(OR(G11="",G10=""),"",G11/G10-1)</f>
        <v/>
      </c>
      <c r="P11" s="22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IF(R11="","",P11/R11)</f>
        <v/>
      </c>
      <c r="T11" s="23">
        <f>IF(R11="","",Q11/R11)</f>
        <v/>
      </c>
      <c r="U11" s="24">
        <f>IF(SUMIFS('Daily NSE Equity Options'!$M:$M,'Daily NSE Equity Options'!$A:$A,$A11)=0,"",SUMIFS('Daily NSE Equity Options'!$M:$M,'Daily NSE Equity Options'!$A:$A,$A11))</f>
        <v/>
      </c>
      <c r="V11" s="9">
        <f>IF(SUMIFS('Daily BSE Equity Options'!$M:$M,'Daily BSE Equity Options'!$A:$A,$A11)=0,"",SUMIFS('Daily BSE Equity Options'!$M:$M,'Daily BSE Equity Options'!$A:$A,$A11))</f>
        <v/>
      </c>
      <c r="W11" s="9">
        <f>IF(OR(U11="",V11=""),"",U11+V11)</f>
        <v/>
      </c>
      <c r="X11" s="25">
        <f>IF(W11="","",U11/W11)</f>
        <v/>
      </c>
      <c r="Y11" s="25">
        <f>IF(W11="","",V11/W11)</f>
        <v/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19">
        <f>IF(G12="","",E12/G12)</f>
        <v/>
      </c>
      <c r="I12" s="19">
        <f>IF(G12="","",F12/G12)</f>
        <v/>
      </c>
      <c r="J12" s="26">
        <f>IFERROR(IF(OR(E12="",INDEX(E:E,MATCH(DATE(YEAR($A12)-1,MONTH($A12),DAY($A12)),$A:$A,0))=""),"",E12/INDEX(E:E,MATCH(DATE(YEAR($A12)-1,MONTH($A12),DAY($A12)),$A:$A,0))-1),"")</f>
        <v/>
      </c>
      <c r="K12" s="19">
        <f>IFERROR(IF(OR(F12="",INDEX(F:F,MATCH(DATE(YEAR($A12)-1,MONTH($A12),DAY($A12)),$A:$A,0))=""),"",F12/INDEX(F:F,MATCH(DATE(YEAR($A12)-1,MONTH($A12),DAY($A12)),$A:$A,0))-1),"")</f>
        <v/>
      </c>
      <c r="L12" s="19">
        <f>IFERROR(IF(OR(G12="",INDEX(G:G,MATCH(DATE(YEAR($A12)-1,MONTH($A12),DAY($A12)),$A:$A,0))=""),"",G12/INDEX(G:G,MATCH(DATE(YEAR($A12)-1,MONTH($A12),DAY($A12)),$A:$A,0))-1),"")</f>
        <v/>
      </c>
      <c r="M12" s="19">
        <f>IF(OR(E12="",E11=""),"",E12/E11-1)</f>
        <v/>
      </c>
      <c r="N12" s="19">
        <f>IF(OR(F12="",F11=""),"",F12/F11-1)</f>
        <v/>
      </c>
      <c r="O12" s="19">
        <f>IF(OR(G12="",G11=""),"",G12/G11-1)</f>
        <v/>
      </c>
      <c r="P12" s="22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IF(R12="","",P12/R12)</f>
        <v/>
      </c>
      <c r="T12" s="23">
        <f>IF(R12="","",Q12/R12)</f>
        <v/>
      </c>
      <c r="U12" s="24">
        <f>IF(SUMIFS('Daily NSE Equity Options'!$M:$M,'Daily NSE Equity Options'!$A:$A,$A12)=0,"",SUMIFS('Daily NSE Equity Options'!$M:$M,'Daily NSE Equity Options'!$A:$A,$A12))</f>
        <v/>
      </c>
      <c r="V12" s="9">
        <f>IF(SUMIFS('Daily BSE Equity Options'!$M:$M,'Daily BSE Equity Options'!$A:$A,$A12)=0,"",SUMIFS('Daily BSE Equity Options'!$M:$M,'Daily BSE Equity Options'!$A:$A,$A12))</f>
        <v/>
      </c>
      <c r="W12" s="9">
        <f>IF(OR(U12="",V12=""),"",U12+V12)</f>
        <v/>
      </c>
      <c r="X12" s="25">
        <f>IF(W12="","",U12/W12)</f>
        <v/>
      </c>
      <c r="Y12" s="25">
        <f>IF(W12="","",V12/W12)</f>
        <v/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19">
        <f>IF(G13="","",E13/G13)</f>
        <v/>
      </c>
      <c r="I13" s="19">
        <f>IF(G13="","",F13/G13)</f>
        <v/>
      </c>
      <c r="J13" s="26">
        <f>IFERROR(IF(OR(E13="",INDEX(E:E,MATCH(DATE(YEAR($A13)-1,MONTH($A13),DAY($A13)),$A:$A,0))=""),"",E13/INDEX(E:E,MATCH(DATE(YEAR($A13)-1,MONTH($A13),DAY($A13)),$A:$A,0))-1),"")</f>
        <v/>
      </c>
      <c r="K13" s="19">
        <f>IFERROR(IF(OR(F13="",INDEX(F:F,MATCH(DATE(YEAR($A13)-1,MONTH($A13),DAY($A13)),$A:$A,0))=""),"",F13/INDEX(F:F,MATCH(DATE(YEAR($A13)-1,MONTH($A13),DAY($A13)),$A:$A,0))-1),"")</f>
        <v/>
      </c>
      <c r="L13" s="19">
        <f>IFERROR(IF(OR(G13="",INDEX(G:G,MATCH(DATE(YEAR($A13)-1,MONTH($A13),DAY($A13)),$A:$A,0))=""),"",G13/INDEX(G:G,MATCH(DATE(YEAR($A13)-1,MONTH($A13),DAY($A13)),$A:$A,0))-1),"")</f>
        <v/>
      </c>
      <c r="M13" s="19">
        <f>IF(OR(E13="",E12=""),"",E13/E12-1)</f>
        <v/>
      </c>
      <c r="N13" s="19">
        <f>IF(OR(F13="",F12=""),"",F13/F12-1)</f>
        <v/>
      </c>
      <c r="O13" s="19">
        <f>IF(OR(G13="",G12=""),"",G13/G12-1)</f>
        <v/>
      </c>
      <c r="P13" s="22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IF(R13="","",P13/R13)</f>
        <v/>
      </c>
      <c r="T13" s="23">
        <f>IF(R13="","",Q13/R13)</f>
        <v/>
      </c>
      <c r="U13" s="24">
        <f>IF(SUMIFS('Daily NSE Equity Options'!$M:$M,'Daily NSE Equity Options'!$A:$A,$A13)=0,"",SUMIFS('Daily NSE Equity Options'!$M:$M,'Daily NSE Equity Options'!$A:$A,$A13))</f>
        <v/>
      </c>
      <c r="V13" s="9">
        <f>IF(SUMIFS('Daily BSE Equity Options'!$M:$M,'Daily BSE Equity Options'!$A:$A,$A13)=0,"",SUMIFS('Daily BSE Equity Options'!$M:$M,'Daily BSE Equity Options'!$A:$A,$A13))</f>
        <v/>
      </c>
      <c r="W13" s="9">
        <f>IF(OR(U13="",V13=""),"",U13+V13)</f>
        <v/>
      </c>
      <c r="X13" s="25">
        <f>IF(W13="","",U13/W13)</f>
        <v/>
      </c>
      <c r="Y13" s="25">
        <f>IF(W13="","",V13/W13)</f>
        <v/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19">
        <f>IF(G14="","",E14/G14)</f>
        <v/>
      </c>
      <c r="I14" s="19">
        <f>IF(G14="","",F14/G14)</f>
        <v/>
      </c>
      <c r="J14" s="26">
        <f>IFERROR(IF(OR(E14="",INDEX(E:E,MATCH(DATE(YEAR($A14)-1,MONTH($A14),DAY($A14)),$A:$A,0))=""),"",E14/INDEX(E:E,MATCH(DATE(YEAR($A14)-1,MONTH($A14),DAY($A14)),$A:$A,0))-1),"")</f>
        <v/>
      </c>
      <c r="K14" s="19">
        <f>IFERROR(IF(OR(F14="",INDEX(F:F,MATCH(DATE(YEAR($A14)-1,MONTH($A14),DAY($A14)),$A:$A,0))=""),"",F14/INDEX(F:F,MATCH(DATE(YEAR($A14)-1,MONTH($A14),DAY($A14)),$A:$A,0))-1),"")</f>
        <v/>
      </c>
      <c r="L14" s="19">
        <f>IFERROR(IF(OR(G14="",INDEX(G:G,MATCH(DATE(YEAR($A14)-1,MONTH($A14),DAY($A14)),$A:$A,0))=""),"",G14/INDEX(G:G,MATCH(DATE(YEAR($A14)-1,MONTH($A14),DAY($A14)),$A:$A,0))-1),"")</f>
        <v/>
      </c>
      <c r="M14" s="19">
        <f>IF(OR(E14="",E13=""),"",E14/E13-1)</f>
        <v/>
      </c>
      <c r="N14" s="19">
        <f>IF(OR(F14="",F13=""),"",F14/F13-1)</f>
        <v/>
      </c>
      <c r="O14" s="19">
        <f>IF(OR(G14="",G13=""),"",G14/G13-1)</f>
        <v/>
      </c>
      <c r="P14" s="22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IF(R14="","",P14/R14)</f>
        <v/>
      </c>
      <c r="T14" s="23">
        <f>IF(R14="","",Q14/R14)</f>
        <v/>
      </c>
      <c r="U14" s="24">
        <f>IF(SUMIFS('Daily NSE Equity Options'!$M:$M,'Daily NSE Equity Options'!$A:$A,$A14)=0,"",SUMIFS('Daily NSE Equity Options'!$M:$M,'Daily NSE Equity Options'!$A:$A,$A14))</f>
        <v/>
      </c>
      <c r="V14" s="9">
        <f>IF(SUMIFS('Daily BSE Equity Options'!$M:$M,'Daily BSE Equity Options'!$A:$A,$A14)=0,"",SUMIFS('Daily BSE Equity Options'!$M:$M,'Daily BSE Equity Options'!$A:$A,$A14))</f>
        <v/>
      </c>
      <c r="W14" s="9">
        <f>IF(OR(U14="",V14=""),"",U14+V14)</f>
        <v/>
      </c>
      <c r="X14" s="25">
        <f>IF(W14="","",U14/W14)</f>
        <v/>
      </c>
      <c r="Y14" s="25">
        <f>IF(W14="","",V14/W14)</f>
        <v/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19">
        <f>IF(G15="","",E15/G15)</f>
        <v/>
      </c>
      <c r="I15" s="19">
        <f>IF(G15="","",F15/G15)</f>
        <v/>
      </c>
      <c r="J15" s="26">
        <f>IFERROR(IF(OR(E15="",INDEX(E:E,MATCH(DATE(YEAR($A15)-1,MONTH($A15),DAY($A15)),$A:$A,0))=""),"",E15/INDEX(E:E,MATCH(DATE(YEAR($A15)-1,MONTH($A15),DAY($A15)),$A:$A,0))-1),"")</f>
        <v/>
      </c>
      <c r="K15" s="19">
        <f>IFERROR(IF(OR(F15="",INDEX(F:F,MATCH(DATE(YEAR($A15)-1,MONTH($A15),DAY($A15)),$A:$A,0))=""),"",F15/INDEX(F:F,MATCH(DATE(YEAR($A15)-1,MONTH($A15),DAY($A15)),$A:$A,0))-1),"")</f>
        <v/>
      </c>
      <c r="L15" s="19">
        <f>IFERROR(IF(OR(G15="",INDEX(G:G,MATCH(DATE(YEAR($A15)-1,MONTH($A15),DAY($A15)),$A:$A,0))=""),"",G15/INDEX(G:G,MATCH(DATE(YEAR($A15)-1,MONTH($A15),DAY($A15)),$A:$A,0))-1),"")</f>
        <v/>
      </c>
      <c r="M15" s="19">
        <f>IF(OR(E15="",E14=""),"",E15/E14-1)</f>
        <v/>
      </c>
      <c r="N15" s="19">
        <f>IF(OR(F15="",F14=""),"",F15/F14-1)</f>
        <v/>
      </c>
      <c r="O15" s="19">
        <f>IF(OR(G15="",G14=""),"",G15/G14-1)</f>
        <v/>
      </c>
      <c r="P15" s="22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IF(R15="","",P15/R15)</f>
        <v/>
      </c>
      <c r="T15" s="23">
        <f>IF(R15="","",Q15/R15)</f>
        <v/>
      </c>
      <c r="U15" s="24">
        <f>IF(SUMIFS('Daily NSE Equity Options'!$M:$M,'Daily NSE Equity Options'!$A:$A,$A15)=0,"",SUMIFS('Daily NSE Equity Options'!$M:$M,'Daily NSE Equity Options'!$A:$A,$A15))</f>
        <v/>
      </c>
      <c r="V15" s="9">
        <f>IF(SUMIFS('Daily BSE Equity Options'!$M:$M,'Daily BSE Equity Options'!$A:$A,$A15)=0,"",SUMIFS('Daily BSE Equity Options'!$M:$M,'Daily BSE Equity Options'!$A:$A,$A15))</f>
        <v/>
      </c>
      <c r="W15" s="9">
        <f>IF(OR(U15="",V15=""),"",U15+V15)</f>
        <v/>
      </c>
      <c r="X15" s="25">
        <f>IF(W15="","",U15/W15)</f>
        <v/>
      </c>
      <c r="Y15" s="25">
        <f>IF(W15="","",V15/W15)</f>
        <v/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19">
        <f>IF(G16="","",E16/G16)</f>
        <v/>
      </c>
      <c r="I16" s="19">
        <f>IF(G16="","",F16/G16)</f>
        <v/>
      </c>
      <c r="J16" s="26">
        <f>IFERROR(IF(OR(E16="",INDEX(E:E,MATCH(DATE(YEAR($A16)-1,MONTH($A16),DAY($A16)),$A:$A,0))=""),"",E16/INDEX(E:E,MATCH(DATE(YEAR($A16)-1,MONTH($A16),DAY($A16)),$A:$A,0))-1),"")</f>
        <v/>
      </c>
      <c r="K16" s="19">
        <f>IFERROR(IF(OR(F16="",INDEX(F:F,MATCH(DATE(YEAR($A16)-1,MONTH($A16),DAY($A16)),$A:$A,0))=""),"",F16/INDEX(F:F,MATCH(DATE(YEAR($A16)-1,MONTH($A16),DAY($A16)),$A:$A,0))-1),"")</f>
        <v/>
      </c>
      <c r="L16" s="19">
        <f>IFERROR(IF(OR(G16="",INDEX(G:G,MATCH(DATE(YEAR($A16)-1,MONTH($A16),DAY($A16)),$A:$A,0))=""),"",G16/INDEX(G:G,MATCH(DATE(YEAR($A16)-1,MONTH($A16),DAY($A16)),$A:$A,0))-1),"")</f>
        <v/>
      </c>
      <c r="M16" s="19">
        <f>IF(OR(E16="",E15=""),"",E16/E15-1)</f>
        <v/>
      </c>
      <c r="N16" s="19">
        <f>IF(OR(F16="",F15=""),"",F16/F15-1)</f>
        <v/>
      </c>
      <c r="O16" s="19">
        <f>IF(OR(G16="",G15=""),"",G16/G15-1)</f>
        <v/>
      </c>
      <c r="P16" s="22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IF(R16="","",P16/R16)</f>
        <v/>
      </c>
      <c r="T16" s="23">
        <f>IF(R16="","",Q16/R16)</f>
        <v/>
      </c>
      <c r="U16" s="24">
        <f>IF(SUMIFS('Daily NSE Equity Options'!$M:$M,'Daily NSE Equity Options'!$A:$A,$A16)=0,"",SUMIFS('Daily NSE Equity Options'!$M:$M,'Daily NSE Equity Options'!$A:$A,$A16))</f>
        <v/>
      </c>
      <c r="V16" s="9">
        <f>IF(SUMIFS('Daily BSE Equity Options'!$M:$M,'Daily BSE Equity Options'!$A:$A,$A16)=0,"",SUMIFS('Daily BSE Equity Options'!$M:$M,'Daily BSE Equity Options'!$A:$A,$A16))</f>
        <v/>
      </c>
      <c r="W16" s="9">
        <f>IF(OR(U16="",V16=""),"",U16+V16)</f>
        <v/>
      </c>
      <c r="X16" s="25">
        <f>IF(W16="","",U16/W16)</f>
        <v/>
      </c>
      <c r="Y16" s="25">
        <f>IF(W16="","",V16/W16)</f>
        <v/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19">
        <f>IF(G17="","",E17/G17)</f>
        <v/>
      </c>
      <c r="I17" s="19">
        <f>IF(G17="","",F17/G17)</f>
        <v/>
      </c>
      <c r="J17" s="26">
        <f>IFERROR(IF(OR(E17="",INDEX(E:E,MATCH(DATE(YEAR($A17)-1,MONTH($A17),DAY($A17)),$A:$A,0))=""),"",E17/INDEX(E:E,MATCH(DATE(YEAR($A17)-1,MONTH($A17),DAY($A17)),$A:$A,0))-1),"")</f>
        <v/>
      </c>
      <c r="K17" s="19">
        <f>IFERROR(IF(OR(F17="",INDEX(F:F,MATCH(DATE(YEAR($A17)-1,MONTH($A17),DAY($A17)),$A:$A,0))=""),"",F17/INDEX(F:F,MATCH(DATE(YEAR($A17)-1,MONTH($A17),DAY($A17)),$A:$A,0))-1),"")</f>
        <v/>
      </c>
      <c r="L17" s="19">
        <f>IFERROR(IF(OR(G17="",INDEX(G:G,MATCH(DATE(YEAR($A17)-1,MONTH($A17),DAY($A17)),$A:$A,0))=""),"",G17/INDEX(G:G,MATCH(DATE(YEAR($A17)-1,MONTH($A17),DAY($A17)),$A:$A,0))-1),"")</f>
        <v/>
      </c>
      <c r="M17" s="19">
        <f>IF(OR(E17="",E16=""),"",E17/E16-1)</f>
        <v/>
      </c>
      <c r="N17" s="19">
        <f>IF(OR(F17="",F16=""),"",F17/F16-1)</f>
        <v/>
      </c>
      <c r="O17" s="19">
        <f>IF(OR(G17="",G16=""),"",G17/G16-1)</f>
        <v/>
      </c>
      <c r="P17" s="22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IF(R17="","",P17/R17)</f>
        <v/>
      </c>
      <c r="T17" s="23">
        <f>IF(R17="","",Q17/R17)</f>
        <v/>
      </c>
      <c r="U17" s="24">
        <f>IF(SUMIFS('Daily NSE Equity Options'!$M:$M,'Daily NSE Equity Options'!$A:$A,$A17)=0,"",SUMIFS('Daily NSE Equity Options'!$M:$M,'Daily NSE Equity Options'!$A:$A,$A17))</f>
        <v/>
      </c>
      <c r="V17" s="9">
        <f>IF(SUMIFS('Daily BSE Equity Options'!$M:$M,'Daily BSE Equity Options'!$A:$A,$A17)=0,"",SUMIFS('Daily BSE Equity Options'!$M:$M,'Daily BSE Equity Options'!$A:$A,$A17))</f>
        <v/>
      </c>
      <c r="W17" s="9">
        <f>IF(OR(U17="",V17=""),"",U17+V17)</f>
        <v/>
      </c>
      <c r="X17" s="25">
        <f>IF(W17="","",U17/W17)</f>
        <v/>
      </c>
      <c r="Y17" s="25">
        <f>IF(W17="","",V17/W17)</f>
        <v/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19">
        <f>IF(G18="","",E18/G18)</f>
        <v/>
      </c>
      <c r="I18" s="19">
        <f>IF(G18="","",F18/G18)</f>
        <v/>
      </c>
      <c r="J18" s="26">
        <f>IFERROR(IF(OR(E18="",INDEX(E:E,MATCH(DATE(YEAR($A18)-1,MONTH($A18),DAY($A18)),$A:$A,0))=""),"",E18/INDEX(E:E,MATCH(DATE(YEAR($A18)-1,MONTH($A18),DAY($A18)),$A:$A,0))-1),"")</f>
        <v/>
      </c>
      <c r="K18" s="19">
        <f>IFERROR(IF(OR(F18="",INDEX(F:F,MATCH(DATE(YEAR($A18)-1,MONTH($A18),DAY($A18)),$A:$A,0))=""),"",F18/INDEX(F:F,MATCH(DATE(YEAR($A18)-1,MONTH($A18),DAY($A18)),$A:$A,0))-1),"")</f>
        <v/>
      </c>
      <c r="L18" s="19">
        <f>IFERROR(IF(OR(G18="",INDEX(G:G,MATCH(DATE(YEAR($A18)-1,MONTH($A18),DAY($A18)),$A:$A,0))=""),"",G18/INDEX(G:G,MATCH(DATE(YEAR($A18)-1,MONTH($A18),DAY($A18)),$A:$A,0))-1),"")</f>
        <v/>
      </c>
      <c r="M18" s="19">
        <f>IF(OR(E18="",E17=""),"",E18/E17-1)</f>
        <v/>
      </c>
      <c r="N18" s="19">
        <f>IF(OR(F18="",F17=""),"",F18/F17-1)</f>
        <v/>
      </c>
      <c r="O18" s="19">
        <f>IF(OR(G18="",G17=""),"",G18/G17-1)</f>
        <v/>
      </c>
      <c r="P18" s="22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IF(R18="","",P18/R18)</f>
        <v/>
      </c>
      <c r="T18" s="23">
        <f>IF(R18="","",Q18/R18)</f>
        <v/>
      </c>
      <c r="U18" s="24">
        <f>IF(SUMIFS('Daily NSE Equity Options'!$M:$M,'Daily NSE Equity Options'!$A:$A,$A18)=0,"",SUMIFS('Daily NSE Equity Options'!$M:$M,'Daily NSE Equity Options'!$A:$A,$A18))</f>
        <v/>
      </c>
      <c r="V18" s="9">
        <f>IF(SUMIFS('Daily BSE Equity Options'!$M:$M,'Daily BSE Equity Options'!$A:$A,$A18)=0,"",SUMIFS('Daily BSE Equity Options'!$M:$M,'Daily BSE Equity Options'!$A:$A,$A18))</f>
        <v/>
      </c>
      <c r="W18" s="9">
        <f>IF(OR(U18="",V18=""),"",U18+V18)</f>
        <v/>
      </c>
      <c r="X18" s="25">
        <f>IF(W18="","",U18/W18)</f>
        <v/>
      </c>
      <c r="Y18" s="25">
        <f>IF(W18="","",V18/W18)</f>
        <v/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19">
        <f>IF(G19="","",E19/G19)</f>
        <v/>
      </c>
      <c r="I19" s="19">
        <f>IF(G19="","",F19/G19)</f>
        <v/>
      </c>
      <c r="J19" s="26">
        <f>IFERROR(IF(OR(E19="",INDEX(E:E,MATCH(DATE(YEAR($A19)-1,MONTH($A19),DAY($A19)),$A:$A,0))=""),"",E19/INDEX(E:E,MATCH(DATE(YEAR($A19)-1,MONTH($A19),DAY($A19)),$A:$A,0))-1),"")</f>
        <v/>
      </c>
      <c r="K19" s="19">
        <f>IFERROR(IF(OR(F19="",INDEX(F:F,MATCH(DATE(YEAR($A19)-1,MONTH($A19),DAY($A19)),$A:$A,0))=""),"",F19/INDEX(F:F,MATCH(DATE(YEAR($A19)-1,MONTH($A19),DAY($A19)),$A:$A,0))-1),"")</f>
        <v/>
      </c>
      <c r="L19" s="19">
        <f>IFERROR(IF(OR(G19="",INDEX(G:G,MATCH(DATE(YEAR($A19)-1,MONTH($A19),DAY($A19)),$A:$A,0))=""),"",G19/INDEX(G:G,MATCH(DATE(YEAR($A19)-1,MONTH($A19),DAY($A19)),$A:$A,0))-1),"")</f>
        <v/>
      </c>
      <c r="M19" s="19">
        <f>IF(OR(E19="",E18=""),"",E19/E18-1)</f>
        <v/>
      </c>
      <c r="N19" s="19">
        <f>IF(OR(F19="",F18=""),"",F19/F18-1)</f>
        <v/>
      </c>
      <c r="O19" s="19">
        <f>IF(OR(G19="",G18=""),"",G19/G18-1)</f>
        <v/>
      </c>
      <c r="P19" s="22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IF(R19="","",P19/R19)</f>
        <v/>
      </c>
      <c r="T19" s="23">
        <f>IF(R19="","",Q19/R19)</f>
        <v/>
      </c>
      <c r="U19" s="24">
        <f>IF(SUMIFS('Daily NSE Equity Options'!$M:$M,'Daily NSE Equity Options'!$A:$A,$A19)=0,"",SUMIFS('Daily NSE Equity Options'!$M:$M,'Daily NSE Equity Options'!$A:$A,$A19))</f>
        <v/>
      </c>
      <c r="V19" s="9">
        <f>IF(SUMIFS('Daily BSE Equity Options'!$M:$M,'Daily BSE Equity Options'!$A:$A,$A19)=0,"",SUMIFS('Daily BSE Equity Options'!$M:$M,'Daily BSE Equity Options'!$A:$A,$A19))</f>
        <v/>
      </c>
      <c r="W19" s="9">
        <f>IF(OR(U19="",V19=""),"",U19+V19)</f>
        <v/>
      </c>
      <c r="X19" s="25">
        <f>IF(W19="","",U19/W19)</f>
        <v/>
      </c>
      <c r="Y19" s="25">
        <f>IF(W19="","",V19/W19)</f>
        <v/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19">
        <f>IF(G20="","",E20/G20)</f>
        <v/>
      </c>
      <c r="I20" s="19">
        <f>IF(G20="","",F20/G20)</f>
        <v/>
      </c>
      <c r="J20" s="26">
        <f>IFERROR(IF(OR(E20="",INDEX(E:E,MATCH(DATE(YEAR($A20)-1,MONTH($A20),DAY($A20)),$A:$A,0))=""),"",E20/INDEX(E:E,MATCH(DATE(YEAR($A20)-1,MONTH($A20),DAY($A20)),$A:$A,0))-1),"")</f>
        <v/>
      </c>
      <c r="K20" s="19">
        <f>IFERROR(IF(OR(F20="",INDEX(F:F,MATCH(DATE(YEAR($A20)-1,MONTH($A20),DAY($A20)),$A:$A,0))=""),"",F20/INDEX(F:F,MATCH(DATE(YEAR($A20)-1,MONTH($A20),DAY($A20)),$A:$A,0))-1),"")</f>
        <v/>
      </c>
      <c r="L20" s="19">
        <f>IFERROR(IF(OR(G20="",INDEX(G:G,MATCH(DATE(YEAR($A20)-1,MONTH($A20),DAY($A20)),$A:$A,0))=""),"",G20/INDEX(G:G,MATCH(DATE(YEAR($A20)-1,MONTH($A20),DAY($A20)),$A:$A,0))-1),"")</f>
        <v/>
      </c>
      <c r="M20" s="19">
        <f>IF(OR(E20="",E19=""),"",E20/E19-1)</f>
        <v/>
      </c>
      <c r="N20" s="19">
        <f>IF(OR(F20="",F19=""),"",F20/F19-1)</f>
        <v/>
      </c>
      <c r="O20" s="19">
        <f>IF(OR(G20="",G19=""),"",G20/G19-1)</f>
        <v/>
      </c>
      <c r="P20" s="22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IF(R20="","",P20/R20)</f>
        <v/>
      </c>
      <c r="T20" s="23">
        <f>IF(R20="","",Q20/R20)</f>
        <v/>
      </c>
      <c r="U20" s="24">
        <f>IF(SUMIFS('Daily NSE Equity Options'!$M:$M,'Daily NSE Equity Options'!$A:$A,$A20)=0,"",SUMIFS('Daily NSE Equity Options'!$M:$M,'Daily NSE Equity Options'!$A:$A,$A20))</f>
        <v/>
      </c>
      <c r="V20" s="9">
        <f>IF(SUMIFS('Daily BSE Equity Options'!$M:$M,'Daily BSE Equity Options'!$A:$A,$A20)=0,"",SUMIFS('Daily BSE Equity Options'!$M:$M,'Daily BSE Equity Options'!$A:$A,$A20))</f>
        <v/>
      </c>
      <c r="W20" s="9">
        <f>IF(OR(U20="",V20=""),"",U20+V20)</f>
        <v/>
      </c>
      <c r="X20" s="25">
        <f>IF(W20="","",U20/W20)</f>
        <v/>
      </c>
      <c r="Y20" s="25">
        <f>IF(W20="","",V20/W20)</f>
        <v/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19">
        <f>IF(G21="","",E21/G21)</f>
        <v/>
      </c>
      <c r="I21" s="19">
        <f>IF(G21="","",F21/G21)</f>
        <v/>
      </c>
      <c r="J21" s="26">
        <f>IFERROR(IF(OR(E21="",INDEX(E:E,MATCH(DATE(YEAR($A21)-1,MONTH($A21),DAY($A21)),$A:$A,0))=""),"",E21/INDEX(E:E,MATCH(DATE(YEAR($A21)-1,MONTH($A21),DAY($A21)),$A:$A,0))-1),"")</f>
        <v/>
      </c>
      <c r="K21" s="19">
        <f>IFERROR(IF(OR(F21="",INDEX(F:F,MATCH(DATE(YEAR($A21)-1,MONTH($A21),DAY($A21)),$A:$A,0))=""),"",F21/INDEX(F:F,MATCH(DATE(YEAR($A21)-1,MONTH($A21),DAY($A21)),$A:$A,0))-1),"")</f>
        <v/>
      </c>
      <c r="L21" s="19">
        <f>IFERROR(IF(OR(G21="",INDEX(G:G,MATCH(DATE(YEAR($A21)-1,MONTH($A21),DAY($A21)),$A:$A,0))=""),"",G21/INDEX(G:G,MATCH(DATE(YEAR($A21)-1,MONTH($A21),DAY($A21)),$A:$A,0))-1),"")</f>
        <v/>
      </c>
      <c r="M21" s="19">
        <f>IF(OR(E21="",E20=""),"",E21/E20-1)</f>
        <v/>
      </c>
      <c r="N21" s="19">
        <f>IF(OR(F21="",F20=""),"",F21/F20-1)</f>
        <v/>
      </c>
      <c r="O21" s="19">
        <f>IF(OR(G21="",G20=""),"",G21/G20-1)</f>
        <v/>
      </c>
      <c r="P21" s="22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IF(R21="","",P21/R21)</f>
        <v/>
      </c>
      <c r="T21" s="23">
        <f>IF(R21="","",Q21/R21)</f>
        <v/>
      </c>
      <c r="U21" s="24">
        <f>IF(SUMIFS('Daily NSE Equity Options'!$M:$M,'Daily NSE Equity Options'!$A:$A,$A21)=0,"",SUMIFS('Daily NSE Equity Options'!$M:$M,'Daily NSE Equity Options'!$A:$A,$A21))</f>
        <v/>
      </c>
      <c r="V21" s="9">
        <f>IF(SUMIFS('Daily BSE Equity Options'!$M:$M,'Daily BSE Equity Options'!$A:$A,$A21)=0,"",SUMIFS('Daily BSE Equity Options'!$M:$M,'Daily BSE Equity Options'!$A:$A,$A21))</f>
        <v/>
      </c>
      <c r="W21" s="9">
        <f>IF(OR(U21="",V21=""),"",U21+V21)</f>
        <v/>
      </c>
      <c r="X21" s="25">
        <f>IF(W21="","",U21/W21)</f>
        <v/>
      </c>
      <c r="Y21" s="25">
        <f>IF(W21="","",V21/W21)</f>
        <v/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19">
        <f>IF(G22="","",E22/G22)</f>
        <v/>
      </c>
      <c r="I22" s="19">
        <f>IF(G22="","",F22/G22)</f>
        <v/>
      </c>
      <c r="J22" s="26">
        <f>IFERROR(IF(OR(E22="",INDEX(E:E,MATCH(DATE(YEAR($A22)-1,MONTH($A22),DAY($A22)),$A:$A,0))=""),"",E22/INDEX(E:E,MATCH(DATE(YEAR($A22)-1,MONTH($A22),DAY($A22)),$A:$A,0))-1),"")</f>
        <v/>
      </c>
      <c r="K22" s="19">
        <f>IFERROR(IF(OR(F22="",INDEX(F:F,MATCH(DATE(YEAR($A22)-1,MONTH($A22),DAY($A22)),$A:$A,0))=""),"",F22/INDEX(F:F,MATCH(DATE(YEAR($A22)-1,MONTH($A22),DAY($A22)),$A:$A,0))-1),"")</f>
        <v/>
      </c>
      <c r="L22" s="19">
        <f>IFERROR(IF(OR(G22="",INDEX(G:G,MATCH(DATE(YEAR($A22)-1,MONTH($A22),DAY($A22)),$A:$A,0))=""),"",G22/INDEX(G:G,MATCH(DATE(YEAR($A22)-1,MONTH($A22),DAY($A22)),$A:$A,0))-1),"")</f>
        <v/>
      </c>
      <c r="M22" s="19">
        <f>IF(OR(E22="",E21=""),"",E22/E21-1)</f>
        <v/>
      </c>
      <c r="N22" s="19">
        <f>IF(OR(F22="",F21=""),"",F22/F21-1)</f>
        <v/>
      </c>
      <c r="O22" s="19">
        <f>IF(OR(G22="",G21=""),"",G22/G21-1)</f>
        <v/>
      </c>
      <c r="P22" s="22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IF(R22="","",P22/R22)</f>
        <v/>
      </c>
      <c r="T22" s="23">
        <f>IF(R22="","",Q22/R22)</f>
        <v/>
      </c>
      <c r="U22" s="24">
        <f>IF(SUMIFS('Daily NSE Equity Options'!$M:$M,'Daily NSE Equity Options'!$A:$A,$A22)=0,"",SUMIFS('Daily NSE Equity Options'!$M:$M,'Daily NSE Equity Options'!$A:$A,$A22))</f>
        <v/>
      </c>
      <c r="V22" s="9">
        <f>IF(SUMIFS('Daily BSE Equity Options'!$M:$M,'Daily BSE Equity Options'!$A:$A,$A22)=0,"",SUMIFS('Daily BSE Equity Options'!$M:$M,'Daily BSE Equity Options'!$A:$A,$A22))</f>
        <v/>
      </c>
      <c r="W22" s="9">
        <f>IF(OR(U22="",V22=""),"",U22+V22)</f>
        <v/>
      </c>
      <c r="X22" s="25">
        <f>IF(W22="","",U22/W22)</f>
        <v/>
      </c>
      <c r="Y22" s="25">
        <f>IF(W22="","",V22/W22)</f>
        <v/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19">
        <f>IF(G23="","",E23/G23)</f>
        <v/>
      </c>
      <c r="I23" s="19">
        <f>IF(G23="","",F23/G23)</f>
        <v/>
      </c>
      <c r="J23" s="26">
        <f>IFERROR(IF(OR(E23="",INDEX(E:E,MATCH(DATE(YEAR($A23)-1,MONTH($A23),DAY($A23)),$A:$A,0))=""),"",E23/INDEX(E:E,MATCH(DATE(YEAR($A23)-1,MONTH($A23),DAY($A23)),$A:$A,0))-1),"")</f>
        <v/>
      </c>
      <c r="K23" s="19">
        <f>IFERROR(IF(OR(F23="",INDEX(F:F,MATCH(DATE(YEAR($A23)-1,MONTH($A23),DAY($A23)),$A:$A,0))=""),"",F23/INDEX(F:F,MATCH(DATE(YEAR($A23)-1,MONTH($A23),DAY($A23)),$A:$A,0))-1),"")</f>
        <v/>
      </c>
      <c r="L23" s="19">
        <f>IFERROR(IF(OR(G23="",INDEX(G:G,MATCH(DATE(YEAR($A23)-1,MONTH($A23),DAY($A23)),$A:$A,0))=""),"",G23/INDEX(G:G,MATCH(DATE(YEAR($A23)-1,MONTH($A23),DAY($A23)),$A:$A,0))-1),"")</f>
        <v/>
      </c>
      <c r="M23" s="19">
        <f>IF(OR(E23="",E22=""),"",E23/E22-1)</f>
        <v/>
      </c>
      <c r="N23" s="19">
        <f>IF(OR(F23="",F22=""),"",F23/F22-1)</f>
        <v/>
      </c>
      <c r="O23" s="19">
        <f>IF(OR(G23="",G22=""),"",G23/G22-1)</f>
        <v/>
      </c>
      <c r="P23" s="22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IF(R23="","",P23/R23)</f>
        <v/>
      </c>
      <c r="T23" s="23">
        <f>IF(R23="","",Q23/R23)</f>
        <v/>
      </c>
      <c r="U23" s="24">
        <f>IF(SUMIFS('Daily NSE Equity Options'!$M:$M,'Daily NSE Equity Options'!$A:$A,$A23)=0,"",SUMIFS('Daily NSE Equity Options'!$M:$M,'Daily NSE Equity Options'!$A:$A,$A23))</f>
        <v/>
      </c>
      <c r="V23" s="9">
        <f>IF(SUMIFS('Daily BSE Equity Options'!$M:$M,'Daily BSE Equity Options'!$A:$A,$A23)=0,"",SUMIFS('Daily BSE Equity Options'!$M:$M,'Daily BSE Equity Options'!$A:$A,$A23))</f>
        <v/>
      </c>
      <c r="W23" s="9">
        <f>IF(OR(U23="",V23=""),"",U23+V23)</f>
        <v/>
      </c>
      <c r="X23" s="25">
        <f>IF(W23="","",U23/W23)</f>
        <v/>
      </c>
      <c r="Y23" s="25">
        <f>IF(W23="","",V23/W23)</f>
        <v/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19">
        <f>IF(G24="","",E24/G24)</f>
        <v/>
      </c>
      <c r="I24" s="19">
        <f>IF(G24="","",F24/G24)</f>
        <v/>
      </c>
      <c r="J24" s="26">
        <f>IFERROR(IF(OR(E24="",INDEX(E:E,MATCH(DATE(YEAR($A24)-1,MONTH($A24),DAY($A24)),$A:$A,0))=""),"",E24/INDEX(E:E,MATCH(DATE(YEAR($A24)-1,MONTH($A24),DAY($A24)),$A:$A,0))-1),"")</f>
        <v/>
      </c>
      <c r="K24" s="19">
        <f>IFERROR(IF(OR(F24="",INDEX(F:F,MATCH(DATE(YEAR($A24)-1,MONTH($A24),DAY($A24)),$A:$A,0))=""),"",F24/INDEX(F:F,MATCH(DATE(YEAR($A24)-1,MONTH($A24),DAY($A24)),$A:$A,0))-1),"")</f>
        <v/>
      </c>
      <c r="L24" s="19">
        <f>IFERROR(IF(OR(G24="",INDEX(G:G,MATCH(DATE(YEAR($A24)-1,MONTH($A24),DAY($A24)),$A:$A,0))=""),"",G24/INDEX(G:G,MATCH(DATE(YEAR($A24)-1,MONTH($A24),DAY($A24)),$A:$A,0))-1),"")</f>
        <v/>
      </c>
      <c r="M24" s="19">
        <f>IF(OR(E24="",E23=""),"",E24/E23-1)</f>
        <v/>
      </c>
      <c r="N24" s="19">
        <f>IF(OR(F24="",F23=""),"",F24/F23-1)</f>
        <v/>
      </c>
      <c r="O24" s="19">
        <f>IF(OR(G24="",G23=""),"",G24/G23-1)</f>
        <v/>
      </c>
      <c r="P24" s="22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IF(R24="","",P24/R24)</f>
        <v/>
      </c>
      <c r="T24" s="23">
        <f>IF(R24="","",Q24/R24)</f>
        <v/>
      </c>
      <c r="U24" s="24">
        <f>IF(SUMIFS('Daily NSE Equity Options'!$M:$M,'Daily NSE Equity Options'!$A:$A,$A24)=0,"",SUMIFS('Daily NSE Equity Options'!$M:$M,'Daily NSE Equity Options'!$A:$A,$A24))</f>
        <v/>
      </c>
      <c r="V24" s="9">
        <f>IF(SUMIFS('Daily BSE Equity Options'!$M:$M,'Daily BSE Equity Options'!$A:$A,$A24)=0,"",SUMIFS('Daily BSE Equity Options'!$M:$M,'Daily BSE Equity Options'!$A:$A,$A24))</f>
        <v/>
      </c>
      <c r="W24" s="9">
        <f>IF(OR(U24="",V24=""),"",U24+V24)</f>
        <v/>
      </c>
      <c r="X24" s="25">
        <f>IF(W24="","",U24/W24)</f>
        <v/>
      </c>
      <c r="Y24" s="25">
        <f>IF(W24="","",V24/W24)</f>
        <v/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19">
        <f>IF(G25="","",E25/G25)</f>
        <v/>
      </c>
      <c r="I25" s="19">
        <f>IF(G25="","",F25/G25)</f>
        <v/>
      </c>
      <c r="J25" s="26">
        <f>IFERROR(IF(OR(E25="",INDEX(E:E,MATCH(DATE(YEAR($A25)-1,MONTH($A25),DAY($A25)),$A:$A,0))=""),"",E25/INDEX(E:E,MATCH(DATE(YEAR($A25)-1,MONTH($A25),DAY($A25)),$A:$A,0))-1),"")</f>
        <v/>
      </c>
      <c r="K25" s="19">
        <f>IFERROR(IF(OR(F25="",INDEX(F:F,MATCH(DATE(YEAR($A25)-1,MONTH($A25),DAY($A25)),$A:$A,0))=""),"",F25/INDEX(F:F,MATCH(DATE(YEAR($A25)-1,MONTH($A25),DAY($A25)),$A:$A,0))-1),"")</f>
        <v/>
      </c>
      <c r="L25" s="19">
        <f>IFERROR(IF(OR(G25="",INDEX(G:G,MATCH(DATE(YEAR($A25)-1,MONTH($A25),DAY($A25)),$A:$A,0))=""),"",G25/INDEX(G:G,MATCH(DATE(YEAR($A25)-1,MONTH($A25),DAY($A25)),$A:$A,0))-1),"")</f>
        <v/>
      </c>
      <c r="M25" s="19">
        <f>IF(OR(E25="",E24=""),"",E25/E24-1)</f>
        <v/>
      </c>
      <c r="N25" s="19">
        <f>IF(OR(F25="",F24=""),"",F25/F24-1)</f>
        <v/>
      </c>
      <c r="O25" s="19">
        <f>IF(OR(G25="",G24=""),"",G25/G24-1)</f>
        <v/>
      </c>
      <c r="P25" s="22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IF(R25="","",P25/R25)</f>
        <v/>
      </c>
      <c r="T25" s="23">
        <f>IF(R25="","",Q25/R25)</f>
        <v/>
      </c>
      <c r="U25" s="24">
        <f>IF(SUMIFS('Daily NSE Equity Options'!$M:$M,'Daily NSE Equity Options'!$A:$A,$A25)=0,"",SUMIFS('Daily NSE Equity Options'!$M:$M,'Daily NSE Equity Options'!$A:$A,$A25))</f>
        <v/>
      </c>
      <c r="V25" s="9">
        <f>IF(SUMIFS('Daily BSE Equity Options'!$M:$M,'Daily BSE Equity Options'!$A:$A,$A25)=0,"",SUMIFS('Daily BSE Equity Options'!$M:$M,'Daily BSE Equity Options'!$A:$A,$A25))</f>
        <v/>
      </c>
      <c r="W25" s="9">
        <f>IF(OR(U25="",V25=""),"",U25+V25)</f>
        <v/>
      </c>
      <c r="X25" s="25">
        <f>IF(W25="","",U25/W25)</f>
        <v/>
      </c>
      <c r="Y25" s="25">
        <f>IF(W25="","",V25/W25)</f>
        <v/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19">
        <f>IF(G26="","",E26/G26)</f>
        <v/>
      </c>
      <c r="I26" s="19">
        <f>IF(G26="","",F26/G26)</f>
        <v/>
      </c>
      <c r="J26" s="26">
        <f>IFERROR(IF(OR(E26="",INDEX(E:E,MATCH(DATE(YEAR($A26)-1,MONTH($A26),DAY($A26)),$A:$A,0))=""),"",E26/INDEX(E:E,MATCH(DATE(YEAR($A26)-1,MONTH($A26),DAY($A26)),$A:$A,0))-1),"")</f>
        <v/>
      </c>
      <c r="K26" s="19">
        <f>IFERROR(IF(OR(F26="",INDEX(F:F,MATCH(DATE(YEAR($A26)-1,MONTH($A26),DAY($A26)),$A:$A,0))=""),"",F26/INDEX(F:F,MATCH(DATE(YEAR($A26)-1,MONTH($A26),DAY($A26)),$A:$A,0))-1),"")</f>
        <v/>
      </c>
      <c r="L26" s="19">
        <f>IFERROR(IF(OR(G26="",INDEX(G:G,MATCH(DATE(YEAR($A26)-1,MONTH($A26),DAY($A26)),$A:$A,0))=""),"",G26/INDEX(G:G,MATCH(DATE(YEAR($A26)-1,MONTH($A26),DAY($A26)),$A:$A,0))-1),"")</f>
        <v/>
      </c>
      <c r="M26" s="19">
        <f>IF(OR(E26="",E25=""),"",E26/E25-1)</f>
        <v/>
      </c>
      <c r="N26" s="19">
        <f>IF(OR(F26="",F25=""),"",F26/F25-1)</f>
        <v/>
      </c>
      <c r="O26" s="19">
        <f>IF(OR(G26="",G25=""),"",G26/G25-1)</f>
        <v/>
      </c>
      <c r="P26" s="22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IF(R26="","",P26/R26)</f>
        <v/>
      </c>
      <c r="T26" s="23">
        <f>IF(R26="","",Q26/R26)</f>
        <v/>
      </c>
      <c r="U26" s="24">
        <f>IF(SUMIFS('Daily NSE Equity Options'!$M:$M,'Daily NSE Equity Options'!$A:$A,$A26)=0,"",SUMIFS('Daily NSE Equity Options'!$M:$M,'Daily NSE Equity Options'!$A:$A,$A26))</f>
        <v/>
      </c>
      <c r="V26" s="9">
        <f>IF(SUMIFS('Daily BSE Equity Options'!$M:$M,'Daily BSE Equity Options'!$A:$A,$A26)=0,"",SUMIFS('Daily BSE Equity Options'!$M:$M,'Daily BSE Equity Options'!$A:$A,$A26))</f>
        <v/>
      </c>
      <c r="W26" s="9">
        <f>IF(OR(U26="",V26=""),"",U26+V26)</f>
        <v/>
      </c>
      <c r="X26" s="25">
        <f>IF(W26="","",U26/W26)</f>
        <v/>
      </c>
      <c r="Y26" s="25">
        <f>IF(W26="","",V26/W26)</f>
        <v/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19">
        <f>IF(G27="","",E27/G27)</f>
        <v/>
      </c>
      <c r="I27" s="19">
        <f>IF(G27="","",F27/G27)</f>
        <v/>
      </c>
      <c r="J27" s="26">
        <f>IFERROR(IF(OR(E27="",INDEX(E:E,MATCH(DATE(YEAR($A27)-1,MONTH($A27),DAY($A27)),$A:$A,0))=""),"",E27/INDEX(E:E,MATCH(DATE(YEAR($A27)-1,MONTH($A27),DAY($A27)),$A:$A,0))-1),"")</f>
        <v/>
      </c>
      <c r="K27" s="19">
        <f>IFERROR(IF(OR(F27="",INDEX(F:F,MATCH(DATE(YEAR($A27)-1,MONTH($A27),DAY($A27)),$A:$A,0))=""),"",F27/INDEX(F:F,MATCH(DATE(YEAR($A27)-1,MONTH($A27),DAY($A27)),$A:$A,0))-1),"")</f>
        <v/>
      </c>
      <c r="L27" s="19">
        <f>IFERROR(IF(OR(G27="",INDEX(G:G,MATCH(DATE(YEAR($A27)-1,MONTH($A27),DAY($A27)),$A:$A,0))=""),"",G27/INDEX(G:G,MATCH(DATE(YEAR($A27)-1,MONTH($A27),DAY($A27)),$A:$A,0))-1),"")</f>
        <v/>
      </c>
      <c r="M27" s="19">
        <f>IF(OR(E27="",E26=""),"",E27/E26-1)</f>
        <v/>
      </c>
      <c r="N27" s="19">
        <f>IF(OR(F27="",F26=""),"",F27/F26-1)</f>
        <v/>
      </c>
      <c r="O27" s="19">
        <f>IF(OR(G27="",G26=""),"",G27/G26-1)</f>
        <v/>
      </c>
      <c r="P27" s="22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IF(R27="","",P27/R27)</f>
        <v/>
      </c>
      <c r="T27" s="23">
        <f>IF(R27="","",Q27/R27)</f>
        <v/>
      </c>
      <c r="U27" s="24">
        <f>IF(SUMIFS('Daily NSE Equity Options'!$M:$M,'Daily NSE Equity Options'!$A:$A,$A27)=0,"",SUMIFS('Daily NSE Equity Options'!$M:$M,'Daily NSE Equity Options'!$A:$A,$A27))</f>
        <v/>
      </c>
      <c r="V27" s="9">
        <f>IF(SUMIFS('Daily BSE Equity Options'!$M:$M,'Daily BSE Equity Options'!$A:$A,$A27)=0,"",SUMIFS('Daily BSE Equity Options'!$M:$M,'Daily BSE Equity Options'!$A:$A,$A27))</f>
        <v/>
      </c>
      <c r="W27" s="9">
        <f>IF(OR(U27="",V27=""),"",U27+V27)</f>
        <v/>
      </c>
      <c r="X27" s="25">
        <f>IF(W27="","",U27/W27)</f>
        <v/>
      </c>
      <c r="Y27" s="25">
        <f>IF(W27="","",V27/W27)</f>
        <v/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19">
        <f>IF(G28="","",E28/G28)</f>
        <v/>
      </c>
      <c r="I28" s="19">
        <f>IF(G28="","",F28/G28)</f>
        <v/>
      </c>
      <c r="J28" s="26">
        <f>IFERROR(IF(OR(E28="",INDEX(E:E,MATCH(DATE(YEAR($A28)-1,MONTH($A28),DAY($A28)),$A:$A,0))=""),"",E28/INDEX(E:E,MATCH(DATE(YEAR($A28)-1,MONTH($A28),DAY($A28)),$A:$A,0))-1),"")</f>
        <v/>
      </c>
      <c r="K28" s="19">
        <f>IFERROR(IF(OR(F28="",INDEX(F:F,MATCH(DATE(YEAR($A28)-1,MONTH($A28),DAY($A28)),$A:$A,0))=""),"",F28/INDEX(F:F,MATCH(DATE(YEAR($A28)-1,MONTH($A28),DAY($A28)),$A:$A,0))-1),"")</f>
        <v/>
      </c>
      <c r="L28" s="19">
        <f>IFERROR(IF(OR(G28="",INDEX(G:G,MATCH(DATE(YEAR($A28)-1,MONTH($A28),DAY($A28)),$A:$A,0))=""),"",G28/INDEX(G:G,MATCH(DATE(YEAR($A28)-1,MONTH($A28),DAY($A28)),$A:$A,0))-1),"")</f>
        <v/>
      </c>
      <c r="M28" s="19">
        <f>IF(OR(E28="",E27=""),"",E28/E27-1)</f>
        <v/>
      </c>
      <c r="N28" s="19">
        <f>IF(OR(F28="",F27=""),"",F28/F27-1)</f>
        <v/>
      </c>
      <c r="O28" s="19">
        <f>IF(OR(G28="",G27=""),"",G28/G27-1)</f>
        <v/>
      </c>
      <c r="P28" s="22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IF(R28="","",P28/R28)</f>
        <v/>
      </c>
      <c r="T28" s="23">
        <f>IF(R28="","",Q28/R28)</f>
        <v/>
      </c>
      <c r="U28" s="24">
        <f>IF(SUMIFS('Daily NSE Equity Options'!$M:$M,'Daily NSE Equity Options'!$A:$A,$A28)=0,"",SUMIFS('Daily NSE Equity Options'!$M:$M,'Daily NSE Equity Options'!$A:$A,$A28))</f>
        <v/>
      </c>
      <c r="V28" s="9">
        <f>IF(SUMIFS('Daily BSE Equity Options'!$M:$M,'Daily BSE Equity Options'!$A:$A,$A28)=0,"",SUMIFS('Daily BSE Equity Options'!$M:$M,'Daily BSE Equity Options'!$A:$A,$A28))</f>
        <v/>
      </c>
      <c r="W28" s="9">
        <f>IF(OR(U28="",V28=""),"",U28+V28)</f>
        <v/>
      </c>
      <c r="X28" s="25">
        <f>IF(W28="","",U28/W28)</f>
        <v/>
      </c>
      <c r="Y28" s="25">
        <f>IF(W28="","",V28/W28)</f>
        <v/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19">
        <f>IF(G29="","",E29/G29)</f>
        <v/>
      </c>
      <c r="I29" s="19">
        <f>IF(G29="","",F29/G29)</f>
        <v/>
      </c>
      <c r="J29" s="26">
        <f>IFERROR(IF(OR(E29="",INDEX(E:E,MATCH(DATE(YEAR($A29)-1,MONTH($A29),DAY($A29)),$A:$A,0))=""),"",E29/INDEX(E:E,MATCH(DATE(YEAR($A29)-1,MONTH($A29),DAY($A29)),$A:$A,0))-1),"")</f>
        <v/>
      </c>
      <c r="K29" s="19">
        <f>IFERROR(IF(OR(F29="",INDEX(F:F,MATCH(DATE(YEAR($A29)-1,MONTH($A29),DAY($A29)),$A:$A,0))=""),"",F29/INDEX(F:F,MATCH(DATE(YEAR($A29)-1,MONTH($A29),DAY($A29)),$A:$A,0))-1),"")</f>
        <v/>
      </c>
      <c r="L29" s="19">
        <f>IFERROR(IF(OR(G29="",INDEX(G:G,MATCH(DATE(YEAR($A29)-1,MONTH($A29),DAY($A29)),$A:$A,0))=""),"",G29/INDEX(G:G,MATCH(DATE(YEAR($A29)-1,MONTH($A29),DAY($A29)),$A:$A,0))-1),"")</f>
        <v/>
      </c>
      <c r="M29" s="19">
        <f>IF(OR(E29="",E28=""),"",E29/E28-1)</f>
        <v/>
      </c>
      <c r="N29" s="19">
        <f>IF(OR(F29="",F28=""),"",F29/F28-1)</f>
        <v/>
      </c>
      <c r="O29" s="19">
        <f>IF(OR(G29="",G28=""),"",G29/G28-1)</f>
        <v/>
      </c>
      <c r="P29" s="22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IF(R29="","",P29/R29)</f>
        <v/>
      </c>
      <c r="T29" s="23">
        <f>IF(R29="","",Q29/R29)</f>
        <v/>
      </c>
      <c r="U29" s="24">
        <f>IF(SUMIFS('Daily NSE Equity Options'!$M:$M,'Daily NSE Equity Options'!$A:$A,$A29)=0,"",SUMIFS('Daily NSE Equity Options'!$M:$M,'Daily NSE Equity Options'!$A:$A,$A29))</f>
        <v/>
      </c>
      <c r="V29" s="9">
        <f>IF(SUMIFS('Daily BSE Equity Options'!$M:$M,'Daily BSE Equity Options'!$A:$A,$A29)=0,"",SUMIFS('Daily BSE Equity Options'!$M:$M,'Daily BSE Equity Options'!$A:$A,$A29))</f>
        <v/>
      </c>
      <c r="W29" s="9">
        <f>IF(OR(U29="",V29=""),"",U29+V29)</f>
        <v/>
      </c>
      <c r="X29" s="25">
        <f>IF(W29="","",U29/W29)</f>
        <v/>
      </c>
      <c r="Y29" s="25">
        <f>IF(W29="","",V29/W29)</f>
        <v/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19">
        <f>IF(G30="","",E30/G30)</f>
        <v/>
      </c>
      <c r="I30" s="19">
        <f>IF(G30="","",F30/G30)</f>
        <v/>
      </c>
      <c r="J30" s="26">
        <f>IFERROR(IF(OR(E30="",INDEX(E:E,MATCH(DATE(YEAR($A30)-1,MONTH($A30),DAY($A30)),$A:$A,0))=""),"",E30/INDEX(E:E,MATCH(DATE(YEAR($A30)-1,MONTH($A30),DAY($A30)),$A:$A,0))-1),"")</f>
        <v/>
      </c>
      <c r="K30" s="19">
        <f>IFERROR(IF(OR(F30="",INDEX(F:F,MATCH(DATE(YEAR($A30)-1,MONTH($A30),DAY($A30)),$A:$A,0))=""),"",F30/INDEX(F:F,MATCH(DATE(YEAR($A30)-1,MONTH($A30),DAY($A30)),$A:$A,0))-1),"")</f>
        <v/>
      </c>
      <c r="L30" s="19">
        <f>IFERROR(IF(OR(G30="",INDEX(G:G,MATCH(DATE(YEAR($A30)-1,MONTH($A30),DAY($A30)),$A:$A,0))=""),"",G30/INDEX(G:G,MATCH(DATE(YEAR($A30)-1,MONTH($A30),DAY($A30)),$A:$A,0))-1),"")</f>
        <v/>
      </c>
      <c r="M30" s="19">
        <f>IF(OR(E30="",E29=""),"",E30/E29-1)</f>
        <v/>
      </c>
      <c r="N30" s="19">
        <f>IF(OR(F30="",F29=""),"",F30/F29-1)</f>
        <v/>
      </c>
      <c r="O30" s="19">
        <f>IF(OR(G30="",G29=""),"",G30/G29-1)</f>
        <v/>
      </c>
      <c r="P30" s="22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IF(R30="","",P30/R30)</f>
        <v/>
      </c>
      <c r="T30" s="23">
        <f>IF(R30="","",Q30/R30)</f>
        <v/>
      </c>
      <c r="U30" s="24">
        <f>IF(SUMIFS('Daily NSE Equity Options'!$M:$M,'Daily NSE Equity Options'!$A:$A,$A30)=0,"",SUMIFS('Daily NSE Equity Options'!$M:$M,'Daily NSE Equity Options'!$A:$A,$A30))</f>
        <v/>
      </c>
      <c r="V30" s="9">
        <f>IF(SUMIFS('Daily BSE Equity Options'!$M:$M,'Daily BSE Equity Options'!$A:$A,$A30)=0,"",SUMIFS('Daily BSE Equity Options'!$M:$M,'Daily BSE Equity Options'!$A:$A,$A30))</f>
        <v/>
      </c>
      <c r="W30" s="9">
        <f>IF(OR(U30="",V30=""),"",U30+V30)</f>
        <v/>
      </c>
      <c r="X30" s="25">
        <f>IF(W30="","",U30/W30)</f>
        <v/>
      </c>
      <c r="Y30" s="25">
        <f>IF(W30="","",V30/W30)</f>
        <v/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19">
        <f>IF(G31="","",E31/G31)</f>
        <v/>
      </c>
      <c r="I31" s="19">
        <f>IF(G31="","",F31/G31)</f>
        <v/>
      </c>
      <c r="J31" s="26">
        <f>IFERROR(IF(OR(E31="",INDEX(E:E,MATCH(DATE(YEAR($A31)-1,MONTH($A31),DAY($A31)),$A:$A,0))=""),"",E31/INDEX(E:E,MATCH(DATE(YEAR($A31)-1,MONTH($A31),DAY($A31)),$A:$A,0))-1),"")</f>
        <v/>
      </c>
      <c r="K31" s="19">
        <f>IFERROR(IF(OR(F31="",INDEX(F:F,MATCH(DATE(YEAR($A31)-1,MONTH($A31),DAY($A31)),$A:$A,0))=""),"",F31/INDEX(F:F,MATCH(DATE(YEAR($A31)-1,MONTH($A31),DAY($A31)),$A:$A,0))-1),"")</f>
        <v/>
      </c>
      <c r="L31" s="19">
        <f>IFERROR(IF(OR(G31="",INDEX(G:G,MATCH(DATE(YEAR($A31)-1,MONTH($A31),DAY($A31)),$A:$A,0))=""),"",G31/INDEX(G:G,MATCH(DATE(YEAR($A31)-1,MONTH($A31),DAY($A31)),$A:$A,0))-1),"")</f>
        <v/>
      </c>
      <c r="M31" s="19">
        <f>IF(OR(E31="",E30=""),"",E31/E30-1)</f>
        <v/>
      </c>
      <c r="N31" s="19">
        <f>IF(OR(F31="",F30=""),"",F31/F30-1)</f>
        <v/>
      </c>
      <c r="O31" s="19">
        <f>IF(OR(G31="",G30=""),"",G31/G30-1)</f>
        <v/>
      </c>
      <c r="P31" s="22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IF(R31="","",P31/R31)</f>
        <v/>
      </c>
      <c r="T31" s="23">
        <f>IF(R31="","",Q31/R31)</f>
        <v/>
      </c>
      <c r="U31" s="24">
        <f>IF(SUMIFS('Daily NSE Equity Options'!$M:$M,'Daily NSE Equity Options'!$A:$A,$A31)=0,"",SUMIFS('Daily NSE Equity Options'!$M:$M,'Daily NSE Equity Options'!$A:$A,$A31))</f>
        <v/>
      </c>
      <c r="V31" s="9">
        <f>IF(SUMIFS('Daily BSE Equity Options'!$M:$M,'Daily BSE Equity Options'!$A:$A,$A31)=0,"",SUMIFS('Daily BSE Equity Options'!$M:$M,'Daily BSE Equity Options'!$A:$A,$A31))</f>
        <v/>
      </c>
      <c r="W31" s="9">
        <f>IF(OR(U31="",V31=""),"",U31+V31)</f>
        <v/>
      </c>
      <c r="X31" s="25">
        <f>IF(W31="","",U31/W31)</f>
        <v/>
      </c>
      <c r="Y31" s="25">
        <f>IF(W31="","",V31/W31)</f>
        <v/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19">
        <f>IF(G32="","",E32/G32)</f>
        <v/>
      </c>
      <c r="I32" s="19">
        <f>IF(G32="","",F32/G32)</f>
        <v/>
      </c>
      <c r="J32" s="26">
        <f>IFERROR(IF(OR(E32="",INDEX(E:E,MATCH(DATE(YEAR($A32)-1,MONTH($A32),DAY($A32)),$A:$A,0))=""),"",E32/INDEX(E:E,MATCH(DATE(YEAR($A32)-1,MONTH($A32),DAY($A32)),$A:$A,0))-1),"")</f>
        <v/>
      </c>
      <c r="K32" s="19">
        <f>IFERROR(IF(OR(F32="",INDEX(F:F,MATCH(DATE(YEAR($A32)-1,MONTH($A32),DAY($A32)),$A:$A,0))=""),"",F32/INDEX(F:F,MATCH(DATE(YEAR($A32)-1,MONTH($A32),DAY($A32)),$A:$A,0))-1),"")</f>
        <v/>
      </c>
      <c r="L32" s="19">
        <f>IFERROR(IF(OR(G32="",INDEX(G:G,MATCH(DATE(YEAR($A32)-1,MONTH($A32),DAY($A32)),$A:$A,0))=""),"",G32/INDEX(G:G,MATCH(DATE(YEAR($A32)-1,MONTH($A32),DAY($A32)),$A:$A,0))-1),"")</f>
        <v/>
      </c>
      <c r="M32" s="19">
        <f>IF(OR(E32="",E31=""),"",E32/E31-1)</f>
        <v/>
      </c>
      <c r="N32" s="19">
        <f>IF(OR(F32="",F31=""),"",F32/F31-1)</f>
        <v/>
      </c>
      <c r="O32" s="19">
        <f>IF(OR(G32="",G31=""),"",G32/G31-1)</f>
        <v/>
      </c>
      <c r="P32" s="22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IF(R32="","",P32/R32)</f>
        <v/>
      </c>
      <c r="T32" s="23">
        <f>IF(R32="","",Q32/R32)</f>
        <v/>
      </c>
      <c r="U32" s="24">
        <f>IF(SUMIFS('Daily NSE Equity Options'!$M:$M,'Daily NSE Equity Options'!$A:$A,$A32)=0,"",SUMIFS('Daily NSE Equity Options'!$M:$M,'Daily NSE Equity Options'!$A:$A,$A32))</f>
        <v/>
      </c>
      <c r="V32" s="9">
        <f>IF(SUMIFS('Daily BSE Equity Options'!$M:$M,'Daily BSE Equity Options'!$A:$A,$A32)=0,"",SUMIFS('Daily BSE Equity Options'!$M:$M,'Daily BSE Equity Options'!$A:$A,$A32))</f>
        <v/>
      </c>
      <c r="W32" s="9">
        <f>IF(OR(U32="",V32=""),"",U32+V32)</f>
        <v/>
      </c>
      <c r="X32" s="25">
        <f>IF(W32="","",U32/W32)</f>
        <v/>
      </c>
      <c r="Y32" s="25">
        <f>IF(W32="","",V32/W32)</f>
        <v/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19">
        <f>IF(G33="","",E33/G33)</f>
        <v/>
      </c>
      <c r="I33" s="19">
        <f>IF(G33="","",F33/G33)</f>
        <v/>
      </c>
      <c r="J33" s="26">
        <f>IFERROR(IF(OR(E33="",INDEX(E:E,MATCH(DATE(YEAR($A33)-1,MONTH($A33),DAY($A33)),$A:$A,0))=""),"",E33/INDEX(E:E,MATCH(DATE(YEAR($A33)-1,MONTH($A33),DAY($A33)),$A:$A,0))-1),"")</f>
        <v/>
      </c>
      <c r="K33" s="19">
        <f>IFERROR(IF(OR(F33="",INDEX(F:F,MATCH(DATE(YEAR($A33)-1,MONTH($A33),DAY($A33)),$A:$A,0))=""),"",F33/INDEX(F:F,MATCH(DATE(YEAR($A33)-1,MONTH($A33),DAY($A33)),$A:$A,0))-1),"")</f>
        <v/>
      </c>
      <c r="L33" s="19">
        <f>IFERROR(IF(OR(G33="",INDEX(G:G,MATCH(DATE(YEAR($A33)-1,MONTH($A33),DAY($A33)),$A:$A,0))=""),"",G33/INDEX(G:G,MATCH(DATE(YEAR($A33)-1,MONTH($A33),DAY($A33)),$A:$A,0))-1),"")</f>
        <v/>
      </c>
      <c r="M33" s="19">
        <f>IF(OR(E33="",E32=""),"",E33/E32-1)</f>
        <v/>
      </c>
      <c r="N33" s="19">
        <f>IF(OR(F33="",F32=""),"",F33/F32-1)</f>
        <v/>
      </c>
      <c r="O33" s="19">
        <f>IF(OR(G33="",G32=""),"",G33/G32-1)</f>
        <v/>
      </c>
      <c r="P33" s="22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IF(R33="","",P33/R33)</f>
        <v/>
      </c>
      <c r="T33" s="23">
        <f>IF(R33="","",Q33/R33)</f>
        <v/>
      </c>
      <c r="U33" s="24">
        <f>IF(SUMIFS('Daily NSE Equity Options'!$M:$M,'Daily NSE Equity Options'!$A:$A,$A33)=0,"",SUMIFS('Daily NSE Equity Options'!$M:$M,'Daily NSE Equity Options'!$A:$A,$A33))</f>
        <v/>
      </c>
      <c r="V33" s="9">
        <f>IF(SUMIFS('Daily BSE Equity Options'!$M:$M,'Daily BSE Equity Options'!$A:$A,$A33)=0,"",SUMIFS('Daily BSE Equity Options'!$M:$M,'Daily BSE Equity Options'!$A:$A,$A33))</f>
        <v/>
      </c>
      <c r="W33" s="9">
        <f>IF(OR(U33="",V33=""),"",U33+V33)</f>
        <v/>
      </c>
      <c r="X33" s="25">
        <f>IF(W33="","",U33/W33)</f>
        <v/>
      </c>
      <c r="Y33" s="25">
        <f>IF(W33="","",V33/W33)</f>
        <v/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19">
        <f>IF(G34="","",E34/G34)</f>
        <v/>
      </c>
      <c r="I34" s="19">
        <f>IF(G34="","",F34/G34)</f>
        <v/>
      </c>
      <c r="J34" s="26">
        <f>IFERROR(IF(OR(E34="",INDEX(E:E,MATCH(DATE(YEAR($A34)-1,MONTH($A34),DAY($A34)),$A:$A,0))=""),"",E34/INDEX(E:E,MATCH(DATE(YEAR($A34)-1,MONTH($A34),DAY($A34)),$A:$A,0))-1),"")</f>
        <v/>
      </c>
      <c r="K34" s="19">
        <f>IFERROR(IF(OR(F34="",INDEX(F:F,MATCH(DATE(YEAR($A34)-1,MONTH($A34),DAY($A34)),$A:$A,0))=""),"",F34/INDEX(F:F,MATCH(DATE(YEAR($A34)-1,MONTH($A34),DAY($A34)),$A:$A,0))-1),"")</f>
        <v/>
      </c>
      <c r="L34" s="19">
        <f>IFERROR(IF(OR(G34="",INDEX(G:G,MATCH(DATE(YEAR($A34)-1,MONTH($A34),DAY($A34)),$A:$A,0))=""),"",G34/INDEX(G:G,MATCH(DATE(YEAR($A34)-1,MONTH($A34),DAY($A34)),$A:$A,0))-1),"")</f>
        <v/>
      </c>
      <c r="M34" s="19">
        <f>IF(OR(E34="",E33=""),"",E34/E33-1)</f>
        <v/>
      </c>
      <c r="N34" s="19">
        <f>IF(OR(F34="",F33=""),"",F34/F33-1)</f>
        <v/>
      </c>
      <c r="O34" s="19">
        <f>IF(OR(G34="",G33=""),"",G34/G33-1)</f>
        <v/>
      </c>
      <c r="P34" s="22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IF(R34="","",P34/R34)</f>
        <v/>
      </c>
      <c r="T34" s="23">
        <f>IF(R34="","",Q34/R34)</f>
        <v/>
      </c>
      <c r="U34" s="24">
        <f>IF(SUMIFS('Daily NSE Equity Options'!$M:$M,'Daily NSE Equity Options'!$A:$A,$A34)=0,"",SUMIFS('Daily NSE Equity Options'!$M:$M,'Daily NSE Equity Options'!$A:$A,$A34))</f>
        <v/>
      </c>
      <c r="V34" s="9">
        <f>IF(SUMIFS('Daily BSE Equity Options'!$M:$M,'Daily BSE Equity Options'!$A:$A,$A34)=0,"",SUMIFS('Daily BSE Equity Options'!$M:$M,'Daily BSE Equity Options'!$A:$A,$A34))</f>
        <v/>
      </c>
      <c r="W34" s="9">
        <f>IF(OR(U34="",V34=""),"",U34+V34)</f>
        <v/>
      </c>
      <c r="X34" s="25">
        <f>IF(W34="","",U34/W34)</f>
        <v/>
      </c>
      <c r="Y34" s="25">
        <f>IF(W34="","",V34/W34)</f>
        <v/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19">
        <f>IF(G35="","",E35/G35)</f>
        <v/>
      </c>
      <c r="I35" s="19">
        <f>IF(G35="","",F35/G35)</f>
        <v/>
      </c>
      <c r="J35" s="26">
        <f>IFERROR(IF(OR(E35="",INDEX(E:E,MATCH(DATE(YEAR($A35)-1,MONTH($A35),DAY($A35)),$A:$A,0))=""),"",E35/INDEX(E:E,MATCH(DATE(YEAR($A35)-1,MONTH($A35),DAY($A35)),$A:$A,0))-1),"")</f>
        <v/>
      </c>
      <c r="K35" s="19">
        <f>IFERROR(IF(OR(F35="",INDEX(F:F,MATCH(DATE(YEAR($A35)-1,MONTH($A35),DAY($A35)),$A:$A,0))=""),"",F35/INDEX(F:F,MATCH(DATE(YEAR($A35)-1,MONTH($A35),DAY($A35)),$A:$A,0))-1),"")</f>
        <v/>
      </c>
      <c r="L35" s="19">
        <f>IFERROR(IF(OR(G35="",INDEX(G:G,MATCH(DATE(YEAR($A35)-1,MONTH($A35),DAY($A35)),$A:$A,0))=""),"",G35/INDEX(G:G,MATCH(DATE(YEAR($A35)-1,MONTH($A35),DAY($A35)),$A:$A,0))-1),"")</f>
        <v/>
      </c>
      <c r="M35" s="19">
        <f>IF(OR(E35="",E34=""),"",E35/E34-1)</f>
        <v/>
      </c>
      <c r="N35" s="19">
        <f>IF(OR(F35="",F34=""),"",F35/F34-1)</f>
        <v/>
      </c>
      <c r="O35" s="19">
        <f>IF(OR(G35="",G34=""),"",G35/G34-1)</f>
        <v/>
      </c>
      <c r="P35" s="22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IF(R35="","",P35/R35)</f>
        <v/>
      </c>
      <c r="T35" s="23">
        <f>IF(R35="","",Q35/R35)</f>
        <v/>
      </c>
      <c r="U35" s="24">
        <f>IF(SUMIFS('Daily NSE Equity Options'!$M:$M,'Daily NSE Equity Options'!$A:$A,$A35)=0,"",SUMIFS('Daily NSE Equity Options'!$M:$M,'Daily NSE Equity Options'!$A:$A,$A35))</f>
        <v/>
      </c>
      <c r="V35" s="9">
        <f>IF(SUMIFS('Daily BSE Equity Options'!$M:$M,'Daily BSE Equity Options'!$A:$A,$A35)=0,"",SUMIFS('Daily BSE Equity Options'!$M:$M,'Daily BSE Equity Options'!$A:$A,$A35))</f>
        <v/>
      </c>
      <c r="W35" s="9">
        <f>IF(OR(U35="",V35=""),"",U35+V35)</f>
        <v/>
      </c>
      <c r="X35" s="25">
        <f>IF(W35="","",U35/W35)</f>
        <v/>
      </c>
      <c r="Y35" s="25">
        <f>IF(W35="","",V35/W35)</f>
        <v/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19">
        <f>IF(G36="","",E36/G36)</f>
        <v/>
      </c>
      <c r="I36" s="19">
        <f>IF(G36="","",F36/G36)</f>
        <v/>
      </c>
      <c r="J36" s="26">
        <f>IFERROR(IF(OR(E36="",INDEX(E:E,MATCH(DATE(YEAR($A36)-1,MONTH($A36),DAY($A36)),$A:$A,0))=""),"",E36/INDEX(E:E,MATCH(DATE(YEAR($A36)-1,MONTH($A36),DAY($A36)),$A:$A,0))-1),"")</f>
        <v/>
      </c>
      <c r="K36" s="19">
        <f>IFERROR(IF(OR(F36="",INDEX(F:F,MATCH(DATE(YEAR($A36)-1,MONTH($A36),DAY($A36)),$A:$A,0))=""),"",F36/INDEX(F:F,MATCH(DATE(YEAR($A36)-1,MONTH($A36),DAY($A36)),$A:$A,0))-1),"")</f>
        <v/>
      </c>
      <c r="L36" s="19">
        <f>IFERROR(IF(OR(G36="",INDEX(G:G,MATCH(DATE(YEAR($A36)-1,MONTH($A36),DAY($A36)),$A:$A,0))=""),"",G36/INDEX(G:G,MATCH(DATE(YEAR($A36)-1,MONTH($A36),DAY($A36)),$A:$A,0))-1),"")</f>
        <v/>
      </c>
      <c r="M36" s="19">
        <f>IF(OR(E36="",E35=""),"",E36/E35-1)</f>
        <v/>
      </c>
      <c r="N36" s="19">
        <f>IF(OR(F36="",F35=""),"",F36/F35-1)</f>
        <v/>
      </c>
      <c r="O36" s="19">
        <f>IF(OR(G36="",G35=""),"",G36/G35-1)</f>
        <v/>
      </c>
      <c r="P36" s="22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IF(R36="","",P36/R36)</f>
        <v/>
      </c>
      <c r="T36" s="23">
        <f>IF(R36="","",Q36/R36)</f>
        <v/>
      </c>
      <c r="U36" s="24">
        <f>IF(SUMIFS('Daily NSE Equity Options'!$M:$M,'Daily NSE Equity Options'!$A:$A,$A36)=0,"",SUMIFS('Daily NSE Equity Options'!$M:$M,'Daily NSE Equity Options'!$A:$A,$A36))</f>
        <v/>
      </c>
      <c r="V36" s="9">
        <f>IF(SUMIFS('Daily BSE Equity Options'!$M:$M,'Daily BSE Equity Options'!$A:$A,$A36)=0,"",SUMIFS('Daily BSE Equity Options'!$M:$M,'Daily BSE Equity Options'!$A:$A,$A36))</f>
        <v/>
      </c>
      <c r="W36" s="9">
        <f>IF(OR(U36="",V36=""),"",U36+V36)</f>
        <v/>
      </c>
      <c r="X36" s="25">
        <f>IF(W36="","",U36/W36)</f>
        <v/>
      </c>
      <c r="Y36" s="25">
        <f>IF(W36="","",V36/W36)</f>
        <v/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19">
        <f>IF(G37="","",E37/G37)</f>
        <v/>
      </c>
      <c r="I37" s="19">
        <f>IF(G37="","",F37/G37)</f>
        <v/>
      </c>
      <c r="J37" s="26">
        <f>IFERROR(IF(OR(E37="",INDEX(E:E,MATCH(DATE(YEAR($A37)-1,MONTH($A37),DAY($A37)),$A:$A,0))=""),"",E37/INDEX(E:E,MATCH(DATE(YEAR($A37)-1,MONTH($A37),DAY($A37)),$A:$A,0))-1),"")</f>
        <v/>
      </c>
      <c r="K37" s="19">
        <f>IFERROR(IF(OR(F37="",INDEX(F:F,MATCH(DATE(YEAR($A37)-1,MONTH($A37),DAY($A37)),$A:$A,0))=""),"",F37/INDEX(F:F,MATCH(DATE(YEAR($A37)-1,MONTH($A37),DAY($A37)),$A:$A,0))-1),"")</f>
        <v/>
      </c>
      <c r="L37" s="19">
        <f>IFERROR(IF(OR(G37="",INDEX(G:G,MATCH(DATE(YEAR($A37)-1,MONTH($A37),DAY($A37)),$A:$A,0))=""),"",G37/INDEX(G:G,MATCH(DATE(YEAR($A37)-1,MONTH($A37),DAY($A37)),$A:$A,0))-1),"")</f>
        <v/>
      </c>
      <c r="M37" s="19">
        <f>IF(OR(E37="",E36=""),"",E37/E36-1)</f>
        <v/>
      </c>
      <c r="N37" s="19">
        <f>IF(OR(F37="",F36=""),"",F37/F36-1)</f>
        <v/>
      </c>
      <c r="O37" s="19">
        <f>IF(OR(G37="",G36=""),"",G37/G36-1)</f>
        <v/>
      </c>
      <c r="P37" s="22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IF(R37="","",P37/R37)</f>
        <v/>
      </c>
      <c r="T37" s="23">
        <f>IF(R37="","",Q37/R37)</f>
        <v/>
      </c>
      <c r="U37" s="24">
        <f>IF(SUMIFS('Daily NSE Equity Options'!$M:$M,'Daily NSE Equity Options'!$A:$A,$A37)=0,"",SUMIFS('Daily NSE Equity Options'!$M:$M,'Daily NSE Equity Options'!$A:$A,$A37))</f>
        <v/>
      </c>
      <c r="V37" s="9">
        <f>IF(SUMIFS('Daily BSE Equity Options'!$M:$M,'Daily BSE Equity Options'!$A:$A,$A37)=0,"",SUMIFS('Daily BSE Equity Options'!$M:$M,'Daily BSE Equity Options'!$A:$A,$A37))</f>
        <v/>
      </c>
      <c r="W37" s="9">
        <f>IF(OR(U37="",V37=""),"",U37+V37)</f>
        <v/>
      </c>
      <c r="X37" s="25">
        <f>IF(W37="","",U37/W37)</f>
        <v/>
      </c>
      <c r="Y37" s="25">
        <f>IF(W37="","",V37/W37)</f>
        <v/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19">
        <f>IF(G38="","",E38/G38)</f>
        <v/>
      </c>
      <c r="I38" s="19">
        <f>IF(G38="","",F38/G38)</f>
        <v/>
      </c>
      <c r="J38" s="26">
        <f>IFERROR(IF(OR(E38="",INDEX(E:E,MATCH(DATE(YEAR($A38)-1,MONTH($A38),DAY($A38)),$A:$A,0))=""),"",E38/INDEX(E:E,MATCH(DATE(YEAR($A38)-1,MONTH($A38),DAY($A38)),$A:$A,0))-1),"")</f>
        <v/>
      </c>
      <c r="K38" s="19">
        <f>IFERROR(IF(OR(F38="",INDEX(F:F,MATCH(DATE(YEAR($A38)-1,MONTH($A38),DAY($A38)),$A:$A,0))=""),"",F38/INDEX(F:F,MATCH(DATE(YEAR($A38)-1,MONTH($A38),DAY($A38)),$A:$A,0))-1),"")</f>
        <v/>
      </c>
      <c r="L38" s="19">
        <f>IFERROR(IF(OR(G38="",INDEX(G:G,MATCH(DATE(YEAR($A38)-1,MONTH($A38),DAY($A38)),$A:$A,0))=""),"",G38/INDEX(G:G,MATCH(DATE(YEAR($A38)-1,MONTH($A38),DAY($A38)),$A:$A,0))-1),"")</f>
        <v/>
      </c>
      <c r="M38" s="19">
        <f>IF(OR(E38="",E37=""),"",E38/E37-1)</f>
        <v/>
      </c>
      <c r="N38" s="19">
        <f>IF(OR(F38="",F37=""),"",F38/F37-1)</f>
        <v/>
      </c>
      <c r="O38" s="19">
        <f>IF(OR(G38="",G37=""),"",G38/G37-1)</f>
        <v/>
      </c>
      <c r="P38" s="22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IF(R38="","",P38/R38)</f>
        <v/>
      </c>
      <c r="T38" s="23">
        <f>IF(R38="","",Q38/R38)</f>
        <v/>
      </c>
      <c r="U38" s="24">
        <f>IF(SUMIFS('Daily NSE Equity Options'!$M:$M,'Daily NSE Equity Options'!$A:$A,$A38)=0,"",SUMIFS('Daily NSE Equity Options'!$M:$M,'Daily NSE Equity Options'!$A:$A,$A38))</f>
        <v/>
      </c>
      <c r="V38" s="9">
        <f>IF(SUMIFS('Daily BSE Equity Options'!$M:$M,'Daily BSE Equity Options'!$A:$A,$A38)=0,"",SUMIFS('Daily BSE Equity Options'!$M:$M,'Daily BSE Equity Options'!$A:$A,$A38))</f>
        <v/>
      </c>
      <c r="W38" s="9">
        <f>IF(OR(U38="",V38=""),"",U38+V38)</f>
        <v/>
      </c>
      <c r="X38" s="25">
        <f>IF(W38="","",U38/W38)</f>
        <v/>
      </c>
      <c r="Y38" s="25">
        <f>IF(W38="","",V38/W38)</f>
        <v/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19">
        <f>IF(G39="","",E39/G39)</f>
        <v/>
      </c>
      <c r="I39" s="19">
        <f>IF(G39="","",F39/G39)</f>
        <v/>
      </c>
      <c r="J39" s="26">
        <f>IFERROR(IF(OR(E39="",INDEX(E:E,MATCH(DATE(YEAR($A39)-1,MONTH($A39),DAY($A39)),$A:$A,0))=""),"",E39/INDEX(E:E,MATCH(DATE(YEAR($A39)-1,MONTH($A39),DAY($A39)),$A:$A,0))-1),"")</f>
        <v/>
      </c>
      <c r="K39" s="19">
        <f>IFERROR(IF(OR(F39="",INDEX(F:F,MATCH(DATE(YEAR($A39)-1,MONTH($A39),DAY($A39)),$A:$A,0))=""),"",F39/INDEX(F:F,MATCH(DATE(YEAR($A39)-1,MONTH($A39),DAY($A39)),$A:$A,0))-1),"")</f>
        <v/>
      </c>
      <c r="L39" s="19">
        <f>IFERROR(IF(OR(G39="",INDEX(G:G,MATCH(DATE(YEAR($A39)-1,MONTH($A39),DAY($A39)),$A:$A,0))=""),"",G39/INDEX(G:G,MATCH(DATE(YEAR($A39)-1,MONTH($A39),DAY($A39)),$A:$A,0))-1),"")</f>
        <v/>
      </c>
      <c r="M39" s="19">
        <f>IF(OR(E39="",E38=""),"",E39/E38-1)</f>
        <v/>
      </c>
      <c r="N39" s="19">
        <f>IF(OR(F39="",F38=""),"",F39/F38-1)</f>
        <v/>
      </c>
      <c r="O39" s="19">
        <f>IF(OR(G39="",G38=""),"",G39/G38-1)</f>
        <v/>
      </c>
      <c r="P39" s="22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IF(R39="","",P39/R39)</f>
        <v/>
      </c>
      <c r="T39" s="23">
        <f>IF(R39="","",Q39/R39)</f>
        <v/>
      </c>
      <c r="U39" s="24">
        <f>IF(SUMIFS('Daily NSE Equity Options'!$M:$M,'Daily NSE Equity Options'!$A:$A,$A39)=0,"",SUMIFS('Daily NSE Equity Options'!$M:$M,'Daily NSE Equity Options'!$A:$A,$A39))</f>
        <v/>
      </c>
      <c r="V39" s="9">
        <f>IF(SUMIFS('Daily BSE Equity Options'!$M:$M,'Daily BSE Equity Options'!$A:$A,$A39)=0,"",SUMIFS('Daily BSE Equity Options'!$M:$M,'Daily BSE Equity Options'!$A:$A,$A39))</f>
        <v/>
      </c>
      <c r="W39" s="9">
        <f>IF(OR(U39="",V39=""),"",U39+V39)</f>
        <v/>
      </c>
      <c r="X39" s="25">
        <f>IF(W39="","",U39/W39)</f>
        <v/>
      </c>
      <c r="Y39" s="25">
        <f>IF(W39="","",V39/W39)</f>
        <v/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19">
        <f>IF(G40="","",E40/G40)</f>
        <v/>
      </c>
      <c r="I40" s="19">
        <f>IF(G40="","",F40/G40)</f>
        <v/>
      </c>
      <c r="J40" s="26">
        <f>IFERROR(IF(OR(E40="",INDEX(E:E,MATCH(DATE(YEAR($A40)-1,MONTH($A40),DAY($A40)),$A:$A,0))=""),"",E40/INDEX(E:E,MATCH(DATE(YEAR($A40)-1,MONTH($A40),DAY($A40)),$A:$A,0))-1),"")</f>
        <v/>
      </c>
      <c r="K40" s="19">
        <f>IFERROR(IF(OR(F40="",INDEX(F:F,MATCH(DATE(YEAR($A40)-1,MONTH($A40),DAY($A40)),$A:$A,0))=""),"",F40/INDEX(F:F,MATCH(DATE(YEAR($A40)-1,MONTH($A40),DAY($A40)),$A:$A,0))-1),"")</f>
        <v/>
      </c>
      <c r="L40" s="19">
        <f>IFERROR(IF(OR(G40="",INDEX(G:G,MATCH(DATE(YEAR($A40)-1,MONTH($A40),DAY($A40)),$A:$A,0))=""),"",G40/INDEX(G:G,MATCH(DATE(YEAR($A40)-1,MONTH($A40),DAY($A40)),$A:$A,0))-1),"")</f>
        <v/>
      </c>
      <c r="M40" s="19">
        <f>IF(OR(E40="",E39=""),"",E40/E39-1)</f>
        <v/>
      </c>
      <c r="N40" s="19">
        <f>IF(OR(F40="",F39=""),"",F40/F39-1)</f>
        <v/>
      </c>
      <c r="O40" s="19">
        <f>IF(OR(G40="",G39=""),"",G40/G39-1)</f>
        <v/>
      </c>
      <c r="P40" s="22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IF(R40="","",P40/R40)</f>
        <v/>
      </c>
      <c r="T40" s="23">
        <f>IF(R40="","",Q40/R40)</f>
        <v/>
      </c>
      <c r="U40" s="24">
        <f>IF(SUMIFS('Daily NSE Equity Options'!$M:$M,'Daily NSE Equity Options'!$A:$A,$A40)=0,"",SUMIFS('Daily NSE Equity Options'!$M:$M,'Daily NSE Equity Options'!$A:$A,$A40))</f>
        <v/>
      </c>
      <c r="V40" s="9">
        <f>IF(SUMIFS('Daily BSE Equity Options'!$M:$M,'Daily BSE Equity Options'!$A:$A,$A40)=0,"",SUMIFS('Daily BSE Equity Options'!$M:$M,'Daily BSE Equity Options'!$A:$A,$A40))</f>
        <v/>
      </c>
      <c r="W40" s="9">
        <f>IF(OR(U40="",V40=""),"",U40+V40)</f>
        <v/>
      </c>
      <c r="X40" s="25">
        <f>IF(W40="","",U40/W40)</f>
        <v/>
      </c>
      <c r="Y40" s="25">
        <f>IF(W40="","",V40/W40)</f>
        <v/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19">
        <f>IF(G41="","",E41/G41)</f>
        <v/>
      </c>
      <c r="I41" s="19">
        <f>IF(G41="","",F41/G41)</f>
        <v/>
      </c>
      <c r="J41" s="26">
        <f>IFERROR(IF(OR(E41="",INDEX(E:E,MATCH(DATE(YEAR($A41)-1,MONTH($A41),DAY($A41)),$A:$A,0))=""),"",E41/INDEX(E:E,MATCH(DATE(YEAR($A41)-1,MONTH($A41),DAY($A41)),$A:$A,0))-1),"")</f>
        <v/>
      </c>
      <c r="K41" s="19">
        <f>IFERROR(IF(OR(F41="",INDEX(F:F,MATCH(DATE(YEAR($A41)-1,MONTH($A41),DAY($A41)),$A:$A,0))=""),"",F41/INDEX(F:F,MATCH(DATE(YEAR($A41)-1,MONTH($A41),DAY($A41)),$A:$A,0))-1),"")</f>
        <v/>
      </c>
      <c r="L41" s="19">
        <f>IFERROR(IF(OR(G41="",INDEX(G:G,MATCH(DATE(YEAR($A41)-1,MONTH($A41),DAY($A41)),$A:$A,0))=""),"",G41/INDEX(G:G,MATCH(DATE(YEAR($A41)-1,MONTH($A41),DAY($A41)),$A:$A,0))-1),"")</f>
        <v/>
      </c>
      <c r="M41" s="19">
        <f>IF(OR(E41="",E40=""),"",E41/E40-1)</f>
        <v/>
      </c>
      <c r="N41" s="19">
        <f>IF(OR(F41="",F40=""),"",F41/F40-1)</f>
        <v/>
      </c>
      <c r="O41" s="19">
        <f>IF(OR(G41="",G40=""),"",G41/G40-1)</f>
        <v/>
      </c>
      <c r="P41" s="22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IF(R41="","",P41/R41)</f>
        <v/>
      </c>
      <c r="T41" s="23">
        <f>IF(R41="","",Q41/R41)</f>
        <v/>
      </c>
      <c r="U41" s="24">
        <f>IF(SUMIFS('Daily NSE Equity Options'!$M:$M,'Daily NSE Equity Options'!$A:$A,$A41)=0,"",SUMIFS('Daily NSE Equity Options'!$M:$M,'Daily NSE Equity Options'!$A:$A,$A41))</f>
        <v/>
      </c>
      <c r="V41" s="9">
        <f>IF(SUMIFS('Daily BSE Equity Options'!$M:$M,'Daily BSE Equity Options'!$A:$A,$A41)=0,"",SUMIFS('Daily BSE Equity Options'!$M:$M,'Daily BSE Equity Options'!$A:$A,$A41))</f>
        <v/>
      </c>
      <c r="W41" s="9">
        <f>IF(OR(U41="",V41=""),"",U41+V41)</f>
        <v/>
      </c>
      <c r="X41" s="25">
        <f>IF(W41="","",U41/W41)</f>
        <v/>
      </c>
      <c r="Y41" s="25">
        <f>IF(W41="","",V41/W41)</f>
        <v/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19">
        <f>IF(G42="","",E42/G42)</f>
        <v/>
      </c>
      <c r="I42" s="19">
        <f>IF(G42="","",F42/G42)</f>
        <v/>
      </c>
      <c r="J42" s="26">
        <f>IFERROR(IF(OR(E42="",INDEX(E:E,MATCH(DATE(YEAR($A42)-1,MONTH($A42),DAY($A42)),$A:$A,0))=""),"",E42/INDEX(E:E,MATCH(DATE(YEAR($A42)-1,MONTH($A42),DAY($A42)),$A:$A,0))-1),"")</f>
        <v/>
      </c>
      <c r="K42" s="19">
        <f>IFERROR(IF(OR(F42="",INDEX(F:F,MATCH(DATE(YEAR($A42)-1,MONTH($A42),DAY($A42)),$A:$A,0))=""),"",F42/INDEX(F:F,MATCH(DATE(YEAR($A42)-1,MONTH($A42),DAY($A42)),$A:$A,0))-1),"")</f>
        <v/>
      </c>
      <c r="L42" s="19">
        <f>IFERROR(IF(OR(G42="",INDEX(G:G,MATCH(DATE(YEAR($A42)-1,MONTH($A42),DAY($A42)),$A:$A,0))=""),"",G42/INDEX(G:G,MATCH(DATE(YEAR($A42)-1,MONTH($A42),DAY($A42)),$A:$A,0))-1),"")</f>
        <v/>
      </c>
      <c r="M42" s="19">
        <f>IF(OR(E42="",E41=""),"",E42/E41-1)</f>
        <v/>
      </c>
      <c r="N42" s="19">
        <f>IF(OR(F42="",F41=""),"",F42/F41-1)</f>
        <v/>
      </c>
      <c r="O42" s="19">
        <f>IF(OR(G42="",G41=""),"",G42/G41-1)</f>
        <v/>
      </c>
      <c r="P42" s="22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IF(R42="","",P42/R42)</f>
        <v/>
      </c>
      <c r="T42" s="23">
        <f>IF(R42="","",Q42/R42)</f>
        <v/>
      </c>
      <c r="U42" s="24">
        <f>IF(SUMIFS('Daily NSE Equity Options'!$M:$M,'Daily NSE Equity Options'!$A:$A,$A42)=0,"",SUMIFS('Daily NSE Equity Options'!$M:$M,'Daily NSE Equity Options'!$A:$A,$A42))</f>
        <v/>
      </c>
      <c r="V42" s="9">
        <f>IF(SUMIFS('Daily BSE Equity Options'!$M:$M,'Daily BSE Equity Options'!$A:$A,$A42)=0,"",SUMIFS('Daily BSE Equity Options'!$M:$M,'Daily BSE Equity Options'!$A:$A,$A42))</f>
        <v/>
      </c>
      <c r="W42" s="9">
        <f>IF(OR(U42="",V42=""),"",U42+V42)</f>
        <v/>
      </c>
      <c r="X42" s="25">
        <f>IF(W42="","",U42/W42)</f>
        <v/>
      </c>
      <c r="Y42" s="25">
        <f>IF(W42="","",V42/W42)</f>
        <v/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19">
        <f>IF(G43="","",E43/G43)</f>
        <v/>
      </c>
      <c r="I43" s="19">
        <f>IF(G43="","",F43/G43)</f>
        <v/>
      </c>
      <c r="J43" s="26">
        <f>IFERROR(IF(OR(E43="",INDEX(E:E,MATCH(DATE(YEAR($A43)-1,MONTH($A43),DAY($A43)),$A:$A,0))=""),"",E43/INDEX(E:E,MATCH(DATE(YEAR($A43)-1,MONTH($A43),DAY($A43)),$A:$A,0))-1),"")</f>
        <v/>
      </c>
      <c r="K43" s="19">
        <f>IFERROR(IF(OR(F43="",INDEX(F:F,MATCH(DATE(YEAR($A43)-1,MONTH($A43),DAY($A43)),$A:$A,0))=""),"",F43/INDEX(F:F,MATCH(DATE(YEAR($A43)-1,MONTH($A43),DAY($A43)),$A:$A,0))-1),"")</f>
        <v/>
      </c>
      <c r="L43" s="19">
        <f>IFERROR(IF(OR(G43="",INDEX(G:G,MATCH(DATE(YEAR($A43)-1,MONTH($A43),DAY($A43)),$A:$A,0))=""),"",G43/INDEX(G:G,MATCH(DATE(YEAR($A43)-1,MONTH($A43),DAY($A43)),$A:$A,0))-1),"")</f>
        <v/>
      </c>
      <c r="M43" s="19">
        <f>IF(OR(E43="",E42=""),"",E43/E42-1)</f>
        <v/>
      </c>
      <c r="N43" s="19">
        <f>IF(OR(F43="",F42=""),"",F43/F42-1)</f>
        <v/>
      </c>
      <c r="O43" s="19">
        <f>IF(OR(G43="",G42=""),"",G43/G42-1)</f>
        <v/>
      </c>
      <c r="P43" s="22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IF(R43="","",P43/R43)</f>
        <v/>
      </c>
      <c r="T43" s="23">
        <f>IF(R43="","",Q43/R43)</f>
        <v/>
      </c>
      <c r="U43" s="24">
        <f>IF(SUMIFS('Daily NSE Equity Options'!$M:$M,'Daily NSE Equity Options'!$A:$A,$A43)=0,"",SUMIFS('Daily NSE Equity Options'!$M:$M,'Daily NSE Equity Options'!$A:$A,$A43))</f>
        <v/>
      </c>
      <c r="V43" s="9">
        <f>IF(SUMIFS('Daily BSE Equity Options'!$M:$M,'Daily BSE Equity Options'!$A:$A,$A43)=0,"",SUMIFS('Daily BSE Equity Options'!$M:$M,'Daily BSE Equity Options'!$A:$A,$A43))</f>
        <v/>
      </c>
      <c r="W43" s="9">
        <f>IF(OR(U43="",V43=""),"",U43+V43)</f>
        <v/>
      </c>
      <c r="X43" s="25">
        <f>IF(W43="","",U43/W43)</f>
        <v/>
      </c>
      <c r="Y43" s="25">
        <f>IF(W43="","",V43/W43)</f>
        <v/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19">
        <f>IF(G44="","",E44/G44)</f>
        <v/>
      </c>
      <c r="I44" s="19">
        <f>IF(G44="","",F44/G44)</f>
        <v/>
      </c>
      <c r="J44" s="26">
        <f>IFERROR(IF(OR(E44="",INDEX(E:E,MATCH(DATE(YEAR($A44)-1,MONTH($A44),DAY($A44)),$A:$A,0))=""),"",E44/INDEX(E:E,MATCH(DATE(YEAR($A44)-1,MONTH($A44),DAY($A44)),$A:$A,0))-1),"")</f>
        <v/>
      </c>
      <c r="K44" s="19">
        <f>IFERROR(IF(OR(F44="",INDEX(F:F,MATCH(DATE(YEAR($A44)-1,MONTH($A44),DAY($A44)),$A:$A,0))=""),"",F44/INDEX(F:F,MATCH(DATE(YEAR($A44)-1,MONTH($A44),DAY($A44)),$A:$A,0))-1),"")</f>
        <v/>
      </c>
      <c r="L44" s="19">
        <f>IFERROR(IF(OR(G44="",INDEX(G:G,MATCH(DATE(YEAR($A44)-1,MONTH($A44),DAY($A44)),$A:$A,0))=""),"",G44/INDEX(G:G,MATCH(DATE(YEAR($A44)-1,MONTH($A44),DAY($A44)),$A:$A,0))-1),"")</f>
        <v/>
      </c>
      <c r="M44" s="19">
        <f>IF(OR(E44="",E43=""),"",E44/E43-1)</f>
        <v/>
      </c>
      <c r="N44" s="19">
        <f>IF(OR(F44="",F43=""),"",F44/F43-1)</f>
        <v/>
      </c>
      <c r="O44" s="19">
        <f>IF(OR(G44="",G43=""),"",G44/G43-1)</f>
        <v/>
      </c>
      <c r="P44" s="22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IF(R44="","",P44/R44)</f>
        <v/>
      </c>
      <c r="T44" s="23">
        <f>IF(R44="","",Q44/R44)</f>
        <v/>
      </c>
      <c r="U44" s="24">
        <f>IF(SUMIFS('Daily NSE Equity Options'!$M:$M,'Daily NSE Equity Options'!$A:$A,$A44)=0,"",SUMIFS('Daily NSE Equity Options'!$M:$M,'Daily NSE Equity Options'!$A:$A,$A44))</f>
        <v/>
      </c>
      <c r="V44" s="9">
        <f>IF(SUMIFS('Daily BSE Equity Options'!$M:$M,'Daily BSE Equity Options'!$A:$A,$A44)=0,"",SUMIFS('Daily BSE Equity Options'!$M:$M,'Daily BSE Equity Options'!$A:$A,$A44))</f>
        <v/>
      </c>
      <c r="W44" s="9">
        <f>IF(OR(U44="",V44=""),"",U44+V44)</f>
        <v/>
      </c>
      <c r="X44" s="25">
        <f>IF(W44="","",U44/W44)</f>
        <v/>
      </c>
      <c r="Y44" s="25">
        <f>IF(W44="","",V44/W44)</f>
        <v/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19">
        <f>IF(G45="","",E45/G45)</f>
        <v/>
      </c>
      <c r="I45" s="19">
        <f>IF(G45="","",F45/G45)</f>
        <v/>
      </c>
      <c r="J45" s="26">
        <f>IFERROR(IF(OR(E45="",INDEX(E:E,MATCH(DATE(YEAR($A45)-1,MONTH($A45),DAY($A45)),$A:$A,0))=""),"",E45/INDEX(E:E,MATCH(DATE(YEAR($A45)-1,MONTH($A45),DAY($A45)),$A:$A,0))-1),"")</f>
        <v/>
      </c>
      <c r="K45" s="19">
        <f>IFERROR(IF(OR(F45="",INDEX(F:F,MATCH(DATE(YEAR($A45)-1,MONTH($A45),DAY($A45)),$A:$A,0))=""),"",F45/INDEX(F:F,MATCH(DATE(YEAR($A45)-1,MONTH($A45),DAY($A45)),$A:$A,0))-1),"")</f>
        <v/>
      </c>
      <c r="L45" s="19">
        <f>IFERROR(IF(OR(G45="",INDEX(G:G,MATCH(DATE(YEAR($A45)-1,MONTH($A45),DAY($A45)),$A:$A,0))=""),"",G45/INDEX(G:G,MATCH(DATE(YEAR($A45)-1,MONTH($A45),DAY($A45)),$A:$A,0))-1),"")</f>
        <v/>
      </c>
      <c r="M45" s="19">
        <f>IF(OR(E45="",E44=""),"",E45/E44-1)</f>
        <v/>
      </c>
      <c r="N45" s="19">
        <f>IF(OR(F45="",F44=""),"",F45/F44-1)</f>
        <v/>
      </c>
      <c r="O45" s="19">
        <f>IF(OR(G45="",G44=""),"",G45/G44-1)</f>
        <v/>
      </c>
      <c r="P45" s="22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IF(R45="","",P45/R45)</f>
        <v/>
      </c>
      <c r="T45" s="23">
        <f>IF(R45="","",Q45/R45)</f>
        <v/>
      </c>
      <c r="U45" s="24">
        <f>IF(SUMIFS('Daily NSE Equity Options'!$M:$M,'Daily NSE Equity Options'!$A:$A,$A45)=0,"",SUMIFS('Daily NSE Equity Options'!$M:$M,'Daily NSE Equity Options'!$A:$A,$A45))</f>
        <v/>
      </c>
      <c r="V45" s="9">
        <f>IF(SUMIFS('Daily BSE Equity Options'!$M:$M,'Daily BSE Equity Options'!$A:$A,$A45)=0,"",SUMIFS('Daily BSE Equity Options'!$M:$M,'Daily BSE Equity Options'!$A:$A,$A45))</f>
        <v/>
      </c>
      <c r="W45" s="9">
        <f>IF(OR(U45="",V45=""),"",U45+V45)</f>
        <v/>
      </c>
      <c r="X45" s="25">
        <f>IF(W45="","",U45/W45)</f>
        <v/>
      </c>
      <c r="Y45" s="25">
        <f>IF(W45="","",V45/W45)</f>
        <v/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19">
        <f>IF(G46="","",E46/G46)</f>
        <v/>
      </c>
      <c r="I46" s="19">
        <f>IF(G46="","",F46/G46)</f>
        <v/>
      </c>
      <c r="J46" s="26">
        <f>IFERROR(IF(OR(E46="",INDEX(E:E,MATCH(DATE(YEAR($A46)-1,MONTH($A46),DAY($A46)),$A:$A,0))=""),"",E46/INDEX(E:E,MATCH(DATE(YEAR($A46)-1,MONTH($A46),DAY($A46)),$A:$A,0))-1),"")</f>
        <v/>
      </c>
      <c r="K46" s="19">
        <f>IFERROR(IF(OR(F46="",INDEX(F:F,MATCH(DATE(YEAR($A46)-1,MONTH($A46),DAY($A46)),$A:$A,0))=""),"",F46/INDEX(F:F,MATCH(DATE(YEAR($A46)-1,MONTH($A46),DAY($A46)),$A:$A,0))-1),"")</f>
        <v/>
      </c>
      <c r="L46" s="19">
        <f>IFERROR(IF(OR(G46="",INDEX(G:G,MATCH(DATE(YEAR($A46)-1,MONTH($A46),DAY($A46)),$A:$A,0))=""),"",G46/INDEX(G:G,MATCH(DATE(YEAR($A46)-1,MONTH($A46),DAY($A46)),$A:$A,0))-1),"")</f>
        <v/>
      </c>
      <c r="M46" s="19">
        <f>IF(OR(E46="",E45=""),"",E46/E45-1)</f>
        <v/>
      </c>
      <c r="N46" s="19">
        <f>IF(OR(F46="",F45=""),"",F46/F45-1)</f>
        <v/>
      </c>
      <c r="O46" s="19">
        <f>IF(OR(G46="",G45=""),"",G46/G45-1)</f>
        <v/>
      </c>
      <c r="P46" s="22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IF(R46="","",P46/R46)</f>
        <v/>
      </c>
      <c r="T46" s="23">
        <f>IF(R46="","",Q46/R46)</f>
        <v/>
      </c>
      <c r="U46" s="24">
        <f>IF(SUMIFS('Daily NSE Equity Options'!$M:$M,'Daily NSE Equity Options'!$A:$A,$A46)=0,"",SUMIFS('Daily NSE Equity Options'!$M:$M,'Daily NSE Equity Options'!$A:$A,$A46))</f>
        <v/>
      </c>
      <c r="V46" s="9">
        <f>IF(SUMIFS('Daily BSE Equity Options'!$M:$M,'Daily BSE Equity Options'!$A:$A,$A46)=0,"",SUMIFS('Daily BSE Equity Options'!$M:$M,'Daily BSE Equity Options'!$A:$A,$A46))</f>
        <v/>
      </c>
      <c r="W46" s="9">
        <f>IF(OR(U46="",V46=""),"",U46+V46)</f>
        <v/>
      </c>
      <c r="X46" s="25">
        <f>IF(W46="","",U46/W46)</f>
        <v/>
      </c>
      <c r="Y46" s="25">
        <f>IF(W46="","",V46/W46)</f>
        <v/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19">
        <f>IF(G47="","",E47/G47)</f>
        <v/>
      </c>
      <c r="I47" s="19">
        <f>IF(G47="","",F47/G47)</f>
        <v/>
      </c>
      <c r="J47" s="26">
        <f>IFERROR(IF(OR(E47="",INDEX(E:E,MATCH(DATE(YEAR($A47)-1,MONTH($A47),DAY($A47)),$A:$A,0))=""),"",E47/INDEX(E:E,MATCH(DATE(YEAR($A47)-1,MONTH($A47),DAY($A47)),$A:$A,0))-1),"")</f>
        <v/>
      </c>
      <c r="K47" s="19">
        <f>IFERROR(IF(OR(F47="",INDEX(F:F,MATCH(DATE(YEAR($A47)-1,MONTH($A47),DAY($A47)),$A:$A,0))=""),"",F47/INDEX(F:F,MATCH(DATE(YEAR($A47)-1,MONTH($A47),DAY($A47)),$A:$A,0))-1),"")</f>
        <v/>
      </c>
      <c r="L47" s="19">
        <f>IFERROR(IF(OR(G47="",INDEX(G:G,MATCH(DATE(YEAR($A47)-1,MONTH($A47),DAY($A47)),$A:$A,0))=""),"",G47/INDEX(G:G,MATCH(DATE(YEAR($A47)-1,MONTH($A47),DAY($A47)),$A:$A,0))-1),"")</f>
        <v/>
      </c>
      <c r="M47" s="19">
        <f>IF(OR(E47="",E46=""),"",E47/E46-1)</f>
        <v/>
      </c>
      <c r="N47" s="19">
        <f>IF(OR(F47="",F46=""),"",F47/F46-1)</f>
        <v/>
      </c>
      <c r="O47" s="19">
        <f>IF(OR(G47="",G46=""),"",G47/G46-1)</f>
        <v/>
      </c>
      <c r="P47" s="22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IF(R47="","",P47/R47)</f>
        <v/>
      </c>
      <c r="T47" s="23">
        <f>IF(R47="","",Q47/R47)</f>
        <v/>
      </c>
      <c r="U47" s="24">
        <f>IF(SUMIFS('Daily NSE Equity Options'!$M:$M,'Daily NSE Equity Options'!$A:$A,$A47)=0,"",SUMIFS('Daily NSE Equity Options'!$M:$M,'Daily NSE Equity Options'!$A:$A,$A47))</f>
        <v/>
      </c>
      <c r="V47" s="9">
        <f>IF(SUMIFS('Daily BSE Equity Options'!$M:$M,'Daily BSE Equity Options'!$A:$A,$A47)=0,"",SUMIFS('Daily BSE Equity Options'!$M:$M,'Daily BSE Equity Options'!$A:$A,$A47))</f>
        <v/>
      </c>
      <c r="W47" s="9">
        <f>IF(OR(U47="",V47=""),"",U47+V47)</f>
        <v/>
      </c>
      <c r="X47" s="25">
        <f>IF(W47="","",U47/W47)</f>
        <v/>
      </c>
      <c r="Y47" s="25">
        <f>IF(W47="","",V47/W47)</f>
        <v/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19">
        <f>IF(G48="","",E48/G48)</f>
        <v/>
      </c>
      <c r="I48" s="19">
        <f>IF(G48="","",F48/G48)</f>
        <v/>
      </c>
      <c r="J48" s="26">
        <f>IFERROR(IF(OR(E48="",INDEX(E:E,MATCH(DATE(YEAR($A48)-1,MONTH($A48),DAY($A48)),$A:$A,0))=""),"",E48/INDEX(E:E,MATCH(DATE(YEAR($A48)-1,MONTH($A48),DAY($A48)),$A:$A,0))-1),"")</f>
        <v/>
      </c>
      <c r="K48" s="19">
        <f>IFERROR(IF(OR(F48="",INDEX(F:F,MATCH(DATE(YEAR($A48)-1,MONTH($A48),DAY($A48)),$A:$A,0))=""),"",F48/INDEX(F:F,MATCH(DATE(YEAR($A48)-1,MONTH($A48),DAY($A48)),$A:$A,0))-1),"")</f>
        <v/>
      </c>
      <c r="L48" s="19">
        <f>IFERROR(IF(OR(G48="",INDEX(G:G,MATCH(DATE(YEAR($A48)-1,MONTH($A48),DAY($A48)),$A:$A,0))=""),"",G48/INDEX(G:G,MATCH(DATE(YEAR($A48)-1,MONTH($A48),DAY($A48)),$A:$A,0))-1),"")</f>
        <v/>
      </c>
      <c r="M48" s="19">
        <f>IF(OR(E48="",E47=""),"",E48/E47-1)</f>
        <v/>
      </c>
      <c r="N48" s="19">
        <f>IF(OR(F48="",F47=""),"",F48/F47-1)</f>
        <v/>
      </c>
      <c r="O48" s="19">
        <f>IF(OR(G48="",G47=""),"",G48/G47-1)</f>
        <v/>
      </c>
      <c r="P48" s="22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IF(R48="","",P48/R48)</f>
        <v/>
      </c>
      <c r="T48" s="23">
        <f>IF(R48="","",Q48/R48)</f>
        <v/>
      </c>
      <c r="U48" s="24">
        <f>IF(SUMIFS('Daily NSE Equity Options'!$M:$M,'Daily NSE Equity Options'!$A:$A,$A48)=0,"",SUMIFS('Daily NSE Equity Options'!$M:$M,'Daily NSE Equity Options'!$A:$A,$A48))</f>
        <v/>
      </c>
      <c r="V48" s="9">
        <f>IF(SUMIFS('Daily BSE Equity Options'!$M:$M,'Daily BSE Equity Options'!$A:$A,$A48)=0,"",SUMIFS('Daily BSE Equity Options'!$M:$M,'Daily BSE Equity Options'!$A:$A,$A48))</f>
        <v/>
      </c>
      <c r="W48" s="9">
        <f>IF(OR(U48="",V48=""),"",U48+V48)</f>
        <v/>
      </c>
      <c r="X48" s="25">
        <f>IF(W48="","",U48/W48)</f>
        <v/>
      </c>
      <c r="Y48" s="25">
        <f>IF(W48="","",V48/W48)</f>
        <v/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19">
        <f>IF(G49="","",E49/G49)</f>
        <v/>
      </c>
      <c r="I49" s="19">
        <f>IF(G49="","",F49/G49)</f>
        <v/>
      </c>
      <c r="J49" s="26">
        <f>IFERROR(IF(OR(E49="",INDEX(E:E,MATCH(DATE(YEAR($A49)-1,MONTH($A49),DAY($A49)),$A:$A,0))=""),"",E49/INDEX(E:E,MATCH(DATE(YEAR($A49)-1,MONTH($A49),DAY($A49)),$A:$A,0))-1),"")</f>
        <v/>
      </c>
      <c r="K49" s="19">
        <f>IFERROR(IF(OR(F49="",INDEX(F:F,MATCH(DATE(YEAR($A49)-1,MONTH($A49),DAY($A49)),$A:$A,0))=""),"",F49/INDEX(F:F,MATCH(DATE(YEAR($A49)-1,MONTH($A49),DAY($A49)),$A:$A,0))-1),"")</f>
        <v/>
      </c>
      <c r="L49" s="19">
        <f>IFERROR(IF(OR(G49="",INDEX(G:G,MATCH(DATE(YEAR($A49)-1,MONTH($A49),DAY($A49)),$A:$A,0))=""),"",G49/INDEX(G:G,MATCH(DATE(YEAR($A49)-1,MONTH($A49),DAY($A49)),$A:$A,0))-1),"")</f>
        <v/>
      </c>
      <c r="M49" s="19">
        <f>IF(OR(E49="",E48=""),"",E49/E48-1)</f>
        <v/>
      </c>
      <c r="N49" s="19">
        <f>IF(OR(F49="",F48=""),"",F49/F48-1)</f>
        <v/>
      </c>
      <c r="O49" s="19">
        <f>IF(OR(G49="",G48=""),"",G49/G48-1)</f>
        <v/>
      </c>
      <c r="P49" s="22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IF(R49="","",P49/R49)</f>
        <v/>
      </c>
      <c r="T49" s="23">
        <f>IF(R49="","",Q49/R49)</f>
        <v/>
      </c>
      <c r="U49" s="24">
        <f>IF(SUMIFS('Daily NSE Equity Options'!$M:$M,'Daily NSE Equity Options'!$A:$A,$A49)=0,"",SUMIFS('Daily NSE Equity Options'!$M:$M,'Daily NSE Equity Options'!$A:$A,$A49))</f>
        <v/>
      </c>
      <c r="V49" s="9">
        <f>IF(SUMIFS('Daily BSE Equity Options'!$M:$M,'Daily BSE Equity Options'!$A:$A,$A49)=0,"",SUMIFS('Daily BSE Equity Options'!$M:$M,'Daily BSE Equity Options'!$A:$A,$A49))</f>
        <v/>
      </c>
      <c r="W49" s="9">
        <f>IF(OR(U49="",V49=""),"",U49+V49)</f>
        <v/>
      </c>
      <c r="X49" s="25">
        <f>IF(W49="","",U49/W49)</f>
        <v/>
      </c>
      <c r="Y49" s="25">
        <f>IF(W49="","",V49/W49)</f>
        <v/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19">
        <f>IF(G50="","",E50/G50)</f>
        <v/>
      </c>
      <c r="I50" s="19">
        <f>IF(G50="","",F50/G50)</f>
        <v/>
      </c>
      <c r="J50" s="26">
        <f>IFERROR(IF(OR(E50="",INDEX(E:E,MATCH(DATE(YEAR($A50)-1,MONTH($A50),DAY($A50)),$A:$A,0))=""),"",E50/INDEX(E:E,MATCH(DATE(YEAR($A50)-1,MONTH($A50),DAY($A50)),$A:$A,0))-1),"")</f>
        <v/>
      </c>
      <c r="K50" s="19">
        <f>IFERROR(IF(OR(F50="",INDEX(F:F,MATCH(DATE(YEAR($A50)-1,MONTH($A50),DAY($A50)),$A:$A,0))=""),"",F50/INDEX(F:F,MATCH(DATE(YEAR($A50)-1,MONTH($A50),DAY($A50)),$A:$A,0))-1),"")</f>
        <v/>
      </c>
      <c r="L50" s="19">
        <f>IFERROR(IF(OR(G50="",INDEX(G:G,MATCH(DATE(YEAR($A50)-1,MONTH($A50),DAY($A50)),$A:$A,0))=""),"",G50/INDEX(G:G,MATCH(DATE(YEAR($A50)-1,MONTH($A50),DAY($A50)),$A:$A,0))-1),"")</f>
        <v/>
      </c>
      <c r="M50" s="19">
        <f>IF(OR(E50="",E49=""),"",E50/E49-1)</f>
        <v/>
      </c>
      <c r="N50" s="19">
        <f>IF(OR(F50="",F49=""),"",F50/F49-1)</f>
        <v/>
      </c>
      <c r="O50" s="19">
        <f>IF(OR(G50="",G49=""),"",G50/G49-1)</f>
        <v/>
      </c>
      <c r="P50" s="22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IF(R50="","",P50/R50)</f>
        <v/>
      </c>
      <c r="T50" s="23">
        <f>IF(R50="","",Q50/R50)</f>
        <v/>
      </c>
      <c r="U50" s="24">
        <f>IF(SUMIFS('Daily NSE Equity Options'!$M:$M,'Daily NSE Equity Options'!$A:$A,$A50)=0,"",SUMIFS('Daily NSE Equity Options'!$M:$M,'Daily NSE Equity Options'!$A:$A,$A50))</f>
        <v/>
      </c>
      <c r="V50" s="9">
        <f>IF(SUMIFS('Daily BSE Equity Options'!$M:$M,'Daily BSE Equity Options'!$A:$A,$A50)=0,"",SUMIFS('Daily BSE Equity Options'!$M:$M,'Daily BSE Equity Options'!$A:$A,$A50))</f>
        <v/>
      </c>
      <c r="W50" s="9">
        <f>IF(OR(U50="",V50=""),"",U50+V50)</f>
        <v/>
      </c>
      <c r="X50" s="25">
        <f>IF(W50="","",U50/W50)</f>
        <v/>
      </c>
      <c r="Y50" s="25">
        <f>IF(W50="","",V50/W50)</f>
        <v/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19">
        <f>IF(G51="","",E51/G51)</f>
        <v/>
      </c>
      <c r="I51" s="19">
        <f>IF(G51="","",F51/G51)</f>
        <v/>
      </c>
      <c r="J51" s="26">
        <f>IFERROR(IF(OR(E51="",INDEX(E:E,MATCH(DATE(YEAR($A51)-1,MONTH($A51),DAY($A51)),$A:$A,0))=""),"",E51/INDEX(E:E,MATCH(DATE(YEAR($A51)-1,MONTH($A51),DAY($A51)),$A:$A,0))-1),"")</f>
        <v/>
      </c>
      <c r="K51" s="19">
        <f>IFERROR(IF(OR(F51="",INDEX(F:F,MATCH(DATE(YEAR($A51)-1,MONTH($A51),DAY($A51)),$A:$A,0))=""),"",F51/INDEX(F:F,MATCH(DATE(YEAR($A51)-1,MONTH($A51),DAY($A51)),$A:$A,0))-1),"")</f>
        <v/>
      </c>
      <c r="L51" s="19">
        <f>IFERROR(IF(OR(G51="",INDEX(G:G,MATCH(DATE(YEAR($A51)-1,MONTH($A51),DAY($A51)),$A:$A,0))=""),"",G51/INDEX(G:G,MATCH(DATE(YEAR($A51)-1,MONTH($A51),DAY($A51)),$A:$A,0))-1),"")</f>
        <v/>
      </c>
      <c r="M51" s="19">
        <f>IF(OR(E51="",E50=""),"",E51/E50-1)</f>
        <v/>
      </c>
      <c r="N51" s="19">
        <f>IF(OR(F51="",F50=""),"",F51/F50-1)</f>
        <v/>
      </c>
      <c r="O51" s="19">
        <f>IF(OR(G51="",G50=""),"",G51/G50-1)</f>
        <v/>
      </c>
      <c r="P51" s="22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IF(R51="","",P51/R51)</f>
        <v/>
      </c>
      <c r="T51" s="23">
        <f>IF(R51="","",Q51/R51)</f>
        <v/>
      </c>
      <c r="U51" s="24">
        <f>IF(SUMIFS('Daily NSE Equity Options'!$M:$M,'Daily NSE Equity Options'!$A:$A,$A51)=0,"",SUMIFS('Daily NSE Equity Options'!$M:$M,'Daily NSE Equity Options'!$A:$A,$A51))</f>
        <v/>
      </c>
      <c r="V51" s="9">
        <f>IF(SUMIFS('Daily BSE Equity Options'!$M:$M,'Daily BSE Equity Options'!$A:$A,$A51)=0,"",SUMIFS('Daily BSE Equity Options'!$M:$M,'Daily BSE Equity Options'!$A:$A,$A51))</f>
        <v/>
      </c>
      <c r="W51" s="9">
        <f>IF(OR(U51="",V51=""),"",U51+V51)</f>
        <v/>
      </c>
      <c r="X51" s="25">
        <f>IF(W51="","",U51/W51)</f>
        <v/>
      </c>
      <c r="Y51" s="25">
        <f>IF(W51="","",V51/W51)</f>
        <v/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19">
        <f>IF(G52="","",E52/G52)</f>
        <v/>
      </c>
      <c r="I52" s="19">
        <f>IF(G52="","",F52/G52)</f>
        <v/>
      </c>
      <c r="J52" s="26">
        <f>IFERROR(IF(OR(E52="",INDEX(E:E,MATCH(DATE(YEAR($A52)-1,MONTH($A52),DAY($A52)),$A:$A,0))=""),"",E52/INDEX(E:E,MATCH(DATE(YEAR($A52)-1,MONTH($A52),DAY($A52)),$A:$A,0))-1),"")</f>
        <v/>
      </c>
      <c r="K52" s="19">
        <f>IFERROR(IF(OR(F52="",INDEX(F:F,MATCH(DATE(YEAR($A52)-1,MONTH($A52),DAY($A52)),$A:$A,0))=""),"",F52/INDEX(F:F,MATCH(DATE(YEAR($A52)-1,MONTH($A52),DAY($A52)),$A:$A,0))-1),"")</f>
        <v/>
      </c>
      <c r="L52" s="19">
        <f>IFERROR(IF(OR(G52="",INDEX(G:G,MATCH(DATE(YEAR($A52)-1,MONTH($A52),DAY($A52)),$A:$A,0))=""),"",G52/INDEX(G:G,MATCH(DATE(YEAR($A52)-1,MONTH($A52),DAY($A52)),$A:$A,0))-1),"")</f>
        <v/>
      </c>
      <c r="M52" s="19">
        <f>IF(OR(E52="",E51=""),"",E52/E51-1)</f>
        <v/>
      </c>
      <c r="N52" s="19">
        <f>IF(OR(F52="",F51=""),"",F52/F51-1)</f>
        <v/>
      </c>
      <c r="O52" s="19">
        <f>IF(OR(G52="",G51=""),"",G52/G51-1)</f>
        <v/>
      </c>
      <c r="P52" s="22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IF(R52="","",P52/R52)</f>
        <v/>
      </c>
      <c r="T52" s="23">
        <f>IF(R52="","",Q52/R52)</f>
        <v/>
      </c>
      <c r="U52" s="24">
        <f>IF(SUMIFS('Daily NSE Equity Options'!$M:$M,'Daily NSE Equity Options'!$A:$A,$A52)=0,"",SUMIFS('Daily NSE Equity Options'!$M:$M,'Daily NSE Equity Options'!$A:$A,$A52))</f>
        <v/>
      </c>
      <c r="V52" s="9">
        <f>IF(SUMIFS('Daily BSE Equity Options'!$M:$M,'Daily BSE Equity Options'!$A:$A,$A52)=0,"",SUMIFS('Daily BSE Equity Options'!$M:$M,'Daily BSE Equity Options'!$A:$A,$A52))</f>
        <v/>
      </c>
      <c r="W52" s="9">
        <f>IF(OR(U52="",V52=""),"",U52+V52)</f>
        <v/>
      </c>
      <c r="X52" s="25">
        <f>IF(W52="","",U52/W52)</f>
        <v/>
      </c>
      <c r="Y52" s="25">
        <f>IF(W52="","",V52/W52)</f>
        <v/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19">
        <f>IF(G53="","",E53/G53)</f>
        <v/>
      </c>
      <c r="I53" s="19">
        <f>IF(G53="","",F53/G53)</f>
        <v/>
      </c>
      <c r="J53" s="26">
        <f>IFERROR(IF(OR(E53="",INDEX(E:E,MATCH(DATE(YEAR($A53)-1,MONTH($A53),DAY($A53)),$A:$A,0))=""),"",E53/INDEX(E:E,MATCH(DATE(YEAR($A53)-1,MONTH($A53),DAY($A53)),$A:$A,0))-1),"")</f>
        <v/>
      </c>
      <c r="K53" s="19">
        <f>IFERROR(IF(OR(F53="",INDEX(F:F,MATCH(DATE(YEAR($A53)-1,MONTH($A53),DAY($A53)),$A:$A,0))=""),"",F53/INDEX(F:F,MATCH(DATE(YEAR($A53)-1,MONTH($A53),DAY($A53)),$A:$A,0))-1),"")</f>
        <v/>
      </c>
      <c r="L53" s="19">
        <f>IFERROR(IF(OR(G53="",INDEX(G:G,MATCH(DATE(YEAR($A53)-1,MONTH($A53),DAY($A53)),$A:$A,0))=""),"",G53/INDEX(G:G,MATCH(DATE(YEAR($A53)-1,MONTH($A53),DAY($A53)),$A:$A,0))-1),"")</f>
        <v/>
      </c>
      <c r="M53" s="19">
        <f>IF(OR(E53="",E52=""),"",E53/E52-1)</f>
        <v/>
      </c>
      <c r="N53" s="19">
        <f>IF(OR(F53="",F52=""),"",F53/F52-1)</f>
        <v/>
      </c>
      <c r="O53" s="19">
        <f>IF(OR(G53="",G52=""),"",G53/G52-1)</f>
        <v/>
      </c>
      <c r="P53" s="22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IF(R53="","",P53/R53)</f>
        <v/>
      </c>
      <c r="T53" s="23">
        <f>IF(R53="","",Q53/R53)</f>
        <v/>
      </c>
      <c r="U53" s="24">
        <f>IF(SUMIFS('Daily NSE Equity Options'!$M:$M,'Daily NSE Equity Options'!$A:$A,$A53)=0,"",SUMIFS('Daily NSE Equity Options'!$M:$M,'Daily NSE Equity Options'!$A:$A,$A53))</f>
        <v/>
      </c>
      <c r="V53" s="9">
        <f>IF(SUMIFS('Daily BSE Equity Options'!$M:$M,'Daily BSE Equity Options'!$A:$A,$A53)=0,"",SUMIFS('Daily BSE Equity Options'!$M:$M,'Daily BSE Equity Options'!$A:$A,$A53))</f>
        <v/>
      </c>
      <c r="W53" s="9">
        <f>IF(OR(U53="",V53=""),"",U53+V53)</f>
        <v/>
      </c>
      <c r="X53" s="25">
        <f>IF(W53="","",U53/W53)</f>
        <v/>
      </c>
      <c r="Y53" s="25">
        <f>IF(W53="","",V53/W53)</f>
        <v/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19">
        <f>IF(G54="","",E54/G54)</f>
        <v/>
      </c>
      <c r="I54" s="19">
        <f>IF(G54="","",F54/G54)</f>
        <v/>
      </c>
      <c r="J54" s="26">
        <f>IFERROR(IF(OR(E54="",INDEX(E:E,MATCH(DATE(YEAR($A54)-1,MONTH($A54),DAY($A54)),$A:$A,0))=""),"",E54/INDEX(E:E,MATCH(DATE(YEAR($A54)-1,MONTH($A54),DAY($A54)),$A:$A,0))-1),"")</f>
        <v/>
      </c>
      <c r="K54" s="19">
        <f>IFERROR(IF(OR(F54="",INDEX(F:F,MATCH(DATE(YEAR($A54)-1,MONTH($A54),DAY($A54)),$A:$A,0))=""),"",F54/INDEX(F:F,MATCH(DATE(YEAR($A54)-1,MONTH($A54),DAY($A54)),$A:$A,0))-1),"")</f>
        <v/>
      </c>
      <c r="L54" s="19">
        <f>IFERROR(IF(OR(G54="",INDEX(G:G,MATCH(DATE(YEAR($A54)-1,MONTH($A54),DAY($A54)),$A:$A,0))=""),"",G54/INDEX(G:G,MATCH(DATE(YEAR($A54)-1,MONTH($A54),DAY($A54)),$A:$A,0))-1),"")</f>
        <v/>
      </c>
      <c r="M54" s="19">
        <f>IF(OR(E54="",E53=""),"",E54/E53-1)</f>
        <v/>
      </c>
      <c r="N54" s="19">
        <f>IF(OR(F54="",F53=""),"",F54/F53-1)</f>
        <v/>
      </c>
      <c r="O54" s="19">
        <f>IF(OR(G54="",G53=""),"",G54/G53-1)</f>
        <v/>
      </c>
      <c r="P54" s="22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IF(R54="","",P54/R54)</f>
        <v/>
      </c>
      <c r="T54" s="23">
        <f>IF(R54="","",Q54/R54)</f>
        <v/>
      </c>
      <c r="U54" s="24">
        <f>IF(SUMIFS('Daily NSE Equity Options'!$M:$M,'Daily NSE Equity Options'!$A:$A,$A54)=0,"",SUMIFS('Daily NSE Equity Options'!$M:$M,'Daily NSE Equity Options'!$A:$A,$A54))</f>
        <v/>
      </c>
      <c r="V54" s="9">
        <f>IF(SUMIFS('Daily BSE Equity Options'!$M:$M,'Daily BSE Equity Options'!$A:$A,$A54)=0,"",SUMIFS('Daily BSE Equity Options'!$M:$M,'Daily BSE Equity Options'!$A:$A,$A54))</f>
        <v/>
      </c>
      <c r="W54" s="9">
        <f>IF(OR(U54="",V54=""),"",U54+V54)</f>
        <v/>
      </c>
      <c r="X54" s="25">
        <f>IF(W54="","",U54/W54)</f>
        <v/>
      </c>
      <c r="Y54" s="25">
        <f>IF(W54="","",V54/W54)</f>
        <v/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19">
        <f>IF(G55="","",E55/G55)</f>
        <v/>
      </c>
      <c r="I55" s="19">
        <f>IF(G55="","",F55/G55)</f>
        <v/>
      </c>
      <c r="J55" s="26">
        <f>IFERROR(IF(OR(E55="",INDEX(E:E,MATCH(DATE(YEAR($A55)-1,MONTH($A55),DAY($A55)),$A:$A,0))=""),"",E55/INDEX(E:E,MATCH(DATE(YEAR($A55)-1,MONTH($A55),DAY($A55)),$A:$A,0))-1),"")</f>
        <v/>
      </c>
      <c r="K55" s="19">
        <f>IFERROR(IF(OR(F55="",INDEX(F:F,MATCH(DATE(YEAR($A55)-1,MONTH($A55),DAY($A55)),$A:$A,0))=""),"",F55/INDEX(F:F,MATCH(DATE(YEAR($A55)-1,MONTH($A55),DAY($A55)),$A:$A,0))-1),"")</f>
        <v/>
      </c>
      <c r="L55" s="19">
        <f>IFERROR(IF(OR(G55="",INDEX(G:G,MATCH(DATE(YEAR($A55)-1,MONTH($A55),DAY($A55)),$A:$A,0))=""),"",G55/INDEX(G:G,MATCH(DATE(YEAR($A55)-1,MONTH($A55),DAY($A55)),$A:$A,0))-1),"")</f>
        <v/>
      </c>
      <c r="M55" s="19">
        <f>IF(OR(E55="",E54=""),"",E55/E54-1)</f>
        <v/>
      </c>
      <c r="N55" s="19">
        <f>IF(OR(F55="",F54=""),"",F55/F54-1)</f>
        <v/>
      </c>
      <c r="O55" s="19">
        <f>IF(OR(G55="",G54=""),"",G55/G54-1)</f>
        <v/>
      </c>
      <c r="P55" s="22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IF(R55="","",P55/R55)</f>
        <v/>
      </c>
      <c r="T55" s="23">
        <f>IF(R55="","",Q55/R55)</f>
        <v/>
      </c>
      <c r="U55" s="24">
        <f>IF(SUMIFS('Daily NSE Equity Options'!$M:$M,'Daily NSE Equity Options'!$A:$A,$A55)=0,"",SUMIFS('Daily NSE Equity Options'!$M:$M,'Daily NSE Equity Options'!$A:$A,$A55))</f>
        <v/>
      </c>
      <c r="V55" s="9">
        <f>IF(SUMIFS('Daily BSE Equity Options'!$M:$M,'Daily BSE Equity Options'!$A:$A,$A55)=0,"",SUMIFS('Daily BSE Equity Options'!$M:$M,'Daily BSE Equity Options'!$A:$A,$A55))</f>
        <v/>
      </c>
      <c r="W55" s="9">
        <f>IF(OR(U55="",V55=""),"",U55+V55)</f>
        <v/>
      </c>
      <c r="X55" s="25">
        <f>IF(W55="","",U55/W55)</f>
        <v/>
      </c>
      <c r="Y55" s="25">
        <f>IF(W55="","",V55/W55)</f>
        <v/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19">
        <f>IF(G56="","",E56/G56)</f>
        <v/>
      </c>
      <c r="I56" s="19">
        <f>IF(G56="","",F56/G56)</f>
        <v/>
      </c>
      <c r="J56" s="26">
        <f>IFERROR(IF(OR(E56="",INDEX(E:E,MATCH(DATE(YEAR($A56)-1,MONTH($A56),DAY($A56)),$A:$A,0))=""),"",E56/INDEX(E:E,MATCH(DATE(YEAR($A56)-1,MONTH($A56),DAY($A56)),$A:$A,0))-1),"")</f>
        <v/>
      </c>
      <c r="K56" s="19">
        <f>IFERROR(IF(OR(F56="",INDEX(F:F,MATCH(DATE(YEAR($A56)-1,MONTH($A56),DAY($A56)),$A:$A,0))=""),"",F56/INDEX(F:F,MATCH(DATE(YEAR($A56)-1,MONTH($A56),DAY($A56)),$A:$A,0))-1),"")</f>
        <v/>
      </c>
      <c r="L56" s="19">
        <f>IFERROR(IF(OR(G56="",INDEX(G:G,MATCH(DATE(YEAR($A56)-1,MONTH($A56),DAY($A56)),$A:$A,0))=""),"",G56/INDEX(G:G,MATCH(DATE(YEAR($A56)-1,MONTH($A56),DAY($A56)),$A:$A,0))-1),"")</f>
        <v/>
      </c>
      <c r="M56" s="19">
        <f>IF(OR(E56="",E55=""),"",E56/E55-1)</f>
        <v/>
      </c>
      <c r="N56" s="19">
        <f>IF(OR(F56="",F55=""),"",F56/F55-1)</f>
        <v/>
      </c>
      <c r="O56" s="19">
        <f>IF(OR(G56="",G55=""),"",G56/G55-1)</f>
        <v/>
      </c>
      <c r="P56" s="22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IF(R56="","",P56/R56)</f>
        <v/>
      </c>
      <c r="T56" s="23">
        <f>IF(R56="","",Q56/R56)</f>
        <v/>
      </c>
      <c r="U56" s="24">
        <f>IF(SUMIFS('Daily NSE Equity Options'!$M:$M,'Daily NSE Equity Options'!$A:$A,$A56)=0,"",SUMIFS('Daily NSE Equity Options'!$M:$M,'Daily NSE Equity Options'!$A:$A,$A56))</f>
        <v/>
      </c>
      <c r="V56" s="9">
        <f>IF(SUMIFS('Daily BSE Equity Options'!$M:$M,'Daily BSE Equity Options'!$A:$A,$A56)=0,"",SUMIFS('Daily BSE Equity Options'!$M:$M,'Daily BSE Equity Options'!$A:$A,$A56))</f>
        <v/>
      </c>
      <c r="W56" s="9">
        <f>IF(OR(U56="",V56=""),"",U56+V56)</f>
        <v/>
      </c>
      <c r="X56" s="25">
        <f>IF(W56="","",U56/W56)</f>
        <v/>
      </c>
      <c r="Y56" s="25">
        <f>IF(W56="","",V56/W56)</f>
        <v/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19">
        <f>IF(G57="","",E57/G57)</f>
        <v/>
      </c>
      <c r="I57" s="19">
        <f>IF(G57="","",F57/G57)</f>
        <v/>
      </c>
      <c r="J57" s="26">
        <f>IFERROR(IF(OR(E57="",INDEX(E:E,MATCH(DATE(YEAR($A57)-1,MONTH($A57),DAY($A57)),$A:$A,0))=""),"",E57/INDEX(E:E,MATCH(DATE(YEAR($A57)-1,MONTH($A57),DAY($A57)),$A:$A,0))-1),"")</f>
        <v/>
      </c>
      <c r="K57" s="19">
        <f>IFERROR(IF(OR(F57="",INDEX(F:F,MATCH(DATE(YEAR($A57)-1,MONTH($A57),DAY($A57)),$A:$A,0))=""),"",F57/INDEX(F:F,MATCH(DATE(YEAR($A57)-1,MONTH($A57),DAY($A57)),$A:$A,0))-1),"")</f>
        <v/>
      </c>
      <c r="L57" s="19">
        <f>IFERROR(IF(OR(G57="",INDEX(G:G,MATCH(DATE(YEAR($A57)-1,MONTH($A57),DAY($A57)),$A:$A,0))=""),"",G57/INDEX(G:G,MATCH(DATE(YEAR($A57)-1,MONTH($A57),DAY($A57)),$A:$A,0))-1),"")</f>
        <v/>
      </c>
      <c r="M57" s="19">
        <f>IF(OR(E57="",E56=""),"",E57/E56-1)</f>
        <v/>
      </c>
      <c r="N57" s="19">
        <f>IF(OR(F57="",F56=""),"",F57/F56-1)</f>
        <v/>
      </c>
      <c r="O57" s="19">
        <f>IF(OR(G57="",G56=""),"",G57/G56-1)</f>
        <v/>
      </c>
      <c r="P57" s="22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IF(R57="","",P57/R57)</f>
        <v/>
      </c>
      <c r="T57" s="23">
        <f>IF(R57="","",Q57/R57)</f>
        <v/>
      </c>
      <c r="U57" s="24">
        <f>IF(SUMIFS('Daily NSE Equity Options'!$M:$M,'Daily NSE Equity Options'!$A:$A,$A57)=0,"",SUMIFS('Daily NSE Equity Options'!$M:$M,'Daily NSE Equity Options'!$A:$A,$A57))</f>
        <v/>
      </c>
      <c r="V57" s="9">
        <f>IF(SUMIFS('Daily BSE Equity Options'!$M:$M,'Daily BSE Equity Options'!$A:$A,$A57)=0,"",SUMIFS('Daily BSE Equity Options'!$M:$M,'Daily BSE Equity Options'!$A:$A,$A57))</f>
        <v/>
      </c>
      <c r="W57" s="9">
        <f>IF(OR(U57="",V57=""),"",U57+V57)</f>
        <v/>
      </c>
      <c r="X57" s="25">
        <f>IF(W57="","",U57/W57)</f>
        <v/>
      </c>
      <c r="Y57" s="25">
        <f>IF(W57="","",V57/W57)</f>
        <v/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19">
        <f>IF(G58="","",E58/G58)</f>
        <v/>
      </c>
      <c r="I58" s="19">
        <f>IF(G58="","",F58/G58)</f>
        <v/>
      </c>
      <c r="J58" s="26">
        <f>IFERROR(IF(OR(E58="",INDEX(E:E,MATCH(DATE(YEAR($A58)-1,MONTH($A58),DAY($A58)),$A:$A,0))=""),"",E58/INDEX(E:E,MATCH(DATE(YEAR($A58)-1,MONTH($A58),DAY($A58)),$A:$A,0))-1),"")</f>
        <v/>
      </c>
      <c r="K58" s="19">
        <f>IFERROR(IF(OR(F58="",INDEX(F:F,MATCH(DATE(YEAR($A58)-1,MONTH($A58),DAY($A58)),$A:$A,0))=""),"",F58/INDEX(F:F,MATCH(DATE(YEAR($A58)-1,MONTH($A58),DAY($A58)),$A:$A,0))-1),"")</f>
        <v/>
      </c>
      <c r="L58" s="19">
        <f>IFERROR(IF(OR(G58="",INDEX(G:G,MATCH(DATE(YEAR($A58)-1,MONTH($A58),DAY($A58)),$A:$A,0))=""),"",G58/INDEX(G:G,MATCH(DATE(YEAR($A58)-1,MONTH($A58),DAY($A58)),$A:$A,0))-1),"")</f>
        <v/>
      </c>
      <c r="M58" s="19">
        <f>IF(OR(E58="",E57=""),"",E58/E57-1)</f>
        <v/>
      </c>
      <c r="N58" s="19">
        <f>IF(OR(F58="",F57=""),"",F58/F57-1)</f>
        <v/>
      </c>
      <c r="O58" s="19">
        <f>IF(OR(G58="",G57=""),"",G58/G57-1)</f>
        <v/>
      </c>
      <c r="P58" s="22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IF(R58="","",P58/R58)</f>
        <v/>
      </c>
      <c r="T58" s="23">
        <f>IF(R58="","",Q58/R58)</f>
        <v/>
      </c>
      <c r="U58" s="24">
        <f>IF(SUMIFS('Daily NSE Equity Options'!$M:$M,'Daily NSE Equity Options'!$A:$A,$A58)=0,"",SUMIFS('Daily NSE Equity Options'!$M:$M,'Daily NSE Equity Options'!$A:$A,$A58))</f>
        <v/>
      </c>
      <c r="V58" s="9">
        <f>IF(SUMIFS('Daily BSE Equity Options'!$M:$M,'Daily BSE Equity Options'!$A:$A,$A58)=0,"",SUMIFS('Daily BSE Equity Options'!$M:$M,'Daily BSE Equity Options'!$A:$A,$A58))</f>
        <v/>
      </c>
      <c r="W58" s="9">
        <f>IF(OR(U58="",V58=""),"",U58+V58)</f>
        <v/>
      </c>
      <c r="X58" s="25">
        <f>IF(W58="","",U58/W58)</f>
        <v/>
      </c>
      <c r="Y58" s="25">
        <f>IF(W58="","",V58/W58)</f>
        <v/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19">
        <f>IF(G59="","",E59/G59)</f>
        <v/>
      </c>
      <c r="I59" s="19">
        <f>IF(G59="","",F59/G59)</f>
        <v/>
      </c>
      <c r="J59" s="26">
        <f>IFERROR(IF(OR(E59="",INDEX(E:E,MATCH(DATE(YEAR($A59)-1,MONTH($A59),DAY($A59)),$A:$A,0))=""),"",E59/INDEX(E:E,MATCH(DATE(YEAR($A59)-1,MONTH($A59),DAY($A59)),$A:$A,0))-1),"")</f>
        <v/>
      </c>
      <c r="K59" s="19">
        <f>IFERROR(IF(OR(F59="",INDEX(F:F,MATCH(DATE(YEAR($A59)-1,MONTH($A59),DAY($A59)),$A:$A,0))=""),"",F59/INDEX(F:F,MATCH(DATE(YEAR($A59)-1,MONTH($A59),DAY($A59)),$A:$A,0))-1),"")</f>
        <v/>
      </c>
      <c r="L59" s="19">
        <f>IFERROR(IF(OR(G59="",INDEX(G:G,MATCH(DATE(YEAR($A59)-1,MONTH($A59),DAY($A59)),$A:$A,0))=""),"",G59/INDEX(G:G,MATCH(DATE(YEAR($A59)-1,MONTH($A59),DAY($A59)),$A:$A,0))-1),"")</f>
        <v/>
      </c>
      <c r="M59" s="19">
        <f>IF(OR(E59="",E58=""),"",E59/E58-1)</f>
        <v/>
      </c>
      <c r="N59" s="19">
        <f>IF(OR(F59="",F58=""),"",F59/F58-1)</f>
        <v/>
      </c>
      <c r="O59" s="19">
        <f>IF(OR(G59="",G58=""),"",G59/G58-1)</f>
        <v/>
      </c>
      <c r="P59" s="22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IF(R59="","",P59/R59)</f>
        <v/>
      </c>
      <c r="T59" s="23">
        <f>IF(R59="","",Q59/R59)</f>
        <v/>
      </c>
      <c r="U59" s="24">
        <f>IF(SUMIFS('Daily NSE Equity Options'!$M:$M,'Daily NSE Equity Options'!$A:$A,$A59)=0,"",SUMIFS('Daily NSE Equity Options'!$M:$M,'Daily NSE Equity Options'!$A:$A,$A59))</f>
        <v/>
      </c>
      <c r="V59" s="9">
        <f>IF(SUMIFS('Daily BSE Equity Options'!$M:$M,'Daily BSE Equity Options'!$A:$A,$A59)=0,"",SUMIFS('Daily BSE Equity Options'!$M:$M,'Daily BSE Equity Options'!$A:$A,$A59))</f>
        <v/>
      </c>
      <c r="W59" s="9">
        <f>IF(OR(U59="",V59=""),"",U59+V59)</f>
        <v/>
      </c>
      <c r="X59" s="25">
        <f>IF(W59="","",U59/W59)</f>
        <v/>
      </c>
      <c r="Y59" s="25">
        <f>IF(W59="","",V59/W59)</f>
        <v/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19">
        <f>IF(G60="","",E60/G60)</f>
        <v/>
      </c>
      <c r="I60" s="19">
        <f>IF(G60="","",F60/G60)</f>
        <v/>
      </c>
      <c r="J60" s="26">
        <f>IFERROR(IF(OR(E60="",INDEX(E:E,MATCH(DATE(YEAR($A60)-1,MONTH($A60),DAY($A60)),$A:$A,0))=""),"",E60/INDEX(E:E,MATCH(DATE(YEAR($A60)-1,MONTH($A60),DAY($A60)),$A:$A,0))-1),"")</f>
        <v/>
      </c>
      <c r="K60" s="19">
        <f>IFERROR(IF(OR(F60="",INDEX(F:F,MATCH(DATE(YEAR($A60)-1,MONTH($A60),DAY($A60)),$A:$A,0))=""),"",F60/INDEX(F:F,MATCH(DATE(YEAR($A60)-1,MONTH($A60),DAY($A60)),$A:$A,0))-1),"")</f>
        <v/>
      </c>
      <c r="L60" s="19">
        <f>IFERROR(IF(OR(G60="",INDEX(G:G,MATCH(DATE(YEAR($A60)-1,MONTH($A60),DAY($A60)),$A:$A,0))=""),"",G60/INDEX(G:G,MATCH(DATE(YEAR($A60)-1,MONTH($A60),DAY($A60)),$A:$A,0))-1),"")</f>
        <v/>
      </c>
      <c r="M60" s="19">
        <f>IF(OR(E60="",E59=""),"",E60/E59-1)</f>
        <v/>
      </c>
      <c r="N60" s="19">
        <f>IF(OR(F60="",F59=""),"",F60/F59-1)</f>
        <v/>
      </c>
      <c r="O60" s="19">
        <f>IF(OR(G60="",G59=""),"",G60/G59-1)</f>
        <v/>
      </c>
      <c r="P60" s="22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IF(R60="","",P60/R60)</f>
        <v/>
      </c>
      <c r="T60" s="23">
        <f>IF(R60="","",Q60/R60)</f>
        <v/>
      </c>
      <c r="U60" s="24">
        <f>IF(SUMIFS('Daily NSE Equity Options'!$M:$M,'Daily NSE Equity Options'!$A:$A,$A60)=0,"",SUMIFS('Daily NSE Equity Options'!$M:$M,'Daily NSE Equity Options'!$A:$A,$A60))</f>
        <v/>
      </c>
      <c r="V60" s="9">
        <f>IF(SUMIFS('Daily BSE Equity Options'!$M:$M,'Daily BSE Equity Options'!$A:$A,$A60)=0,"",SUMIFS('Daily BSE Equity Options'!$M:$M,'Daily BSE Equity Options'!$A:$A,$A60))</f>
        <v/>
      </c>
      <c r="W60" s="9">
        <f>IF(OR(U60="",V60=""),"",U60+V60)</f>
        <v/>
      </c>
      <c r="X60" s="25">
        <f>IF(W60="","",U60/W60)</f>
        <v/>
      </c>
      <c r="Y60" s="25">
        <f>IF(W60="","",V60/W60)</f>
        <v/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19">
        <f>IF(G61="","",E61/G61)</f>
        <v/>
      </c>
      <c r="I61" s="19">
        <f>IF(G61="","",F61/G61)</f>
        <v/>
      </c>
      <c r="J61" s="26">
        <f>IFERROR(IF(OR(E61="",INDEX(E:E,MATCH(DATE(YEAR($A61)-1,MONTH($A61),DAY($A61)),$A:$A,0))=""),"",E61/INDEX(E:E,MATCH(DATE(YEAR($A61)-1,MONTH($A61),DAY($A61)),$A:$A,0))-1),"")</f>
        <v/>
      </c>
      <c r="K61" s="19">
        <f>IFERROR(IF(OR(F61="",INDEX(F:F,MATCH(DATE(YEAR($A61)-1,MONTH($A61),DAY($A61)),$A:$A,0))=""),"",F61/INDEX(F:F,MATCH(DATE(YEAR($A61)-1,MONTH($A61),DAY($A61)),$A:$A,0))-1),"")</f>
        <v/>
      </c>
      <c r="L61" s="19">
        <f>IFERROR(IF(OR(G61="",INDEX(G:G,MATCH(DATE(YEAR($A61)-1,MONTH($A61),DAY($A61)),$A:$A,0))=""),"",G61/INDEX(G:G,MATCH(DATE(YEAR($A61)-1,MONTH($A61),DAY($A61)),$A:$A,0))-1),"")</f>
        <v/>
      </c>
      <c r="M61" s="19">
        <f>IF(OR(E61="",E60=""),"",E61/E60-1)</f>
        <v/>
      </c>
      <c r="N61" s="19">
        <f>IF(OR(F61="",F60=""),"",F61/F60-1)</f>
        <v/>
      </c>
      <c r="O61" s="19">
        <f>IF(OR(G61="",G60=""),"",G61/G60-1)</f>
        <v/>
      </c>
      <c r="P61" s="22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IF(R61="","",P61/R61)</f>
        <v/>
      </c>
      <c r="T61" s="23">
        <f>IF(R61="","",Q61/R61)</f>
        <v/>
      </c>
      <c r="U61" s="24">
        <f>IF(SUMIFS('Daily NSE Equity Options'!$M:$M,'Daily NSE Equity Options'!$A:$A,$A61)=0,"",SUMIFS('Daily NSE Equity Options'!$M:$M,'Daily NSE Equity Options'!$A:$A,$A61))</f>
        <v/>
      </c>
      <c r="V61" s="9">
        <f>IF(SUMIFS('Daily BSE Equity Options'!$M:$M,'Daily BSE Equity Options'!$A:$A,$A61)=0,"",SUMIFS('Daily BSE Equity Options'!$M:$M,'Daily BSE Equity Options'!$A:$A,$A61))</f>
        <v/>
      </c>
      <c r="W61" s="9">
        <f>IF(OR(U61="",V61=""),"",U61+V61)</f>
        <v/>
      </c>
      <c r="X61" s="25">
        <f>IF(W61="","",U61/W61)</f>
        <v/>
      </c>
      <c r="Y61" s="25">
        <f>IF(W61="","",V61/W61)</f>
        <v/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19">
        <f>IF(G62="","",E62/G62)</f>
        <v/>
      </c>
      <c r="I62" s="19">
        <f>IF(G62="","",F62/G62)</f>
        <v/>
      </c>
      <c r="J62" s="26">
        <f>IFERROR(IF(OR(E62="",INDEX(E:E,MATCH(DATE(YEAR($A62)-1,MONTH($A62),DAY($A62)),$A:$A,0))=""),"",E62/INDEX(E:E,MATCH(DATE(YEAR($A62)-1,MONTH($A62),DAY($A62)),$A:$A,0))-1),"")</f>
        <v/>
      </c>
      <c r="K62" s="19">
        <f>IFERROR(IF(OR(F62="",INDEX(F:F,MATCH(DATE(YEAR($A62)-1,MONTH($A62),DAY($A62)),$A:$A,0))=""),"",F62/INDEX(F:F,MATCH(DATE(YEAR($A62)-1,MONTH($A62),DAY($A62)),$A:$A,0))-1),"")</f>
        <v/>
      </c>
      <c r="L62" s="19">
        <f>IFERROR(IF(OR(G62="",INDEX(G:G,MATCH(DATE(YEAR($A62)-1,MONTH($A62),DAY($A62)),$A:$A,0))=""),"",G62/INDEX(G:G,MATCH(DATE(YEAR($A62)-1,MONTH($A62),DAY($A62)),$A:$A,0))-1),"")</f>
        <v/>
      </c>
      <c r="M62" s="19">
        <f>IF(OR(E62="",E61=""),"",E62/E61-1)</f>
        <v/>
      </c>
      <c r="N62" s="19">
        <f>IF(OR(F62="",F61=""),"",F62/F61-1)</f>
        <v/>
      </c>
      <c r="O62" s="19">
        <f>IF(OR(G62="",G61=""),"",G62/G61-1)</f>
        <v/>
      </c>
      <c r="P62" s="22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IF(R62="","",P62/R62)</f>
        <v/>
      </c>
      <c r="T62" s="23">
        <f>IF(R62="","",Q62/R62)</f>
        <v/>
      </c>
      <c r="U62" s="24">
        <f>IF(SUMIFS('Daily NSE Equity Options'!$M:$M,'Daily NSE Equity Options'!$A:$A,$A62)=0,"",SUMIFS('Daily NSE Equity Options'!$M:$M,'Daily NSE Equity Options'!$A:$A,$A62))</f>
        <v/>
      </c>
      <c r="V62" s="9">
        <f>IF(SUMIFS('Daily BSE Equity Options'!$M:$M,'Daily BSE Equity Options'!$A:$A,$A62)=0,"",SUMIFS('Daily BSE Equity Options'!$M:$M,'Daily BSE Equity Options'!$A:$A,$A62))</f>
        <v/>
      </c>
      <c r="W62" s="9">
        <f>IF(OR(U62="",V62=""),"",U62+V62)</f>
        <v/>
      </c>
      <c r="X62" s="25">
        <f>IF(W62="","",U62/W62)</f>
        <v/>
      </c>
      <c r="Y62" s="25">
        <f>IF(W62="","",V62/W62)</f>
        <v/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19">
        <f>IF(G63="","",E63/G63)</f>
        <v/>
      </c>
      <c r="I63" s="19">
        <f>IF(G63="","",F63/G63)</f>
        <v/>
      </c>
      <c r="J63" s="26">
        <f>IFERROR(IF(OR(E63="",INDEX(E:E,MATCH(DATE(YEAR($A63)-1,MONTH($A63),DAY($A63)),$A:$A,0))=""),"",E63/INDEX(E:E,MATCH(DATE(YEAR($A63)-1,MONTH($A63),DAY($A63)),$A:$A,0))-1),"")</f>
        <v/>
      </c>
      <c r="K63" s="19">
        <f>IFERROR(IF(OR(F63="",INDEX(F:F,MATCH(DATE(YEAR($A63)-1,MONTH($A63),DAY($A63)),$A:$A,0))=""),"",F63/INDEX(F:F,MATCH(DATE(YEAR($A63)-1,MONTH($A63),DAY($A63)),$A:$A,0))-1),"")</f>
        <v/>
      </c>
      <c r="L63" s="19">
        <f>IFERROR(IF(OR(G63="",INDEX(G:G,MATCH(DATE(YEAR($A63)-1,MONTH($A63),DAY($A63)),$A:$A,0))=""),"",G63/INDEX(G:G,MATCH(DATE(YEAR($A63)-1,MONTH($A63),DAY($A63)),$A:$A,0))-1),"")</f>
        <v/>
      </c>
      <c r="M63" s="19">
        <f>IF(OR(E63="",E62=""),"",E63/E62-1)</f>
        <v/>
      </c>
      <c r="N63" s="19">
        <f>IF(OR(F63="",F62=""),"",F63/F62-1)</f>
        <v/>
      </c>
      <c r="O63" s="19">
        <f>IF(OR(G63="",G62=""),"",G63/G62-1)</f>
        <v/>
      </c>
      <c r="P63" s="22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IF(R63="","",P63/R63)</f>
        <v/>
      </c>
      <c r="T63" s="23">
        <f>IF(R63="","",Q63/R63)</f>
        <v/>
      </c>
      <c r="U63" s="24">
        <f>IF(SUMIFS('Daily NSE Equity Options'!$M:$M,'Daily NSE Equity Options'!$A:$A,$A63)=0,"",SUMIFS('Daily NSE Equity Options'!$M:$M,'Daily NSE Equity Options'!$A:$A,$A63))</f>
        <v/>
      </c>
      <c r="V63" s="9">
        <f>IF(SUMIFS('Daily BSE Equity Options'!$M:$M,'Daily BSE Equity Options'!$A:$A,$A63)=0,"",SUMIFS('Daily BSE Equity Options'!$M:$M,'Daily BSE Equity Options'!$A:$A,$A63))</f>
        <v/>
      </c>
      <c r="W63" s="9">
        <f>IF(OR(U63="",V63=""),"",U63+V63)</f>
        <v/>
      </c>
      <c r="X63" s="25">
        <f>IF(W63="","",U63/W63)</f>
        <v/>
      </c>
      <c r="Y63" s="25">
        <f>IF(W63="","",V63/W63)</f>
        <v/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19">
        <f>IF(G64="","",E64/G64)</f>
        <v/>
      </c>
      <c r="I64" s="19">
        <f>IF(G64="","",F64/G64)</f>
        <v/>
      </c>
      <c r="J64" s="26">
        <f>IFERROR(IF(OR(E64="",INDEX(E:E,MATCH(DATE(YEAR($A64)-1,MONTH($A64),DAY($A64)),$A:$A,0))=""),"",E64/INDEX(E:E,MATCH(DATE(YEAR($A64)-1,MONTH($A64),DAY($A64)),$A:$A,0))-1),"")</f>
        <v/>
      </c>
      <c r="K64" s="19">
        <f>IFERROR(IF(OR(F64="",INDEX(F:F,MATCH(DATE(YEAR($A64)-1,MONTH($A64),DAY($A64)),$A:$A,0))=""),"",F64/INDEX(F:F,MATCH(DATE(YEAR($A64)-1,MONTH($A64),DAY($A64)),$A:$A,0))-1),"")</f>
        <v/>
      </c>
      <c r="L64" s="19">
        <f>IFERROR(IF(OR(G64="",INDEX(G:G,MATCH(DATE(YEAR($A64)-1,MONTH($A64),DAY($A64)),$A:$A,0))=""),"",G64/INDEX(G:G,MATCH(DATE(YEAR($A64)-1,MONTH($A64),DAY($A64)),$A:$A,0))-1),"")</f>
        <v/>
      </c>
      <c r="M64" s="19">
        <f>IF(OR(E64="",E63=""),"",E64/E63-1)</f>
        <v/>
      </c>
      <c r="N64" s="19">
        <f>IF(OR(F64="",F63=""),"",F64/F63-1)</f>
        <v/>
      </c>
      <c r="O64" s="19">
        <f>IF(OR(G64="",G63=""),"",G64/G63-1)</f>
        <v/>
      </c>
      <c r="P64" s="22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IF(R64="","",P64/R64)</f>
        <v/>
      </c>
      <c r="T64" s="23">
        <f>IF(R64="","",Q64/R64)</f>
        <v/>
      </c>
      <c r="U64" s="24">
        <f>IF(SUMIFS('Daily NSE Equity Options'!$M:$M,'Daily NSE Equity Options'!$A:$A,$A64)=0,"",SUMIFS('Daily NSE Equity Options'!$M:$M,'Daily NSE Equity Options'!$A:$A,$A64))</f>
        <v/>
      </c>
      <c r="V64" s="9">
        <f>IF(SUMIFS('Daily BSE Equity Options'!$M:$M,'Daily BSE Equity Options'!$A:$A,$A64)=0,"",SUMIFS('Daily BSE Equity Options'!$M:$M,'Daily BSE Equity Options'!$A:$A,$A64))</f>
        <v/>
      </c>
      <c r="W64" s="9">
        <f>IF(OR(U64="",V64=""),"",U64+V64)</f>
        <v/>
      </c>
      <c r="X64" s="25">
        <f>IF(W64="","",U64/W64)</f>
        <v/>
      </c>
      <c r="Y64" s="25">
        <f>IF(W64="","",V64/W64)</f>
        <v/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19">
        <f>IF(G65="","",E65/G65)</f>
        <v/>
      </c>
      <c r="I65" s="19">
        <f>IF(G65="","",F65/G65)</f>
        <v/>
      </c>
      <c r="J65" s="26">
        <f>IFERROR(IF(OR(E65="",INDEX(E:E,MATCH(DATE(YEAR($A65)-1,MONTH($A65),DAY($A65)),$A:$A,0))=""),"",E65/INDEX(E:E,MATCH(DATE(YEAR($A65)-1,MONTH($A65),DAY($A65)),$A:$A,0))-1),"")</f>
        <v/>
      </c>
      <c r="K65" s="19">
        <f>IFERROR(IF(OR(F65="",INDEX(F:F,MATCH(DATE(YEAR($A65)-1,MONTH($A65),DAY($A65)),$A:$A,0))=""),"",F65/INDEX(F:F,MATCH(DATE(YEAR($A65)-1,MONTH($A65),DAY($A65)),$A:$A,0))-1),"")</f>
        <v/>
      </c>
      <c r="L65" s="19">
        <f>IFERROR(IF(OR(G65="",INDEX(G:G,MATCH(DATE(YEAR($A65)-1,MONTH($A65),DAY($A65)),$A:$A,0))=""),"",G65/INDEX(G:G,MATCH(DATE(YEAR($A65)-1,MONTH($A65),DAY($A65)),$A:$A,0))-1),"")</f>
        <v/>
      </c>
      <c r="M65" s="19">
        <f>IF(OR(E65="",E64=""),"",E65/E64-1)</f>
        <v/>
      </c>
      <c r="N65" s="19">
        <f>IF(OR(F65="",F64=""),"",F65/F64-1)</f>
        <v/>
      </c>
      <c r="O65" s="19">
        <f>IF(OR(G65="",G64=""),"",G65/G64-1)</f>
        <v/>
      </c>
      <c r="P65" s="22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IF(R65="","",P65/R65)</f>
        <v/>
      </c>
      <c r="T65" s="23">
        <f>IF(R65="","",Q65/R65)</f>
        <v/>
      </c>
      <c r="U65" s="24">
        <f>IF(SUMIFS('Daily NSE Equity Options'!$M:$M,'Daily NSE Equity Options'!$A:$A,$A65)=0,"",SUMIFS('Daily NSE Equity Options'!$M:$M,'Daily NSE Equity Options'!$A:$A,$A65))</f>
        <v/>
      </c>
      <c r="V65" s="9">
        <f>IF(SUMIFS('Daily BSE Equity Options'!$M:$M,'Daily BSE Equity Options'!$A:$A,$A65)=0,"",SUMIFS('Daily BSE Equity Options'!$M:$M,'Daily BSE Equity Options'!$A:$A,$A65))</f>
        <v/>
      </c>
      <c r="W65" s="9">
        <f>IF(OR(U65="",V65=""),"",U65+V65)</f>
        <v/>
      </c>
      <c r="X65" s="25">
        <f>IF(W65="","",U65/W65)</f>
        <v/>
      </c>
      <c r="Y65" s="25">
        <f>IF(W65="","",V65/W65)</f>
        <v/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19">
        <f>IF(G66="","",E66/G66)</f>
        <v/>
      </c>
      <c r="I66" s="19">
        <f>IF(G66="","",F66/G66)</f>
        <v/>
      </c>
      <c r="J66" s="26">
        <f>IFERROR(IF(OR(E66="",INDEX(E:E,MATCH(DATE(YEAR($A66)-1,MONTH($A66),DAY($A66)),$A:$A,0))=""),"",E66/INDEX(E:E,MATCH(DATE(YEAR($A66)-1,MONTH($A66),DAY($A66)),$A:$A,0))-1),"")</f>
        <v/>
      </c>
      <c r="K66" s="19">
        <f>IFERROR(IF(OR(F66="",INDEX(F:F,MATCH(DATE(YEAR($A66)-1,MONTH($A66),DAY($A66)),$A:$A,0))=""),"",F66/INDEX(F:F,MATCH(DATE(YEAR($A66)-1,MONTH($A66),DAY($A66)),$A:$A,0))-1),"")</f>
        <v/>
      </c>
      <c r="L66" s="19">
        <f>IFERROR(IF(OR(G66="",INDEX(G:G,MATCH(DATE(YEAR($A66)-1,MONTH($A66),DAY($A66)),$A:$A,0))=""),"",G66/INDEX(G:G,MATCH(DATE(YEAR($A66)-1,MONTH($A66),DAY($A66)),$A:$A,0))-1),"")</f>
        <v/>
      </c>
      <c r="M66" s="19">
        <f>IF(OR(E66="",E65=""),"",E66/E65-1)</f>
        <v/>
      </c>
      <c r="N66" s="19">
        <f>IF(OR(F66="",F65=""),"",F66/F65-1)</f>
        <v/>
      </c>
      <c r="O66" s="19">
        <f>IF(OR(G66="",G65=""),"",G66/G65-1)</f>
        <v/>
      </c>
      <c r="P66" s="22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IF(R66="","",P66/R66)</f>
        <v/>
      </c>
      <c r="T66" s="23">
        <f>IF(R66="","",Q66/R66)</f>
        <v/>
      </c>
      <c r="U66" s="24">
        <f>IF(SUMIFS('Daily NSE Equity Options'!$M:$M,'Daily NSE Equity Options'!$A:$A,$A66)=0,"",SUMIFS('Daily NSE Equity Options'!$M:$M,'Daily NSE Equity Options'!$A:$A,$A66))</f>
        <v/>
      </c>
      <c r="V66" s="9">
        <f>IF(SUMIFS('Daily BSE Equity Options'!$M:$M,'Daily BSE Equity Options'!$A:$A,$A66)=0,"",SUMIFS('Daily BSE Equity Options'!$M:$M,'Daily BSE Equity Options'!$A:$A,$A66))</f>
        <v/>
      </c>
      <c r="W66" s="9">
        <f>IF(OR(U66="",V66=""),"",U66+V66)</f>
        <v/>
      </c>
      <c r="X66" s="25">
        <f>IF(W66="","",U66/W66)</f>
        <v/>
      </c>
      <c r="Y66" s="25">
        <f>IF(W66="","",V66/W66)</f>
        <v/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19">
        <f>IF(G67="","",E67/G67)</f>
        <v/>
      </c>
      <c r="I67" s="19">
        <f>IF(G67="","",F67/G67)</f>
        <v/>
      </c>
      <c r="J67" s="26">
        <f>IFERROR(IF(OR(E67="",INDEX(E:E,MATCH(DATE(YEAR($A67)-1,MONTH($A67),DAY($A67)),$A:$A,0))=""),"",E67/INDEX(E:E,MATCH(DATE(YEAR($A67)-1,MONTH($A67),DAY($A67)),$A:$A,0))-1),"")</f>
        <v/>
      </c>
      <c r="K67" s="19">
        <f>IFERROR(IF(OR(F67="",INDEX(F:F,MATCH(DATE(YEAR($A67)-1,MONTH($A67),DAY($A67)),$A:$A,0))=""),"",F67/INDEX(F:F,MATCH(DATE(YEAR($A67)-1,MONTH($A67),DAY($A67)),$A:$A,0))-1),"")</f>
        <v/>
      </c>
      <c r="L67" s="19">
        <f>IFERROR(IF(OR(G67="",INDEX(G:G,MATCH(DATE(YEAR($A67)-1,MONTH($A67),DAY($A67)),$A:$A,0))=""),"",G67/INDEX(G:G,MATCH(DATE(YEAR($A67)-1,MONTH($A67),DAY($A67)),$A:$A,0))-1),"")</f>
        <v/>
      </c>
      <c r="M67" s="19">
        <f>IF(OR(E67="",E66=""),"",E67/E66-1)</f>
        <v/>
      </c>
      <c r="N67" s="19">
        <f>IF(OR(F67="",F66=""),"",F67/F66-1)</f>
        <v/>
      </c>
      <c r="O67" s="19">
        <f>IF(OR(G67="",G66=""),"",G67/G66-1)</f>
        <v/>
      </c>
      <c r="P67" s="22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IF(R67="","",P67/R67)</f>
        <v/>
      </c>
      <c r="T67" s="23">
        <f>IF(R67="","",Q67/R67)</f>
        <v/>
      </c>
      <c r="U67" s="24">
        <f>IF(SUMIFS('Daily NSE Equity Options'!$M:$M,'Daily NSE Equity Options'!$A:$A,$A67)=0,"",SUMIFS('Daily NSE Equity Options'!$M:$M,'Daily NSE Equity Options'!$A:$A,$A67))</f>
        <v/>
      </c>
      <c r="V67" s="9">
        <f>IF(SUMIFS('Daily BSE Equity Options'!$M:$M,'Daily BSE Equity Options'!$A:$A,$A67)=0,"",SUMIFS('Daily BSE Equity Options'!$M:$M,'Daily BSE Equity Options'!$A:$A,$A67))</f>
        <v/>
      </c>
      <c r="W67" s="9">
        <f>IF(OR(U67="",V67=""),"",U67+V67)</f>
        <v/>
      </c>
      <c r="X67" s="25">
        <f>IF(W67="","",U67/W67)</f>
        <v/>
      </c>
      <c r="Y67" s="25">
        <f>IF(W67="","",V67/W67)</f>
        <v/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19">
        <f>IF(G68="","",E68/G68)</f>
        <v/>
      </c>
      <c r="I68" s="19">
        <f>IF(G68="","",F68/G68)</f>
        <v/>
      </c>
      <c r="J68" s="26">
        <f>IFERROR(IF(OR(E68="",INDEX(E:E,MATCH(DATE(YEAR($A68)-1,MONTH($A68),DAY($A68)),$A:$A,0))=""),"",E68/INDEX(E:E,MATCH(DATE(YEAR($A68)-1,MONTH($A68),DAY($A68)),$A:$A,0))-1),"")</f>
        <v/>
      </c>
      <c r="K68" s="19">
        <f>IFERROR(IF(OR(F68="",INDEX(F:F,MATCH(DATE(YEAR($A68)-1,MONTH($A68),DAY($A68)),$A:$A,0))=""),"",F68/INDEX(F:F,MATCH(DATE(YEAR($A68)-1,MONTH($A68),DAY($A68)),$A:$A,0))-1),"")</f>
        <v/>
      </c>
      <c r="L68" s="19">
        <f>IFERROR(IF(OR(G68="",INDEX(G:G,MATCH(DATE(YEAR($A68)-1,MONTH($A68),DAY($A68)),$A:$A,0))=""),"",G68/INDEX(G:G,MATCH(DATE(YEAR($A68)-1,MONTH($A68),DAY($A68)),$A:$A,0))-1),"")</f>
        <v/>
      </c>
      <c r="M68" s="19">
        <f>IF(OR(E68="",E67=""),"",E68/E67-1)</f>
        <v/>
      </c>
      <c r="N68" s="19">
        <f>IF(OR(F68="",F67=""),"",F68/F67-1)</f>
        <v/>
      </c>
      <c r="O68" s="19">
        <f>IF(OR(G68="",G67=""),"",G68/G67-1)</f>
        <v/>
      </c>
      <c r="P68" s="22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IF(R68="","",P68/R68)</f>
        <v/>
      </c>
      <c r="T68" s="23">
        <f>IF(R68="","",Q68/R68)</f>
        <v/>
      </c>
      <c r="U68" s="24">
        <f>IF(SUMIFS('Daily NSE Equity Options'!$M:$M,'Daily NSE Equity Options'!$A:$A,$A68)=0,"",SUMIFS('Daily NSE Equity Options'!$M:$M,'Daily NSE Equity Options'!$A:$A,$A68))</f>
        <v/>
      </c>
      <c r="V68" s="9">
        <f>IF(SUMIFS('Daily BSE Equity Options'!$M:$M,'Daily BSE Equity Options'!$A:$A,$A68)=0,"",SUMIFS('Daily BSE Equity Options'!$M:$M,'Daily BSE Equity Options'!$A:$A,$A68))</f>
        <v/>
      </c>
      <c r="W68" s="9">
        <f>IF(OR(U68="",V68=""),"",U68+V68)</f>
        <v/>
      </c>
      <c r="X68" s="25">
        <f>IF(W68="","",U68/W68)</f>
        <v/>
      </c>
      <c r="Y68" s="25">
        <f>IF(W68="","",V68/W68)</f>
        <v/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19">
        <f>IF(G69="","",E69/G69)</f>
        <v/>
      </c>
      <c r="I69" s="19">
        <f>IF(G69="","",F69/G69)</f>
        <v/>
      </c>
      <c r="J69" s="26">
        <f>IFERROR(IF(OR(E69="",INDEX(E:E,MATCH(DATE(YEAR($A69)-1,MONTH($A69),DAY($A69)),$A:$A,0))=""),"",E69/INDEX(E:E,MATCH(DATE(YEAR($A69)-1,MONTH($A69),DAY($A69)),$A:$A,0))-1),"")</f>
        <v/>
      </c>
      <c r="K69" s="19">
        <f>IFERROR(IF(OR(F69="",INDEX(F:F,MATCH(DATE(YEAR($A69)-1,MONTH($A69),DAY($A69)),$A:$A,0))=""),"",F69/INDEX(F:F,MATCH(DATE(YEAR($A69)-1,MONTH($A69),DAY($A69)),$A:$A,0))-1),"")</f>
        <v/>
      </c>
      <c r="L69" s="19">
        <f>IFERROR(IF(OR(G69="",INDEX(G:G,MATCH(DATE(YEAR($A69)-1,MONTH($A69),DAY($A69)),$A:$A,0))=""),"",G69/INDEX(G:G,MATCH(DATE(YEAR($A69)-1,MONTH($A69),DAY($A69)),$A:$A,0))-1),"")</f>
        <v/>
      </c>
      <c r="M69" s="19">
        <f>IF(OR(E69="",E68=""),"",E69/E68-1)</f>
        <v/>
      </c>
      <c r="N69" s="19">
        <f>IF(OR(F69="",F68=""),"",F69/F68-1)</f>
        <v/>
      </c>
      <c r="O69" s="19">
        <f>IF(OR(G69="",G68=""),"",G69/G68-1)</f>
        <v/>
      </c>
      <c r="P69" s="22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IF(R69="","",P69/R69)</f>
        <v/>
      </c>
      <c r="T69" s="23">
        <f>IF(R69="","",Q69/R69)</f>
        <v/>
      </c>
      <c r="U69" s="24">
        <f>IF(SUMIFS('Daily NSE Equity Options'!$M:$M,'Daily NSE Equity Options'!$A:$A,$A69)=0,"",SUMIFS('Daily NSE Equity Options'!$M:$M,'Daily NSE Equity Options'!$A:$A,$A69))</f>
        <v/>
      </c>
      <c r="V69" s="9">
        <f>IF(SUMIFS('Daily BSE Equity Options'!$M:$M,'Daily BSE Equity Options'!$A:$A,$A69)=0,"",SUMIFS('Daily BSE Equity Options'!$M:$M,'Daily BSE Equity Options'!$A:$A,$A69))</f>
        <v/>
      </c>
      <c r="W69" s="9">
        <f>IF(OR(U69="",V69=""),"",U69+V69)</f>
        <v/>
      </c>
      <c r="X69" s="25">
        <f>IF(W69="","",U69/W69)</f>
        <v/>
      </c>
      <c r="Y69" s="25">
        <f>IF(W69="","",V69/W69)</f>
        <v/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19">
        <f>IF(G70="","",E70/G70)</f>
        <v/>
      </c>
      <c r="I70" s="19">
        <f>IF(G70="","",F70/G70)</f>
        <v/>
      </c>
      <c r="J70" s="26">
        <f>IFERROR(IF(OR(E70="",INDEX(E:E,MATCH(DATE(YEAR($A70)-1,MONTH($A70),DAY($A70)),$A:$A,0))=""),"",E70/INDEX(E:E,MATCH(DATE(YEAR($A70)-1,MONTH($A70),DAY($A70)),$A:$A,0))-1),"")</f>
        <v/>
      </c>
      <c r="K70" s="19">
        <f>IFERROR(IF(OR(F70="",INDEX(F:F,MATCH(DATE(YEAR($A70)-1,MONTH($A70),DAY($A70)),$A:$A,0))=""),"",F70/INDEX(F:F,MATCH(DATE(YEAR($A70)-1,MONTH($A70),DAY($A70)),$A:$A,0))-1),"")</f>
        <v/>
      </c>
      <c r="L70" s="19">
        <f>IFERROR(IF(OR(G70="",INDEX(G:G,MATCH(DATE(YEAR($A70)-1,MONTH($A70),DAY($A70)),$A:$A,0))=""),"",G70/INDEX(G:G,MATCH(DATE(YEAR($A70)-1,MONTH($A70),DAY($A70)),$A:$A,0))-1),"")</f>
        <v/>
      </c>
      <c r="M70" s="19">
        <f>IF(OR(E70="",E69=""),"",E70/E69-1)</f>
        <v/>
      </c>
      <c r="N70" s="19">
        <f>IF(OR(F70="",F69=""),"",F70/F69-1)</f>
        <v/>
      </c>
      <c r="O70" s="19">
        <f>IF(OR(G70="",G69=""),"",G70/G69-1)</f>
        <v/>
      </c>
      <c r="P70" s="22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IF(R70="","",P70/R70)</f>
        <v/>
      </c>
      <c r="T70" s="23">
        <f>IF(R70="","",Q70/R70)</f>
        <v/>
      </c>
      <c r="U70" s="24">
        <f>IF(SUMIFS('Daily NSE Equity Options'!$M:$M,'Daily NSE Equity Options'!$A:$A,$A70)=0,"",SUMIFS('Daily NSE Equity Options'!$M:$M,'Daily NSE Equity Options'!$A:$A,$A70))</f>
        <v/>
      </c>
      <c r="V70" s="9">
        <f>IF(SUMIFS('Daily BSE Equity Options'!$M:$M,'Daily BSE Equity Options'!$A:$A,$A70)=0,"",SUMIFS('Daily BSE Equity Options'!$M:$M,'Daily BSE Equity Options'!$A:$A,$A70))</f>
        <v/>
      </c>
      <c r="W70" s="9">
        <f>IF(OR(U70="",V70=""),"",U70+V70)</f>
        <v/>
      </c>
      <c r="X70" s="25">
        <f>IF(W70="","",U70/W70)</f>
        <v/>
      </c>
      <c r="Y70" s="25">
        <f>IF(W70="","",V70/W70)</f>
        <v/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19">
        <f>IF(G71="","",E71/G71)</f>
        <v/>
      </c>
      <c r="I71" s="19">
        <f>IF(G71="","",F71/G71)</f>
        <v/>
      </c>
      <c r="J71" s="26">
        <f>IFERROR(IF(OR(E71="",INDEX(E:E,MATCH(DATE(YEAR($A71)-1,MONTH($A71),DAY($A71)),$A:$A,0))=""),"",E71/INDEX(E:E,MATCH(DATE(YEAR($A71)-1,MONTH($A71),DAY($A71)),$A:$A,0))-1),"")</f>
        <v/>
      </c>
      <c r="K71" s="19">
        <f>IFERROR(IF(OR(F71="",INDEX(F:F,MATCH(DATE(YEAR($A71)-1,MONTH($A71),DAY($A71)),$A:$A,0))=""),"",F71/INDEX(F:F,MATCH(DATE(YEAR($A71)-1,MONTH($A71),DAY($A71)),$A:$A,0))-1),"")</f>
        <v/>
      </c>
      <c r="L71" s="19">
        <f>IFERROR(IF(OR(G71="",INDEX(G:G,MATCH(DATE(YEAR($A71)-1,MONTH($A71),DAY($A71)),$A:$A,0))=""),"",G71/INDEX(G:G,MATCH(DATE(YEAR($A71)-1,MONTH($A71),DAY($A71)),$A:$A,0))-1),"")</f>
        <v/>
      </c>
      <c r="M71" s="19">
        <f>IF(OR(E71="",E70=""),"",E71/E70-1)</f>
        <v/>
      </c>
      <c r="N71" s="19">
        <f>IF(OR(F71="",F70=""),"",F71/F70-1)</f>
        <v/>
      </c>
      <c r="O71" s="19">
        <f>IF(OR(G71="",G70=""),"",G71/G70-1)</f>
        <v/>
      </c>
      <c r="P71" s="22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IF(R71="","",P71/R71)</f>
        <v/>
      </c>
      <c r="T71" s="23">
        <f>IF(R71="","",Q71/R71)</f>
        <v/>
      </c>
      <c r="U71" s="24">
        <f>IF(SUMIFS('Daily NSE Equity Options'!$M:$M,'Daily NSE Equity Options'!$A:$A,$A71)=0,"",SUMIFS('Daily NSE Equity Options'!$M:$M,'Daily NSE Equity Options'!$A:$A,$A71))</f>
        <v/>
      </c>
      <c r="V71" s="9">
        <f>IF(SUMIFS('Daily BSE Equity Options'!$M:$M,'Daily BSE Equity Options'!$A:$A,$A71)=0,"",SUMIFS('Daily BSE Equity Options'!$M:$M,'Daily BSE Equity Options'!$A:$A,$A71))</f>
        <v/>
      </c>
      <c r="W71" s="9">
        <f>IF(OR(U71="",V71=""),"",U71+V71)</f>
        <v/>
      </c>
      <c r="X71" s="25">
        <f>IF(W71="","",U71/W71)</f>
        <v/>
      </c>
      <c r="Y71" s="25">
        <f>IF(W71="","",V71/W71)</f>
        <v/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19">
        <f>IF(G72="","",E72/G72)</f>
        <v/>
      </c>
      <c r="I72" s="19">
        <f>IF(G72="","",F72/G72)</f>
        <v/>
      </c>
      <c r="J72" s="26">
        <f>IFERROR(IF(OR(E72="",INDEX(E:E,MATCH(DATE(YEAR($A72)-1,MONTH($A72),DAY($A72)),$A:$A,0))=""),"",E72/INDEX(E:E,MATCH(DATE(YEAR($A72)-1,MONTH($A72),DAY($A72)),$A:$A,0))-1),"")</f>
        <v/>
      </c>
      <c r="K72" s="19">
        <f>IFERROR(IF(OR(F72="",INDEX(F:F,MATCH(DATE(YEAR($A72)-1,MONTH($A72),DAY($A72)),$A:$A,0))=""),"",F72/INDEX(F:F,MATCH(DATE(YEAR($A72)-1,MONTH($A72),DAY($A72)),$A:$A,0))-1),"")</f>
        <v/>
      </c>
      <c r="L72" s="19">
        <f>IFERROR(IF(OR(G72="",INDEX(G:G,MATCH(DATE(YEAR($A72)-1,MONTH($A72),DAY($A72)),$A:$A,0))=""),"",G72/INDEX(G:G,MATCH(DATE(YEAR($A72)-1,MONTH($A72),DAY($A72)),$A:$A,0))-1),"")</f>
        <v/>
      </c>
      <c r="M72" s="19">
        <f>IF(OR(E72="",E71=""),"",E72/E71-1)</f>
        <v/>
      </c>
      <c r="N72" s="19">
        <f>IF(OR(F72="",F71=""),"",F72/F71-1)</f>
        <v/>
      </c>
      <c r="O72" s="19">
        <f>IF(OR(G72="",G71=""),"",G72/G71-1)</f>
        <v/>
      </c>
      <c r="P72" s="22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IF(R72="","",P72/R72)</f>
        <v/>
      </c>
      <c r="T72" s="23">
        <f>IF(R72="","",Q72/R72)</f>
        <v/>
      </c>
      <c r="U72" s="24">
        <f>IF(SUMIFS('Daily NSE Equity Options'!$M:$M,'Daily NSE Equity Options'!$A:$A,$A72)=0,"",SUMIFS('Daily NSE Equity Options'!$M:$M,'Daily NSE Equity Options'!$A:$A,$A72))</f>
        <v/>
      </c>
      <c r="V72" s="9">
        <f>IF(SUMIFS('Daily BSE Equity Options'!$M:$M,'Daily BSE Equity Options'!$A:$A,$A72)=0,"",SUMIFS('Daily BSE Equity Options'!$M:$M,'Daily BSE Equity Options'!$A:$A,$A72))</f>
        <v/>
      </c>
      <c r="W72" s="9">
        <f>IF(OR(U72="",V72=""),"",U72+V72)</f>
        <v/>
      </c>
      <c r="X72" s="25">
        <f>IF(W72="","",U72/W72)</f>
        <v/>
      </c>
      <c r="Y72" s="25">
        <f>IF(W72="","",V72/W72)</f>
        <v/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19">
        <f>IF(G73="","",E73/G73)</f>
        <v/>
      </c>
      <c r="I73" s="19">
        <f>IF(G73="","",F73/G73)</f>
        <v/>
      </c>
      <c r="J73" s="26">
        <f>IFERROR(IF(OR(E73="",INDEX(E:E,MATCH(DATE(YEAR($A73)-1,MONTH($A73),DAY($A73)),$A:$A,0))=""),"",E73/INDEX(E:E,MATCH(DATE(YEAR($A73)-1,MONTH($A73),DAY($A73)),$A:$A,0))-1),"")</f>
        <v/>
      </c>
      <c r="K73" s="19">
        <f>IFERROR(IF(OR(F73="",INDEX(F:F,MATCH(DATE(YEAR($A73)-1,MONTH($A73),DAY($A73)),$A:$A,0))=""),"",F73/INDEX(F:F,MATCH(DATE(YEAR($A73)-1,MONTH($A73),DAY($A73)),$A:$A,0))-1),"")</f>
        <v/>
      </c>
      <c r="L73" s="19">
        <f>IFERROR(IF(OR(G73="",INDEX(G:G,MATCH(DATE(YEAR($A73)-1,MONTH($A73),DAY($A73)),$A:$A,0))=""),"",G73/INDEX(G:G,MATCH(DATE(YEAR($A73)-1,MONTH($A73),DAY($A73)),$A:$A,0))-1),"")</f>
        <v/>
      </c>
      <c r="M73" s="19">
        <f>IF(OR(E73="",E72=""),"",E73/E72-1)</f>
        <v/>
      </c>
      <c r="N73" s="19">
        <f>IF(OR(F73="",F72=""),"",F73/F72-1)</f>
        <v/>
      </c>
      <c r="O73" s="19">
        <f>IF(OR(G73="",G72=""),"",G73/G72-1)</f>
        <v/>
      </c>
      <c r="P73" s="22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IF(R73="","",P73/R73)</f>
        <v/>
      </c>
      <c r="T73" s="23">
        <f>IF(R73="","",Q73/R73)</f>
        <v/>
      </c>
      <c r="U73" s="24">
        <f>IF(SUMIFS('Daily NSE Equity Options'!$M:$M,'Daily NSE Equity Options'!$A:$A,$A73)=0,"",SUMIFS('Daily NSE Equity Options'!$M:$M,'Daily NSE Equity Options'!$A:$A,$A73))</f>
        <v/>
      </c>
      <c r="V73" s="9">
        <f>IF(SUMIFS('Daily BSE Equity Options'!$M:$M,'Daily BSE Equity Options'!$A:$A,$A73)=0,"",SUMIFS('Daily BSE Equity Options'!$M:$M,'Daily BSE Equity Options'!$A:$A,$A73))</f>
        <v/>
      </c>
      <c r="W73" s="9">
        <f>IF(OR(U73="",V73=""),"",U73+V73)</f>
        <v/>
      </c>
      <c r="X73" s="25">
        <f>IF(W73="","",U73/W73)</f>
        <v/>
      </c>
      <c r="Y73" s="25">
        <f>IF(W73="","",V73/W73)</f>
        <v/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19">
        <f>IF(G74="","",E74/G74)</f>
        <v/>
      </c>
      <c r="I74" s="19">
        <f>IF(G74="","",F74/G74)</f>
        <v/>
      </c>
      <c r="J74" s="26">
        <f>IFERROR(IF(OR(E74="",INDEX(E:E,MATCH(DATE(YEAR($A74)-1,MONTH($A74),DAY($A74)),$A:$A,0))=""),"",E74/INDEX(E:E,MATCH(DATE(YEAR($A74)-1,MONTH($A74),DAY($A74)),$A:$A,0))-1),"")</f>
        <v/>
      </c>
      <c r="K74" s="19">
        <f>IFERROR(IF(OR(F74="",INDEX(F:F,MATCH(DATE(YEAR($A74)-1,MONTH($A74),DAY($A74)),$A:$A,0))=""),"",F74/INDEX(F:F,MATCH(DATE(YEAR($A74)-1,MONTH($A74),DAY($A74)),$A:$A,0))-1),"")</f>
        <v/>
      </c>
      <c r="L74" s="19">
        <f>IFERROR(IF(OR(G74="",INDEX(G:G,MATCH(DATE(YEAR($A74)-1,MONTH($A74),DAY($A74)),$A:$A,0))=""),"",G74/INDEX(G:G,MATCH(DATE(YEAR($A74)-1,MONTH($A74),DAY($A74)),$A:$A,0))-1),"")</f>
        <v/>
      </c>
      <c r="M74" s="19">
        <f>IF(OR(E74="",E73=""),"",E74/E73-1)</f>
        <v/>
      </c>
      <c r="N74" s="19">
        <f>IF(OR(F74="",F73=""),"",F74/F73-1)</f>
        <v/>
      </c>
      <c r="O74" s="19">
        <f>IF(OR(G74="",G73=""),"",G74/G73-1)</f>
        <v/>
      </c>
      <c r="P74" s="22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IF(R74="","",P74/R74)</f>
        <v/>
      </c>
      <c r="T74" s="23">
        <f>IF(R74="","",Q74/R74)</f>
        <v/>
      </c>
      <c r="U74" s="24">
        <f>IF(SUMIFS('Daily NSE Equity Options'!$M:$M,'Daily NSE Equity Options'!$A:$A,$A74)=0,"",SUMIFS('Daily NSE Equity Options'!$M:$M,'Daily NSE Equity Options'!$A:$A,$A74))</f>
        <v/>
      </c>
      <c r="V74" s="9">
        <f>IF(SUMIFS('Daily BSE Equity Options'!$M:$M,'Daily BSE Equity Options'!$A:$A,$A74)=0,"",SUMIFS('Daily BSE Equity Options'!$M:$M,'Daily BSE Equity Options'!$A:$A,$A74))</f>
        <v/>
      </c>
      <c r="W74" s="9">
        <f>IF(OR(U74="",V74=""),"",U74+V74)</f>
        <v/>
      </c>
      <c r="X74" s="25">
        <f>IF(W74="","",U74/W74)</f>
        <v/>
      </c>
      <c r="Y74" s="25">
        <f>IF(W74="","",V74/W74)</f>
        <v/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19">
        <f>IF(G75="","",E75/G75)</f>
        <v/>
      </c>
      <c r="I75" s="19">
        <f>IF(G75="","",F75/G75)</f>
        <v/>
      </c>
      <c r="J75" s="26">
        <f>IFERROR(IF(OR(E75="",INDEX(E:E,MATCH(DATE(YEAR($A75)-1,MONTH($A75),DAY($A75)),$A:$A,0))=""),"",E75/INDEX(E:E,MATCH(DATE(YEAR($A75)-1,MONTH($A75),DAY($A75)),$A:$A,0))-1),"")</f>
        <v/>
      </c>
      <c r="K75" s="19">
        <f>IFERROR(IF(OR(F75="",INDEX(F:F,MATCH(DATE(YEAR($A75)-1,MONTH($A75),DAY($A75)),$A:$A,0))=""),"",F75/INDEX(F:F,MATCH(DATE(YEAR($A75)-1,MONTH($A75),DAY($A75)),$A:$A,0))-1),"")</f>
        <v/>
      </c>
      <c r="L75" s="19">
        <f>IFERROR(IF(OR(G75="",INDEX(G:G,MATCH(DATE(YEAR($A75)-1,MONTH($A75),DAY($A75)),$A:$A,0))=""),"",G75/INDEX(G:G,MATCH(DATE(YEAR($A75)-1,MONTH($A75),DAY($A75)),$A:$A,0))-1),"")</f>
        <v/>
      </c>
      <c r="M75" s="19">
        <f>IF(OR(E75="",E74=""),"",E75/E74-1)</f>
        <v/>
      </c>
      <c r="N75" s="19">
        <f>IF(OR(F75="",F74=""),"",F75/F74-1)</f>
        <v/>
      </c>
      <c r="O75" s="19">
        <f>IF(OR(G75="",G74=""),"",G75/G74-1)</f>
        <v/>
      </c>
      <c r="P75" s="22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IF(R75="","",P75/R75)</f>
        <v/>
      </c>
      <c r="T75" s="23">
        <f>IF(R75="","",Q75/R75)</f>
        <v/>
      </c>
      <c r="U75" s="24">
        <f>IF(SUMIFS('Daily NSE Equity Options'!$M:$M,'Daily NSE Equity Options'!$A:$A,$A75)=0,"",SUMIFS('Daily NSE Equity Options'!$M:$M,'Daily NSE Equity Options'!$A:$A,$A75))</f>
        <v/>
      </c>
      <c r="V75" s="9">
        <f>IF(SUMIFS('Daily BSE Equity Options'!$M:$M,'Daily BSE Equity Options'!$A:$A,$A75)=0,"",SUMIFS('Daily BSE Equity Options'!$M:$M,'Daily BSE Equity Options'!$A:$A,$A75))</f>
        <v/>
      </c>
      <c r="W75" s="9">
        <f>IF(OR(U75="",V75=""),"",U75+V75)</f>
        <v/>
      </c>
      <c r="X75" s="25">
        <f>IF(W75="","",U75/W75)</f>
        <v/>
      </c>
      <c r="Y75" s="25">
        <f>IF(W75="","",V75/W75)</f>
        <v/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19">
        <f>IF(G76="","",E76/G76)</f>
        <v/>
      </c>
      <c r="I76" s="19">
        <f>IF(G76="","",F76/G76)</f>
        <v/>
      </c>
      <c r="J76" s="26">
        <f>IFERROR(IF(OR(E76="",INDEX(E:E,MATCH(DATE(YEAR($A76)-1,MONTH($A76),DAY($A76)),$A:$A,0))=""),"",E76/INDEX(E:E,MATCH(DATE(YEAR($A76)-1,MONTH($A76),DAY($A76)),$A:$A,0))-1),"")</f>
        <v/>
      </c>
      <c r="K76" s="19">
        <f>IFERROR(IF(OR(F76="",INDEX(F:F,MATCH(DATE(YEAR($A76)-1,MONTH($A76),DAY($A76)),$A:$A,0))=""),"",F76/INDEX(F:F,MATCH(DATE(YEAR($A76)-1,MONTH($A76),DAY($A76)),$A:$A,0))-1),"")</f>
        <v/>
      </c>
      <c r="L76" s="19">
        <f>IFERROR(IF(OR(G76="",INDEX(G:G,MATCH(DATE(YEAR($A76)-1,MONTH($A76),DAY($A76)),$A:$A,0))=""),"",G76/INDEX(G:G,MATCH(DATE(YEAR($A76)-1,MONTH($A76),DAY($A76)),$A:$A,0))-1),"")</f>
        <v/>
      </c>
      <c r="M76" s="19">
        <f>IF(OR(E76="",E75=""),"",E76/E75-1)</f>
        <v/>
      </c>
      <c r="N76" s="19">
        <f>IF(OR(F76="",F75=""),"",F76/F75-1)</f>
        <v/>
      </c>
      <c r="O76" s="19">
        <f>IF(OR(G76="",G75=""),"",G76/G75-1)</f>
        <v/>
      </c>
      <c r="P76" s="22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IF(R76="","",P76/R76)</f>
        <v/>
      </c>
      <c r="T76" s="23">
        <f>IF(R76="","",Q76/R76)</f>
        <v/>
      </c>
      <c r="U76" s="24">
        <f>IF(SUMIFS('Daily NSE Equity Options'!$M:$M,'Daily NSE Equity Options'!$A:$A,$A76)=0,"",SUMIFS('Daily NSE Equity Options'!$M:$M,'Daily NSE Equity Options'!$A:$A,$A76))</f>
        <v/>
      </c>
      <c r="V76" s="9">
        <f>IF(SUMIFS('Daily BSE Equity Options'!$M:$M,'Daily BSE Equity Options'!$A:$A,$A76)=0,"",SUMIFS('Daily BSE Equity Options'!$M:$M,'Daily BSE Equity Options'!$A:$A,$A76))</f>
        <v/>
      </c>
      <c r="W76" s="9">
        <f>IF(OR(U76="",V76=""),"",U76+V76)</f>
        <v/>
      </c>
      <c r="X76" s="25">
        <f>IF(W76="","",U76/W76)</f>
        <v/>
      </c>
      <c r="Y76" s="25">
        <f>IF(W76="","",V76/W76)</f>
        <v/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19">
        <f>IF(G77="","",E77/G77)</f>
        <v/>
      </c>
      <c r="I77" s="19">
        <f>IF(G77="","",F77/G77)</f>
        <v/>
      </c>
      <c r="J77" s="26">
        <f>IFERROR(IF(OR(E77="",INDEX(E:E,MATCH(DATE(YEAR($A77)-1,MONTH($A77),DAY($A77)),$A:$A,0))=""),"",E77/INDEX(E:E,MATCH(DATE(YEAR($A77)-1,MONTH($A77),DAY($A77)),$A:$A,0))-1),"")</f>
        <v/>
      </c>
      <c r="K77" s="19">
        <f>IFERROR(IF(OR(F77="",INDEX(F:F,MATCH(DATE(YEAR($A77)-1,MONTH($A77),DAY($A77)),$A:$A,0))=""),"",F77/INDEX(F:F,MATCH(DATE(YEAR($A77)-1,MONTH($A77),DAY($A77)),$A:$A,0))-1),"")</f>
        <v/>
      </c>
      <c r="L77" s="19">
        <f>IFERROR(IF(OR(G77="",INDEX(G:G,MATCH(DATE(YEAR($A77)-1,MONTH($A77),DAY($A77)),$A:$A,0))=""),"",G77/INDEX(G:G,MATCH(DATE(YEAR($A77)-1,MONTH($A77),DAY($A77)),$A:$A,0))-1),"")</f>
        <v/>
      </c>
      <c r="M77" s="19">
        <f>IF(OR(E77="",E76=""),"",E77/E76-1)</f>
        <v/>
      </c>
      <c r="N77" s="19">
        <f>IF(OR(F77="",F76=""),"",F77/F76-1)</f>
        <v/>
      </c>
      <c r="O77" s="19">
        <f>IF(OR(G77="",G76=""),"",G77/G76-1)</f>
        <v/>
      </c>
      <c r="P77" s="22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IF(R77="","",P77/R77)</f>
        <v/>
      </c>
      <c r="T77" s="23">
        <f>IF(R77="","",Q77/R77)</f>
        <v/>
      </c>
      <c r="U77" s="24">
        <f>IF(SUMIFS('Daily NSE Equity Options'!$M:$M,'Daily NSE Equity Options'!$A:$A,$A77)=0,"",SUMIFS('Daily NSE Equity Options'!$M:$M,'Daily NSE Equity Options'!$A:$A,$A77))</f>
        <v/>
      </c>
      <c r="V77" s="9">
        <f>IF(SUMIFS('Daily BSE Equity Options'!$M:$M,'Daily BSE Equity Options'!$A:$A,$A77)=0,"",SUMIFS('Daily BSE Equity Options'!$M:$M,'Daily BSE Equity Options'!$A:$A,$A77))</f>
        <v/>
      </c>
      <c r="W77" s="9">
        <f>IF(OR(U77="",V77=""),"",U77+V77)</f>
        <v/>
      </c>
      <c r="X77" s="25">
        <f>IF(W77="","",U77/W77)</f>
        <v/>
      </c>
      <c r="Y77" s="25">
        <f>IF(W77="","",V77/W77)</f>
        <v/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19">
        <f>IF(G78="","",E78/G78)</f>
        <v/>
      </c>
      <c r="I78" s="19">
        <f>IF(G78="","",F78/G78)</f>
        <v/>
      </c>
      <c r="J78" s="26">
        <f>IFERROR(IF(OR(E78="",INDEX(E:E,MATCH(DATE(YEAR($A78)-1,MONTH($A78),DAY($A78)),$A:$A,0))=""),"",E78/INDEX(E:E,MATCH(DATE(YEAR($A78)-1,MONTH($A78),DAY($A78)),$A:$A,0))-1),"")</f>
        <v/>
      </c>
      <c r="K78" s="19">
        <f>IFERROR(IF(OR(F78="",INDEX(F:F,MATCH(DATE(YEAR($A78)-1,MONTH($A78),DAY($A78)),$A:$A,0))=""),"",F78/INDEX(F:F,MATCH(DATE(YEAR($A78)-1,MONTH($A78),DAY($A78)),$A:$A,0))-1),"")</f>
        <v/>
      </c>
      <c r="L78" s="19">
        <f>IFERROR(IF(OR(G78="",INDEX(G:G,MATCH(DATE(YEAR($A78)-1,MONTH($A78),DAY($A78)),$A:$A,0))=""),"",G78/INDEX(G:G,MATCH(DATE(YEAR($A78)-1,MONTH($A78),DAY($A78)),$A:$A,0))-1),"")</f>
        <v/>
      </c>
      <c r="M78" s="19">
        <f>IF(OR(E78="",E77=""),"",E78/E77-1)</f>
        <v/>
      </c>
      <c r="N78" s="19">
        <f>IF(OR(F78="",F77=""),"",F78/F77-1)</f>
        <v/>
      </c>
      <c r="O78" s="19">
        <f>IF(OR(G78="",G77=""),"",G78/G77-1)</f>
        <v/>
      </c>
      <c r="P78" s="22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IF(R78="","",P78/R78)</f>
        <v/>
      </c>
      <c r="T78" s="23">
        <f>IF(R78="","",Q78/R78)</f>
        <v/>
      </c>
      <c r="U78" s="24">
        <f>IF(SUMIFS('Daily NSE Equity Options'!$M:$M,'Daily NSE Equity Options'!$A:$A,$A78)=0,"",SUMIFS('Daily NSE Equity Options'!$M:$M,'Daily NSE Equity Options'!$A:$A,$A78))</f>
        <v/>
      </c>
      <c r="V78" s="9">
        <f>IF(SUMIFS('Daily BSE Equity Options'!$M:$M,'Daily BSE Equity Options'!$A:$A,$A78)=0,"",SUMIFS('Daily BSE Equity Options'!$M:$M,'Daily BSE Equity Options'!$A:$A,$A78))</f>
        <v/>
      </c>
      <c r="W78" s="9">
        <f>IF(OR(U78="",V78=""),"",U78+V78)</f>
        <v/>
      </c>
      <c r="X78" s="25">
        <f>IF(W78="","",U78/W78)</f>
        <v/>
      </c>
      <c r="Y78" s="25">
        <f>IF(W78="","",V78/W78)</f>
        <v/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19">
        <f>IF(G79="","",E79/G79)</f>
        <v/>
      </c>
      <c r="I79" s="19">
        <f>IF(G79="","",F79/G79)</f>
        <v/>
      </c>
      <c r="J79" s="26">
        <f>IFERROR(IF(OR(E79="",INDEX(E:E,MATCH(DATE(YEAR($A79)-1,MONTH($A79),DAY($A79)),$A:$A,0))=""),"",E79/INDEX(E:E,MATCH(DATE(YEAR($A79)-1,MONTH($A79),DAY($A79)),$A:$A,0))-1),"")</f>
        <v/>
      </c>
      <c r="K79" s="19">
        <f>IFERROR(IF(OR(F79="",INDEX(F:F,MATCH(DATE(YEAR($A79)-1,MONTH($A79),DAY($A79)),$A:$A,0))=""),"",F79/INDEX(F:F,MATCH(DATE(YEAR($A79)-1,MONTH($A79),DAY($A79)),$A:$A,0))-1),"")</f>
        <v/>
      </c>
      <c r="L79" s="19">
        <f>IFERROR(IF(OR(G79="",INDEX(G:G,MATCH(DATE(YEAR($A79)-1,MONTH($A79),DAY($A79)),$A:$A,0))=""),"",G79/INDEX(G:G,MATCH(DATE(YEAR($A79)-1,MONTH($A79),DAY($A79)),$A:$A,0))-1),"")</f>
        <v/>
      </c>
      <c r="M79" s="19">
        <f>IF(OR(E79="",E78=""),"",E79/E78-1)</f>
        <v/>
      </c>
      <c r="N79" s="19">
        <f>IF(OR(F79="",F78=""),"",F79/F78-1)</f>
        <v/>
      </c>
      <c r="O79" s="19">
        <f>IF(OR(G79="",G78=""),"",G79/G78-1)</f>
        <v/>
      </c>
      <c r="P79" s="22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IF(R79="","",P79/R79)</f>
        <v/>
      </c>
      <c r="T79" s="23">
        <f>IF(R79="","",Q79/R79)</f>
        <v/>
      </c>
      <c r="U79" s="24">
        <f>IF(SUMIFS('Daily NSE Equity Options'!$M:$M,'Daily NSE Equity Options'!$A:$A,$A79)=0,"",SUMIFS('Daily NSE Equity Options'!$M:$M,'Daily NSE Equity Options'!$A:$A,$A79))</f>
        <v/>
      </c>
      <c r="V79" s="9">
        <f>IF(SUMIFS('Daily BSE Equity Options'!$M:$M,'Daily BSE Equity Options'!$A:$A,$A79)=0,"",SUMIFS('Daily BSE Equity Options'!$M:$M,'Daily BSE Equity Options'!$A:$A,$A79))</f>
        <v/>
      </c>
      <c r="W79" s="9">
        <f>IF(OR(U79="",V79=""),"",U79+V79)</f>
        <v/>
      </c>
      <c r="X79" s="25">
        <f>IF(W79="","",U79/W79)</f>
        <v/>
      </c>
      <c r="Y79" s="25">
        <f>IF(W79="","",V79/W79)</f>
        <v/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19">
        <f>IF(G80="","",E80/G80)</f>
        <v/>
      </c>
      <c r="I80" s="19">
        <f>IF(G80="","",F80/G80)</f>
        <v/>
      </c>
      <c r="J80" s="26">
        <f>IFERROR(IF(OR(E80="",INDEX(E:E,MATCH(DATE(YEAR($A80)-1,MONTH($A80),DAY($A80)),$A:$A,0))=""),"",E80/INDEX(E:E,MATCH(DATE(YEAR($A80)-1,MONTH($A80),DAY($A80)),$A:$A,0))-1),"")</f>
        <v/>
      </c>
      <c r="K80" s="19">
        <f>IFERROR(IF(OR(F80="",INDEX(F:F,MATCH(DATE(YEAR($A80)-1,MONTH($A80),DAY($A80)),$A:$A,0))=""),"",F80/INDEX(F:F,MATCH(DATE(YEAR($A80)-1,MONTH($A80),DAY($A80)),$A:$A,0))-1),"")</f>
        <v/>
      </c>
      <c r="L80" s="19">
        <f>IFERROR(IF(OR(G80="",INDEX(G:G,MATCH(DATE(YEAR($A80)-1,MONTH($A80),DAY($A80)),$A:$A,0))=""),"",G80/INDEX(G:G,MATCH(DATE(YEAR($A80)-1,MONTH($A80),DAY($A80)),$A:$A,0))-1),"")</f>
        <v/>
      </c>
      <c r="M80" s="19">
        <f>IF(OR(E80="",E79=""),"",E80/E79-1)</f>
        <v/>
      </c>
      <c r="N80" s="19">
        <f>IF(OR(F80="",F79=""),"",F80/F79-1)</f>
        <v/>
      </c>
      <c r="O80" s="19">
        <f>IF(OR(G80="",G79=""),"",G80/G79-1)</f>
        <v/>
      </c>
      <c r="P80" s="22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IF(R80="","",P80/R80)</f>
        <v/>
      </c>
      <c r="T80" s="23">
        <f>IF(R80="","",Q80/R80)</f>
        <v/>
      </c>
      <c r="U80" s="24">
        <f>IF(SUMIFS('Daily NSE Equity Options'!$M:$M,'Daily NSE Equity Options'!$A:$A,$A80)=0,"",SUMIFS('Daily NSE Equity Options'!$M:$M,'Daily NSE Equity Options'!$A:$A,$A80))</f>
        <v/>
      </c>
      <c r="V80" s="9">
        <f>IF(SUMIFS('Daily BSE Equity Options'!$M:$M,'Daily BSE Equity Options'!$A:$A,$A80)=0,"",SUMIFS('Daily BSE Equity Options'!$M:$M,'Daily BSE Equity Options'!$A:$A,$A80))</f>
        <v/>
      </c>
      <c r="W80" s="9">
        <f>IF(OR(U80="",V80=""),"",U80+V80)</f>
        <v/>
      </c>
      <c r="X80" s="25">
        <f>IF(W80="","",U80/W80)</f>
        <v/>
      </c>
      <c r="Y80" s="25">
        <f>IF(W80="","",V80/W80)</f>
        <v/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19">
        <f>IF(G81="","",E81/G81)</f>
        <v/>
      </c>
      <c r="I81" s="19">
        <f>IF(G81="","",F81/G81)</f>
        <v/>
      </c>
      <c r="J81" s="26">
        <f>IFERROR(IF(OR(E81="",INDEX(E:E,MATCH(DATE(YEAR($A81)-1,MONTH($A81),DAY($A81)),$A:$A,0))=""),"",E81/INDEX(E:E,MATCH(DATE(YEAR($A81)-1,MONTH($A81),DAY($A81)),$A:$A,0))-1),"")</f>
        <v/>
      </c>
      <c r="K81" s="19">
        <f>IFERROR(IF(OR(F81="",INDEX(F:F,MATCH(DATE(YEAR($A81)-1,MONTH($A81),DAY($A81)),$A:$A,0))=""),"",F81/INDEX(F:F,MATCH(DATE(YEAR($A81)-1,MONTH($A81),DAY($A81)),$A:$A,0))-1),"")</f>
        <v/>
      </c>
      <c r="L81" s="19">
        <f>IFERROR(IF(OR(G81="",INDEX(G:G,MATCH(DATE(YEAR($A81)-1,MONTH($A81),DAY($A81)),$A:$A,0))=""),"",G81/INDEX(G:G,MATCH(DATE(YEAR($A81)-1,MONTH($A81),DAY($A81)),$A:$A,0))-1),"")</f>
        <v/>
      </c>
      <c r="M81" s="19">
        <f>IF(OR(E81="",E80=""),"",E81/E80-1)</f>
        <v/>
      </c>
      <c r="N81" s="19">
        <f>IF(OR(F81="",F80=""),"",F81/F80-1)</f>
        <v/>
      </c>
      <c r="O81" s="19">
        <f>IF(OR(G81="",G80=""),"",G81/G80-1)</f>
        <v/>
      </c>
      <c r="P81" s="22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IF(R81="","",P81/R81)</f>
        <v/>
      </c>
      <c r="T81" s="23">
        <f>IF(R81="","",Q81/R81)</f>
        <v/>
      </c>
      <c r="U81" s="24">
        <f>IF(SUMIFS('Daily NSE Equity Options'!$M:$M,'Daily NSE Equity Options'!$A:$A,$A81)=0,"",SUMIFS('Daily NSE Equity Options'!$M:$M,'Daily NSE Equity Options'!$A:$A,$A81))</f>
        <v/>
      </c>
      <c r="V81" s="9">
        <f>IF(SUMIFS('Daily BSE Equity Options'!$M:$M,'Daily BSE Equity Options'!$A:$A,$A81)=0,"",SUMIFS('Daily BSE Equity Options'!$M:$M,'Daily BSE Equity Options'!$A:$A,$A81))</f>
        <v/>
      </c>
      <c r="W81" s="9">
        <f>IF(OR(U81="",V81=""),"",U81+V81)</f>
        <v/>
      </c>
      <c r="X81" s="25">
        <f>IF(W81="","",U81/W81)</f>
        <v/>
      </c>
      <c r="Y81" s="25">
        <f>IF(W81="","",V81/W81)</f>
        <v/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19">
        <f>IF(G82="","",E82/G82)</f>
        <v/>
      </c>
      <c r="I82" s="19">
        <f>IF(G82="","",F82/G82)</f>
        <v/>
      </c>
      <c r="J82" s="26">
        <f>IFERROR(IF(OR(E82="",INDEX(E:E,MATCH(DATE(YEAR($A82)-1,MONTH($A82),DAY($A82)),$A:$A,0))=""),"",E82/INDEX(E:E,MATCH(DATE(YEAR($A82)-1,MONTH($A82),DAY($A82)),$A:$A,0))-1),"")</f>
        <v/>
      </c>
      <c r="K82" s="19">
        <f>IFERROR(IF(OR(F82="",INDEX(F:F,MATCH(DATE(YEAR($A82)-1,MONTH($A82),DAY($A82)),$A:$A,0))=""),"",F82/INDEX(F:F,MATCH(DATE(YEAR($A82)-1,MONTH($A82),DAY($A82)),$A:$A,0))-1),"")</f>
        <v/>
      </c>
      <c r="L82" s="19">
        <f>IFERROR(IF(OR(G82="",INDEX(G:G,MATCH(DATE(YEAR($A82)-1,MONTH($A82),DAY($A82)),$A:$A,0))=""),"",G82/INDEX(G:G,MATCH(DATE(YEAR($A82)-1,MONTH($A82),DAY($A82)),$A:$A,0))-1),"")</f>
        <v/>
      </c>
      <c r="M82" s="19">
        <f>IF(OR(E82="",E81=""),"",E82/E81-1)</f>
        <v/>
      </c>
      <c r="N82" s="19">
        <f>IF(OR(F82="",F81=""),"",F82/F81-1)</f>
        <v/>
      </c>
      <c r="O82" s="19">
        <f>IF(OR(G82="",G81=""),"",G82/G81-1)</f>
        <v/>
      </c>
      <c r="P82" s="22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IF(R82="","",P82/R82)</f>
        <v/>
      </c>
      <c r="T82" s="23">
        <f>IF(R82="","",Q82/R82)</f>
        <v/>
      </c>
      <c r="U82" s="24">
        <f>IF(SUMIFS('Daily NSE Equity Options'!$M:$M,'Daily NSE Equity Options'!$A:$A,$A82)=0,"",SUMIFS('Daily NSE Equity Options'!$M:$M,'Daily NSE Equity Options'!$A:$A,$A82))</f>
        <v/>
      </c>
      <c r="V82" s="9">
        <f>IF(SUMIFS('Daily BSE Equity Options'!$M:$M,'Daily BSE Equity Options'!$A:$A,$A82)=0,"",SUMIFS('Daily BSE Equity Options'!$M:$M,'Daily BSE Equity Options'!$A:$A,$A82))</f>
        <v/>
      </c>
      <c r="W82" s="9">
        <f>IF(OR(U82="",V82=""),"",U82+V82)</f>
        <v/>
      </c>
      <c r="X82" s="25">
        <f>IF(W82="","",U82/W82)</f>
        <v/>
      </c>
      <c r="Y82" s="25">
        <f>IF(W82="","",V82/W82)</f>
        <v/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19">
        <f>IF(G83="","",E83/G83)</f>
        <v/>
      </c>
      <c r="I83" s="19">
        <f>IF(G83="","",F83/G83)</f>
        <v/>
      </c>
      <c r="J83" s="26">
        <f>IFERROR(IF(OR(E83="",INDEX(E:E,MATCH(DATE(YEAR($A83)-1,MONTH($A83),DAY($A83)),$A:$A,0))=""),"",E83/INDEX(E:E,MATCH(DATE(YEAR($A83)-1,MONTH($A83),DAY($A83)),$A:$A,0))-1),"")</f>
        <v/>
      </c>
      <c r="K83" s="19">
        <f>IFERROR(IF(OR(F83="",INDEX(F:F,MATCH(DATE(YEAR($A83)-1,MONTH($A83),DAY($A83)),$A:$A,0))=""),"",F83/INDEX(F:F,MATCH(DATE(YEAR($A83)-1,MONTH($A83),DAY($A83)),$A:$A,0))-1),"")</f>
        <v/>
      </c>
      <c r="L83" s="19">
        <f>IFERROR(IF(OR(G83="",INDEX(G:G,MATCH(DATE(YEAR($A83)-1,MONTH($A83),DAY($A83)),$A:$A,0))=""),"",G83/INDEX(G:G,MATCH(DATE(YEAR($A83)-1,MONTH($A83),DAY($A83)),$A:$A,0))-1),"")</f>
        <v/>
      </c>
      <c r="M83" s="19">
        <f>IF(OR(E83="",E82=""),"",E83/E82-1)</f>
        <v/>
      </c>
      <c r="N83" s="19">
        <f>IF(OR(F83="",F82=""),"",F83/F82-1)</f>
        <v/>
      </c>
      <c r="O83" s="19">
        <f>IF(OR(G83="",G82=""),"",G83/G82-1)</f>
        <v/>
      </c>
      <c r="P83" s="22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IF(R83="","",P83/R83)</f>
        <v/>
      </c>
      <c r="T83" s="23">
        <f>IF(R83="","",Q83/R83)</f>
        <v/>
      </c>
      <c r="U83" s="24">
        <f>IF(SUMIFS('Daily NSE Equity Options'!$M:$M,'Daily NSE Equity Options'!$A:$A,$A83)=0,"",SUMIFS('Daily NSE Equity Options'!$M:$M,'Daily NSE Equity Options'!$A:$A,$A83))</f>
        <v/>
      </c>
      <c r="V83" s="9">
        <f>IF(SUMIFS('Daily BSE Equity Options'!$M:$M,'Daily BSE Equity Options'!$A:$A,$A83)=0,"",SUMIFS('Daily BSE Equity Options'!$M:$M,'Daily BSE Equity Options'!$A:$A,$A83))</f>
        <v/>
      </c>
      <c r="W83" s="9">
        <f>IF(OR(U83="",V83=""),"",U83+V83)</f>
        <v/>
      </c>
      <c r="X83" s="25">
        <f>IF(W83="","",U83/W83)</f>
        <v/>
      </c>
      <c r="Y83" s="25">
        <f>IF(W83="","",V83/W83)</f>
        <v/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19">
        <f>IF(G84="","",E84/G84)</f>
        <v/>
      </c>
      <c r="I84" s="19">
        <f>IF(G84="","",F84/G84)</f>
        <v/>
      </c>
      <c r="J84" s="26">
        <f>IFERROR(IF(OR(E84="",INDEX(E:E,MATCH(DATE(YEAR($A84)-1,MONTH($A84),DAY($A84)),$A:$A,0))=""),"",E84/INDEX(E:E,MATCH(DATE(YEAR($A84)-1,MONTH($A84),DAY($A84)),$A:$A,0))-1),"")</f>
        <v/>
      </c>
      <c r="K84" s="19">
        <f>IFERROR(IF(OR(F84="",INDEX(F:F,MATCH(DATE(YEAR($A84)-1,MONTH($A84),DAY($A84)),$A:$A,0))=""),"",F84/INDEX(F:F,MATCH(DATE(YEAR($A84)-1,MONTH($A84),DAY($A84)),$A:$A,0))-1),"")</f>
        <v/>
      </c>
      <c r="L84" s="19">
        <f>IFERROR(IF(OR(G84="",INDEX(G:G,MATCH(DATE(YEAR($A84)-1,MONTH($A84),DAY($A84)),$A:$A,0))=""),"",G84/INDEX(G:G,MATCH(DATE(YEAR($A84)-1,MONTH($A84),DAY($A84)),$A:$A,0))-1),"")</f>
        <v/>
      </c>
      <c r="M84" s="19">
        <f>IF(OR(E84="",E83=""),"",E84/E83-1)</f>
        <v/>
      </c>
      <c r="N84" s="19">
        <f>IF(OR(F84="",F83=""),"",F84/F83-1)</f>
        <v/>
      </c>
      <c r="O84" s="19">
        <f>IF(OR(G84="",G83=""),"",G84/G83-1)</f>
        <v/>
      </c>
      <c r="P84" s="22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IF(R84="","",P84/R84)</f>
        <v/>
      </c>
      <c r="T84" s="23">
        <f>IF(R84="","",Q84/R84)</f>
        <v/>
      </c>
      <c r="U84" s="24">
        <f>IF(SUMIFS('Daily NSE Equity Options'!$M:$M,'Daily NSE Equity Options'!$A:$A,$A84)=0,"",SUMIFS('Daily NSE Equity Options'!$M:$M,'Daily NSE Equity Options'!$A:$A,$A84))</f>
        <v/>
      </c>
      <c r="V84" s="9">
        <f>IF(SUMIFS('Daily BSE Equity Options'!$M:$M,'Daily BSE Equity Options'!$A:$A,$A84)=0,"",SUMIFS('Daily BSE Equity Options'!$M:$M,'Daily BSE Equity Options'!$A:$A,$A84))</f>
        <v/>
      </c>
      <c r="W84" s="9">
        <f>IF(OR(U84="",V84=""),"",U84+V84)</f>
        <v/>
      </c>
      <c r="X84" s="25">
        <f>IF(W84="","",U84/W84)</f>
        <v/>
      </c>
      <c r="Y84" s="25">
        <f>IF(W84="","",V84/W84)</f>
        <v/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19">
        <f>IF(G85="","",E85/G85)</f>
        <v/>
      </c>
      <c r="I85" s="19">
        <f>IF(G85="","",F85/G85)</f>
        <v/>
      </c>
      <c r="J85" s="26">
        <f>IFERROR(IF(OR(E85="",INDEX(E:E,MATCH(DATE(YEAR($A85)-1,MONTH($A85),DAY($A85)),$A:$A,0))=""),"",E85/INDEX(E:E,MATCH(DATE(YEAR($A85)-1,MONTH($A85),DAY($A85)),$A:$A,0))-1),"")</f>
        <v/>
      </c>
      <c r="K85" s="19">
        <f>IFERROR(IF(OR(F85="",INDEX(F:F,MATCH(DATE(YEAR($A85)-1,MONTH($A85),DAY($A85)),$A:$A,0))=""),"",F85/INDEX(F:F,MATCH(DATE(YEAR($A85)-1,MONTH($A85),DAY($A85)),$A:$A,0))-1),"")</f>
        <v/>
      </c>
      <c r="L85" s="19">
        <f>IFERROR(IF(OR(G85="",INDEX(G:G,MATCH(DATE(YEAR($A85)-1,MONTH($A85),DAY($A85)),$A:$A,0))=""),"",G85/INDEX(G:G,MATCH(DATE(YEAR($A85)-1,MONTH($A85),DAY($A85)),$A:$A,0))-1),"")</f>
        <v/>
      </c>
      <c r="M85" s="19">
        <f>IF(OR(E85="",E84=""),"",E85/E84-1)</f>
        <v/>
      </c>
      <c r="N85" s="19">
        <f>IF(OR(F85="",F84=""),"",F85/F84-1)</f>
        <v/>
      </c>
      <c r="O85" s="19">
        <f>IF(OR(G85="",G84=""),"",G85/G84-1)</f>
        <v/>
      </c>
      <c r="P85" s="22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IF(R85="","",P85/R85)</f>
        <v/>
      </c>
      <c r="T85" s="23">
        <f>IF(R85="","",Q85/R85)</f>
        <v/>
      </c>
      <c r="U85" s="24">
        <f>IF(SUMIFS('Daily NSE Equity Options'!$M:$M,'Daily NSE Equity Options'!$A:$A,$A85)=0,"",SUMIFS('Daily NSE Equity Options'!$M:$M,'Daily NSE Equity Options'!$A:$A,$A85))</f>
        <v/>
      </c>
      <c r="V85" s="9">
        <f>IF(SUMIFS('Daily BSE Equity Options'!$M:$M,'Daily BSE Equity Options'!$A:$A,$A85)=0,"",SUMIFS('Daily BSE Equity Options'!$M:$M,'Daily BSE Equity Options'!$A:$A,$A85))</f>
        <v/>
      </c>
      <c r="W85" s="9">
        <f>IF(OR(U85="",V85=""),"",U85+V85)</f>
        <v/>
      </c>
      <c r="X85" s="25">
        <f>IF(W85="","",U85/W85)</f>
        <v/>
      </c>
      <c r="Y85" s="25">
        <f>IF(W85="","",V85/W85)</f>
        <v/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19">
        <f>IF(G86="","",E86/G86)</f>
        <v/>
      </c>
      <c r="I86" s="19">
        <f>IF(G86="","",F86/G86)</f>
        <v/>
      </c>
      <c r="J86" s="26">
        <f>IFERROR(IF(OR(E86="",INDEX(E:E,MATCH(DATE(YEAR($A86)-1,MONTH($A86),DAY($A86)),$A:$A,0))=""),"",E86/INDEX(E:E,MATCH(DATE(YEAR($A86)-1,MONTH($A86),DAY($A86)),$A:$A,0))-1),"")</f>
        <v/>
      </c>
      <c r="K86" s="19">
        <f>IFERROR(IF(OR(F86="",INDEX(F:F,MATCH(DATE(YEAR($A86)-1,MONTH($A86),DAY($A86)),$A:$A,0))=""),"",F86/INDEX(F:F,MATCH(DATE(YEAR($A86)-1,MONTH($A86),DAY($A86)),$A:$A,0))-1),"")</f>
        <v/>
      </c>
      <c r="L86" s="19">
        <f>IFERROR(IF(OR(G86="",INDEX(G:G,MATCH(DATE(YEAR($A86)-1,MONTH($A86),DAY($A86)),$A:$A,0))=""),"",G86/INDEX(G:G,MATCH(DATE(YEAR($A86)-1,MONTH($A86),DAY($A86)),$A:$A,0))-1),"")</f>
        <v/>
      </c>
      <c r="M86" s="19">
        <f>IF(OR(E86="",E85=""),"",E86/E85-1)</f>
        <v/>
      </c>
      <c r="N86" s="19">
        <f>IF(OR(F86="",F85=""),"",F86/F85-1)</f>
        <v/>
      </c>
      <c r="O86" s="19">
        <f>IF(OR(G86="",G85=""),"",G86/G85-1)</f>
        <v/>
      </c>
      <c r="P86" s="22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IF(R86="","",P86/R86)</f>
        <v/>
      </c>
      <c r="T86" s="23">
        <f>IF(R86="","",Q86/R86)</f>
        <v/>
      </c>
      <c r="U86" s="24">
        <f>IF(SUMIFS('Daily NSE Equity Options'!$M:$M,'Daily NSE Equity Options'!$A:$A,$A86)=0,"",SUMIFS('Daily NSE Equity Options'!$M:$M,'Daily NSE Equity Options'!$A:$A,$A86))</f>
        <v/>
      </c>
      <c r="V86" s="9">
        <f>IF(SUMIFS('Daily BSE Equity Options'!$M:$M,'Daily BSE Equity Options'!$A:$A,$A86)=0,"",SUMIFS('Daily BSE Equity Options'!$M:$M,'Daily BSE Equity Options'!$A:$A,$A86))</f>
        <v/>
      </c>
      <c r="W86" s="9">
        <f>IF(OR(U86="",V86=""),"",U86+V86)</f>
        <v/>
      </c>
      <c r="X86" s="25">
        <f>IF(W86="","",U86/W86)</f>
        <v/>
      </c>
      <c r="Y86" s="25">
        <f>IF(W86="","",V86/W86)</f>
        <v/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19">
        <f>IF(G87="","",E87/G87)</f>
        <v/>
      </c>
      <c r="I87" s="19">
        <f>IF(G87="","",F87/G87)</f>
        <v/>
      </c>
      <c r="J87" s="26">
        <f>IFERROR(IF(OR(E87="",INDEX(E:E,MATCH(DATE(YEAR($A87)-1,MONTH($A87),DAY($A87)),$A:$A,0))=""),"",E87/INDEX(E:E,MATCH(DATE(YEAR($A87)-1,MONTH($A87),DAY($A87)),$A:$A,0))-1),"")</f>
        <v/>
      </c>
      <c r="K87" s="19">
        <f>IFERROR(IF(OR(F87="",INDEX(F:F,MATCH(DATE(YEAR($A87)-1,MONTH($A87),DAY($A87)),$A:$A,0))=""),"",F87/INDEX(F:F,MATCH(DATE(YEAR($A87)-1,MONTH($A87),DAY($A87)),$A:$A,0))-1),"")</f>
        <v/>
      </c>
      <c r="L87" s="19">
        <f>IFERROR(IF(OR(G87="",INDEX(G:G,MATCH(DATE(YEAR($A87)-1,MONTH($A87),DAY($A87)),$A:$A,0))=""),"",G87/INDEX(G:G,MATCH(DATE(YEAR($A87)-1,MONTH($A87),DAY($A87)),$A:$A,0))-1),"")</f>
        <v/>
      </c>
      <c r="M87" s="19">
        <f>IF(OR(E87="",E86=""),"",E87/E86-1)</f>
        <v/>
      </c>
      <c r="N87" s="19">
        <f>IF(OR(F87="",F86=""),"",F87/F86-1)</f>
        <v/>
      </c>
      <c r="O87" s="19">
        <f>IF(OR(G87="",G86=""),"",G87/G86-1)</f>
        <v/>
      </c>
      <c r="P87" s="22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IF(R87="","",P87/R87)</f>
        <v/>
      </c>
      <c r="T87" s="23">
        <f>IF(R87="","",Q87/R87)</f>
        <v/>
      </c>
      <c r="U87" s="24">
        <f>IF(SUMIFS('Daily NSE Equity Options'!$M:$M,'Daily NSE Equity Options'!$A:$A,$A87)=0,"",SUMIFS('Daily NSE Equity Options'!$M:$M,'Daily NSE Equity Options'!$A:$A,$A87))</f>
        <v/>
      </c>
      <c r="V87" s="9">
        <f>IF(SUMIFS('Daily BSE Equity Options'!$M:$M,'Daily BSE Equity Options'!$A:$A,$A87)=0,"",SUMIFS('Daily BSE Equity Options'!$M:$M,'Daily BSE Equity Options'!$A:$A,$A87))</f>
        <v/>
      </c>
      <c r="W87" s="9">
        <f>IF(OR(U87="",V87=""),"",U87+V87)</f>
        <v/>
      </c>
      <c r="X87" s="25">
        <f>IF(W87="","",U87/W87)</f>
        <v/>
      </c>
      <c r="Y87" s="25">
        <f>IF(W87="","",V87/W87)</f>
        <v/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19">
        <f>IF(G88="","",E88/G88)</f>
        <v/>
      </c>
      <c r="I88" s="19">
        <f>IF(G88="","",F88/G88)</f>
        <v/>
      </c>
      <c r="J88" s="26">
        <f>IFERROR(IF(OR(E88="",INDEX(E:E,MATCH(DATE(YEAR($A88)-1,MONTH($A88),DAY($A88)),$A:$A,0))=""),"",E88/INDEX(E:E,MATCH(DATE(YEAR($A88)-1,MONTH($A88),DAY($A88)),$A:$A,0))-1),"")</f>
        <v/>
      </c>
      <c r="K88" s="19">
        <f>IFERROR(IF(OR(F88="",INDEX(F:F,MATCH(DATE(YEAR($A88)-1,MONTH($A88),DAY($A88)),$A:$A,0))=""),"",F88/INDEX(F:F,MATCH(DATE(YEAR($A88)-1,MONTH($A88),DAY($A88)),$A:$A,0))-1),"")</f>
        <v/>
      </c>
      <c r="L88" s="19">
        <f>IFERROR(IF(OR(G88="",INDEX(G:G,MATCH(DATE(YEAR($A88)-1,MONTH($A88),DAY($A88)),$A:$A,0))=""),"",G88/INDEX(G:G,MATCH(DATE(YEAR($A88)-1,MONTH($A88),DAY($A88)),$A:$A,0))-1),"")</f>
        <v/>
      </c>
      <c r="M88" s="19">
        <f>IF(OR(E88="",E87=""),"",E88/E87-1)</f>
        <v/>
      </c>
      <c r="N88" s="19">
        <f>IF(OR(F88="",F87=""),"",F88/F87-1)</f>
        <v/>
      </c>
      <c r="O88" s="19">
        <f>IF(OR(G88="",G87=""),"",G88/G87-1)</f>
        <v/>
      </c>
      <c r="P88" s="22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IF(R88="","",P88/R88)</f>
        <v/>
      </c>
      <c r="T88" s="23">
        <f>IF(R88="","",Q88/R88)</f>
        <v/>
      </c>
      <c r="U88" s="24">
        <f>IF(SUMIFS('Daily NSE Equity Options'!$M:$M,'Daily NSE Equity Options'!$A:$A,$A88)=0,"",SUMIFS('Daily NSE Equity Options'!$M:$M,'Daily NSE Equity Options'!$A:$A,$A88))</f>
        <v/>
      </c>
      <c r="V88" s="9">
        <f>IF(SUMIFS('Daily BSE Equity Options'!$M:$M,'Daily BSE Equity Options'!$A:$A,$A88)=0,"",SUMIFS('Daily BSE Equity Options'!$M:$M,'Daily BSE Equity Options'!$A:$A,$A88))</f>
        <v/>
      </c>
      <c r="W88" s="9">
        <f>IF(OR(U88="",V88=""),"",U88+V88)</f>
        <v/>
      </c>
      <c r="X88" s="25">
        <f>IF(W88="","",U88/W88)</f>
        <v/>
      </c>
      <c r="Y88" s="25">
        <f>IF(W88="","",V88/W88)</f>
        <v/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19">
        <f>IF(G89="","",E89/G89)</f>
        <v/>
      </c>
      <c r="I89" s="19">
        <f>IF(G89="","",F89/G89)</f>
        <v/>
      </c>
      <c r="J89" s="26">
        <f>IFERROR(IF(OR(E89="",INDEX(E:E,MATCH(DATE(YEAR($A89)-1,MONTH($A89),DAY($A89)),$A:$A,0))=""),"",E89/INDEX(E:E,MATCH(DATE(YEAR($A89)-1,MONTH($A89),DAY($A89)),$A:$A,0))-1),"")</f>
        <v/>
      </c>
      <c r="K89" s="19">
        <f>IFERROR(IF(OR(F89="",INDEX(F:F,MATCH(DATE(YEAR($A89)-1,MONTH($A89),DAY($A89)),$A:$A,0))=""),"",F89/INDEX(F:F,MATCH(DATE(YEAR($A89)-1,MONTH($A89),DAY($A89)),$A:$A,0))-1),"")</f>
        <v/>
      </c>
      <c r="L89" s="19">
        <f>IFERROR(IF(OR(G89="",INDEX(G:G,MATCH(DATE(YEAR($A89)-1,MONTH($A89),DAY($A89)),$A:$A,0))=""),"",G89/INDEX(G:G,MATCH(DATE(YEAR($A89)-1,MONTH($A89),DAY($A89)),$A:$A,0))-1),"")</f>
        <v/>
      </c>
      <c r="M89" s="19">
        <f>IF(OR(E89="",E88=""),"",E89/E88-1)</f>
        <v/>
      </c>
      <c r="N89" s="19">
        <f>IF(OR(F89="",F88=""),"",F89/F88-1)</f>
        <v/>
      </c>
      <c r="O89" s="19">
        <f>IF(OR(G89="",G88=""),"",G89/G88-1)</f>
        <v/>
      </c>
      <c r="P89" s="22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IF(R89="","",P89/R89)</f>
        <v/>
      </c>
      <c r="T89" s="23">
        <f>IF(R89="","",Q89/R89)</f>
        <v/>
      </c>
      <c r="U89" s="24">
        <f>IF(SUMIFS('Daily NSE Equity Options'!$M:$M,'Daily NSE Equity Options'!$A:$A,$A89)=0,"",SUMIFS('Daily NSE Equity Options'!$M:$M,'Daily NSE Equity Options'!$A:$A,$A89))</f>
        <v/>
      </c>
      <c r="V89" s="9">
        <f>IF(SUMIFS('Daily BSE Equity Options'!$M:$M,'Daily BSE Equity Options'!$A:$A,$A89)=0,"",SUMIFS('Daily BSE Equity Options'!$M:$M,'Daily BSE Equity Options'!$A:$A,$A89))</f>
        <v/>
      </c>
      <c r="W89" s="9">
        <f>IF(OR(U89="",V89=""),"",U89+V89)</f>
        <v/>
      </c>
      <c r="X89" s="25">
        <f>IF(W89="","",U89/W89)</f>
        <v/>
      </c>
      <c r="Y89" s="25">
        <f>IF(W89="","",V89/W89)</f>
        <v/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19">
        <f>IF(G90="","",E90/G90)</f>
        <v/>
      </c>
      <c r="I90" s="19">
        <f>IF(G90="","",F90/G90)</f>
        <v/>
      </c>
      <c r="J90" s="26">
        <f>IFERROR(IF(OR(E90="",INDEX(E:E,MATCH(DATE(YEAR($A90)-1,MONTH($A90),DAY($A90)),$A:$A,0))=""),"",E90/INDEX(E:E,MATCH(DATE(YEAR($A90)-1,MONTH($A90),DAY($A90)),$A:$A,0))-1),"")</f>
        <v/>
      </c>
      <c r="K90" s="19">
        <f>IFERROR(IF(OR(F90="",INDEX(F:F,MATCH(DATE(YEAR($A90)-1,MONTH($A90),DAY($A90)),$A:$A,0))=""),"",F90/INDEX(F:F,MATCH(DATE(YEAR($A90)-1,MONTH($A90),DAY($A90)),$A:$A,0))-1),"")</f>
        <v/>
      </c>
      <c r="L90" s="19">
        <f>IFERROR(IF(OR(G90="",INDEX(G:G,MATCH(DATE(YEAR($A90)-1,MONTH($A90),DAY($A90)),$A:$A,0))=""),"",G90/INDEX(G:G,MATCH(DATE(YEAR($A90)-1,MONTH($A90),DAY($A90)),$A:$A,0))-1),"")</f>
        <v/>
      </c>
      <c r="M90" s="19">
        <f>IF(OR(E90="",E89=""),"",E90/E89-1)</f>
        <v/>
      </c>
      <c r="N90" s="19">
        <f>IF(OR(F90="",F89=""),"",F90/F89-1)</f>
        <v/>
      </c>
      <c r="O90" s="19">
        <f>IF(OR(G90="",G89=""),"",G90/G89-1)</f>
        <v/>
      </c>
      <c r="P90" s="22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IF(R90="","",P90/R90)</f>
        <v/>
      </c>
      <c r="T90" s="23">
        <f>IF(R90="","",Q90/R90)</f>
        <v/>
      </c>
      <c r="U90" s="24">
        <f>IF(SUMIFS('Daily NSE Equity Options'!$M:$M,'Daily NSE Equity Options'!$A:$A,$A90)=0,"",SUMIFS('Daily NSE Equity Options'!$M:$M,'Daily NSE Equity Options'!$A:$A,$A90))</f>
        <v/>
      </c>
      <c r="V90" s="9">
        <f>IF(SUMIFS('Daily BSE Equity Options'!$M:$M,'Daily BSE Equity Options'!$A:$A,$A90)=0,"",SUMIFS('Daily BSE Equity Options'!$M:$M,'Daily BSE Equity Options'!$A:$A,$A90))</f>
        <v/>
      </c>
      <c r="W90" s="9">
        <f>IF(OR(U90="",V90=""),"",U90+V90)</f>
        <v/>
      </c>
      <c r="X90" s="25">
        <f>IF(W90="","",U90/W90)</f>
        <v/>
      </c>
      <c r="Y90" s="25">
        <f>IF(W90="","",V90/W90)</f>
        <v/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19">
        <f>IF(G91="","",E91/G91)</f>
        <v/>
      </c>
      <c r="I91" s="19">
        <f>IF(G91="","",F91/G91)</f>
        <v/>
      </c>
      <c r="J91" s="26">
        <f>IFERROR(IF(OR(E91="",INDEX(E:E,MATCH(DATE(YEAR($A91)-1,MONTH($A91),DAY($A91)),$A:$A,0))=""),"",E91/INDEX(E:E,MATCH(DATE(YEAR($A91)-1,MONTH($A91),DAY($A91)),$A:$A,0))-1),"")</f>
        <v/>
      </c>
      <c r="K91" s="19">
        <f>IFERROR(IF(OR(F91="",INDEX(F:F,MATCH(DATE(YEAR($A91)-1,MONTH($A91),DAY($A91)),$A:$A,0))=""),"",F91/INDEX(F:F,MATCH(DATE(YEAR($A91)-1,MONTH($A91),DAY($A91)),$A:$A,0))-1),"")</f>
        <v/>
      </c>
      <c r="L91" s="19">
        <f>IFERROR(IF(OR(G91="",INDEX(G:G,MATCH(DATE(YEAR($A91)-1,MONTH($A91),DAY($A91)),$A:$A,0))=""),"",G91/INDEX(G:G,MATCH(DATE(YEAR($A91)-1,MONTH($A91),DAY($A91)),$A:$A,0))-1),"")</f>
        <v/>
      </c>
      <c r="M91" s="19">
        <f>IF(OR(E91="",E90=""),"",E91/E90-1)</f>
        <v/>
      </c>
      <c r="N91" s="19">
        <f>IF(OR(F91="",F90=""),"",F91/F90-1)</f>
        <v/>
      </c>
      <c r="O91" s="19">
        <f>IF(OR(G91="",G90=""),"",G91/G90-1)</f>
        <v/>
      </c>
      <c r="P91" s="22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IF(R91="","",P91/R91)</f>
        <v/>
      </c>
      <c r="T91" s="23">
        <f>IF(R91="","",Q91/R91)</f>
        <v/>
      </c>
      <c r="U91" s="24">
        <f>IF(SUMIFS('Daily NSE Equity Options'!$M:$M,'Daily NSE Equity Options'!$A:$A,$A91)=0,"",SUMIFS('Daily NSE Equity Options'!$M:$M,'Daily NSE Equity Options'!$A:$A,$A91))</f>
        <v/>
      </c>
      <c r="V91" s="9">
        <f>IF(SUMIFS('Daily BSE Equity Options'!$M:$M,'Daily BSE Equity Options'!$A:$A,$A91)=0,"",SUMIFS('Daily BSE Equity Options'!$M:$M,'Daily BSE Equity Options'!$A:$A,$A91))</f>
        <v/>
      </c>
      <c r="W91" s="9">
        <f>IF(OR(U91="",V91=""),"",U91+V91)</f>
        <v/>
      </c>
      <c r="X91" s="25">
        <f>IF(W91="","",U91/W91)</f>
        <v/>
      </c>
      <c r="Y91" s="25">
        <f>IF(W91="","",V91/W91)</f>
        <v/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19">
        <f>IF(G92="","",E92/G92)</f>
        <v/>
      </c>
      <c r="I92" s="19">
        <f>IF(G92="","",F92/G92)</f>
        <v/>
      </c>
      <c r="J92" s="26">
        <f>IFERROR(IF(OR(E92="",INDEX(E:E,MATCH(DATE(YEAR($A92)-1,MONTH($A92),DAY($A92)),$A:$A,0))=""),"",E92/INDEX(E:E,MATCH(DATE(YEAR($A92)-1,MONTH($A92),DAY($A92)),$A:$A,0))-1),"")</f>
        <v/>
      </c>
      <c r="K92" s="19">
        <f>IFERROR(IF(OR(F92="",INDEX(F:F,MATCH(DATE(YEAR($A92)-1,MONTH($A92),DAY($A92)),$A:$A,0))=""),"",F92/INDEX(F:F,MATCH(DATE(YEAR($A92)-1,MONTH($A92),DAY($A92)),$A:$A,0))-1),"")</f>
        <v/>
      </c>
      <c r="L92" s="19">
        <f>IFERROR(IF(OR(G92="",INDEX(G:G,MATCH(DATE(YEAR($A92)-1,MONTH($A92),DAY($A92)),$A:$A,0))=""),"",G92/INDEX(G:G,MATCH(DATE(YEAR($A92)-1,MONTH($A92),DAY($A92)),$A:$A,0))-1),"")</f>
        <v/>
      </c>
      <c r="M92" s="19">
        <f>IF(OR(E92="",E91=""),"",E92/E91-1)</f>
        <v/>
      </c>
      <c r="N92" s="19">
        <f>IF(OR(F92="",F91=""),"",F92/F91-1)</f>
        <v/>
      </c>
      <c r="O92" s="19">
        <f>IF(OR(G92="",G91=""),"",G92/G91-1)</f>
        <v/>
      </c>
      <c r="P92" s="22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IF(R92="","",P92/R92)</f>
        <v/>
      </c>
      <c r="T92" s="23">
        <f>IF(R92="","",Q92/R92)</f>
        <v/>
      </c>
      <c r="U92" s="24">
        <f>IF(SUMIFS('Daily NSE Equity Options'!$M:$M,'Daily NSE Equity Options'!$A:$A,$A92)=0,"",SUMIFS('Daily NSE Equity Options'!$M:$M,'Daily NSE Equity Options'!$A:$A,$A92))</f>
        <v/>
      </c>
      <c r="V92" s="9">
        <f>IF(SUMIFS('Daily BSE Equity Options'!$M:$M,'Daily BSE Equity Options'!$A:$A,$A92)=0,"",SUMIFS('Daily BSE Equity Options'!$M:$M,'Daily BSE Equity Options'!$A:$A,$A92))</f>
        <v/>
      </c>
      <c r="W92" s="9">
        <f>IF(OR(U92="",V92=""),"",U92+V92)</f>
        <v/>
      </c>
      <c r="X92" s="25">
        <f>IF(W92="","",U92/W92)</f>
        <v/>
      </c>
      <c r="Y92" s="25">
        <f>IF(W92="","",V92/W92)</f>
        <v/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19">
        <f>IF(G93="","",E93/G93)</f>
        <v/>
      </c>
      <c r="I93" s="19">
        <f>IF(G93="","",F93/G93)</f>
        <v/>
      </c>
      <c r="J93" s="26">
        <f>IFERROR(IF(OR(E93="",INDEX(E:E,MATCH(DATE(YEAR($A93)-1,MONTH($A93),DAY($A93)),$A:$A,0))=""),"",E93/INDEX(E:E,MATCH(DATE(YEAR($A93)-1,MONTH($A93),DAY($A93)),$A:$A,0))-1),"")</f>
        <v/>
      </c>
      <c r="K93" s="19">
        <f>IFERROR(IF(OR(F93="",INDEX(F:F,MATCH(DATE(YEAR($A93)-1,MONTH($A93),DAY($A93)),$A:$A,0))=""),"",F93/INDEX(F:F,MATCH(DATE(YEAR($A93)-1,MONTH($A93),DAY($A93)),$A:$A,0))-1),"")</f>
        <v/>
      </c>
      <c r="L93" s="19">
        <f>IFERROR(IF(OR(G93="",INDEX(G:G,MATCH(DATE(YEAR($A93)-1,MONTH($A93),DAY($A93)),$A:$A,0))=""),"",G93/INDEX(G:G,MATCH(DATE(YEAR($A93)-1,MONTH($A93),DAY($A93)),$A:$A,0))-1),"")</f>
        <v/>
      </c>
      <c r="M93" s="19">
        <f>IF(OR(E93="",E92=""),"",E93/E92-1)</f>
        <v/>
      </c>
      <c r="N93" s="19">
        <f>IF(OR(F93="",F92=""),"",F93/F92-1)</f>
        <v/>
      </c>
      <c r="O93" s="19">
        <f>IF(OR(G93="",G92=""),"",G93/G92-1)</f>
        <v/>
      </c>
      <c r="P93" s="22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IF(R93="","",P93/R93)</f>
        <v/>
      </c>
      <c r="T93" s="23">
        <f>IF(R93="","",Q93/R93)</f>
        <v/>
      </c>
      <c r="U93" s="24">
        <f>IF(SUMIFS('Daily NSE Equity Options'!$M:$M,'Daily NSE Equity Options'!$A:$A,$A93)=0,"",SUMIFS('Daily NSE Equity Options'!$M:$M,'Daily NSE Equity Options'!$A:$A,$A93))</f>
        <v/>
      </c>
      <c r="V93" s="9">
        <f>IF(SUMIFS('Daily BSE Equity Options'!$M:$M,'Daily BSE Equity Options'!$A:$A,$A93)=0,"",SUMIFS('Daily BSE Equity Options'!$M:$M,'Daily BSE Equity Options'!$A:$A,$A93))</f>
        <v/>
      </c>
      <c r="W93" s="9">
        <f>IF(OR(U93="",V93=""),"",U93+V93)</f>
        <v/>
      </c>
      <c r="X93" s="25">
        <f>IF(W93="","",U93/W93)</f>
        <v/>
      </c>
      <c r="Y93" s="25">
        <f>IF(W93="","",V93/W93)</f>
        <v/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19">
        <f>IF(G94="","",E94/G94)</f>
        <v/>
      </c>
      <c r="I94" s="19">
        <f>IF(G94="","",F94/G94)</f>
        <v/>
      </c>
      <c r="J94" s="26">
        <f>IFERROR(IF(OR(E94="",INDEX(E:E,MATCH(DATE(YEAR($A94)-1,MONTH($A94),DAY($A94)),$A:$A,0))=""),"",E94/INDEX(E:E,MATCH(DATE(YEAR($A94)-1,MONTH($A94),DAY($A94)),$A:$A,0))-1),"")</f>
        <v/>
      </c>
      <c r="K94" s="19">
        <f>IFERROR(IF(OR(F94="",INDEX(F:F,MATCH(DATE(YEAR($A94)-1,MONTH($A94),DAY($A94)),$A:$A,0))=""),"",F94/INDEX(F:F,MATCH(DATE(YEAR($A94)-1,MONTH($A94),DAY($A94)),$A:$A,0))-1),"")</f>
        <v/>
      </c>
      <c r="L94" s="19">
        <f>IFERROR(IF(OR(G94="",INDEX(G:G,MATCH(DATE(YEAR($A94)-1,MONTH($A94),DAY($A94)),$A:$A,0))=""),"",G94/INDEX(G:G,MATCH(DATE(YEAR($A94)-1,MONTH($A94),DAY($A94)),$A:$A,0))-1),"")</f>
        <v/>
      </c>
      <c r="M94" s="19">
        <f>IF(OR(E94="",E93=""),"",E94/E93-1)</f>
        <v/>
      </c>
      <c r="N94" s="19">
        <f>IF(OR(F94="",F93=""),"",F94/F93-1)</f>
        <v/>
      </c>
      <c r="O94" s="19">
        <f>IF(OR(G94="",G93=""),"",G94/G93-1)</f>
        <v/>
      </c>
      <c r="P94" s="22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IF(R94="","",P94/R94)</f>
        <v/>
      </c>
      <c r="T94" s="23">
        <f>IF(R94="","",Q94/R94)</f>
        <v/>
      </c>
      <c r="U94" s="24">
        <f>IF(SUMIFS('Daily NSE Equity Options'!$M:$M,'Daily NSE Equity Options'!$A:$A,$A94)=0,"",SUMIFS('Daily NSE Equity Options'!$M:$M,'Daily NSE Equity Options'!$A:$A,$A94))</f>
        <v/>
      </c>
      <c r="V94" s="9">
        <f>IF(SUMIFS('Daily BSE Equity Options'!$M:$M,'Daily BSE Equity Options'!$A:$A,$A94)=0,"",SUMIFS('Daily BSE Equity Options'!$M:$M,'Daily BSE Equity Options'!$A:$A,$A94))</f>
        <v/>
      </c>
      <c r="W94" s="9">
        <f>IF(OR(U94="",V94=""),"",U94+V94)</f>
        <v/>
      </c>
      <c r="X94" s="25">
        <f>IF(W94="","",U94/W94)</f>
        <v/>
      </c>
      <c r="Y94" s="25">
        <f>IF(W94="","",V94/W94)</f>
        <v/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19">
        <f>IF(G95="","",E95/G95)</f>
        <v/>
      </c>
      <c r="I95" s="19">
        <f>IF(G95="","",F95/G95)</f>
        <v/>
      </c>
      <c r="J95" s="26">
        <f>IFERROR(IF(OR(E95="",INDEX(E:E,MATCH(DATE(YEAR($A95)-1,MONTH($A95),DAY($A95)),$A:$A,0))=""),"",E95/INDEX(E:E,MATCH(DATE(YEAR($A95)-1,MONTH($A95),DAY($A95)),$A:$A,0))-1),"")</f>
        <v/>
      </c>
      <c r="K95" s="19">
        <f>IFERROR(IF(OR(F95="",INDEX(F:F,MATCH(DATE(YEAR($A95)-1,MONTH($A95),DAY($A95)),$A:$A,0))=""),"",F95/INDEX(F:F,MATCH(DATE(YEAR($A95)-1,MONTH($A95),DAY($A95)),$A:$A,0))-1),"")</f>
        <v/>
      </c>
      <c r="L95" s="19">
        <f>IFERROR(IF(OR(G95="",INDEX(G:G,MATCH(DATE(YEAR($A95)-1,MONTH($A95),DAY($A95)),$A:$A,0))=""),"",G95/INDEX(G:G,MATCH(DATE(YEAR($A95)-1,MONTH($A95),DAY($A95)),$A:$A,0))-1),"")</f>
        <v/>
      </c>
      <c r="M95" s="19">
        <f>IF(OR(E95="",E94=""),"",E95/E94-1)</f>
        <v/>
      </c>
      <c r="N95" s="19">
        <f>IF(OR(F95="",F94=""),"",F95/F94-1)</f>
        <v/>
      </c>
      <c r="O95" s="19">
        <f>IF(OR(G95="",G94=""),"",G95/G94-1)</f>
        <v/>
      </c>
      <c r="P95" s="22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IF(R95="","",P95/R95)</f>
        <v/>
      </c>
      <c r="T95" s="23">
        <f>IF(R95="","",Q95/R95)</f>
        <v/>
      </c>
      <c r="U95" s="24">
        <f>IF(SUMIFS('Daily NSE Equity Options'!$M:$M,'Daily NSE Equity Options'!$A:$A,$A95)=0,"",SUMIFS('Daily NSE Equity Options'!$M:$M,'Daily NSE Equity Options'!$A:$A,$A95))</f>
        <v/>
      </c>
      <c r="V95" s="9">
        <f>IF(SUMIFS('Daily BSE Equity Options'!$M:$M,'Daily BSE Equity Options'!$A:$A,$A95)=0,"",SUMIFS('Daily BSE Equity Options'!$M:$M,'Daily BSE Equity Options'!$A:$A,$A95))</f>
        <v/>
      </c>
      <c r="W95" s="9">
        <f>IF(OR(U95="",V95=""),"",U95+V95)</f>
        <v/>
      </c>
      <c r="X95" s="25">
        <f>IF(W95="","",U95/W95)</f>
        <v/>
      </c>
      <c r="Y95" s="25">
        <f>IF(W95="","",V95/W95)</f>
        <v/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19">
        <f>IF(G96="","",E96/G96)</f>
        <v/>
      </c>
      <c r="I96" s="19">
        <f>IF(G96="","",F96/G96)</f>
        <v/>
      </c>
      <c r="J96" s="26">
        <f>IFERROR(IF(OR(E96="",INDEX(E:E,MATCH(DATE(YEAR($A96)-1,MONTH($A96),DAY($A96)),$A:$A,0))=""),"",E96/INDEX(E:E,MATCH(DATE(YEAR($A96)-1,MONTH($A96),DAY($A96)),$A:$A,0))-1),"")</f>
        <v/>
      </c>
      <c r="K96" s="19">
        <f>IFERROR(IF(OR(F96="",INDEX(F:F,MATCH(DATE(YEAR($A96)-1,MONTH($A96),DAY($A96)),$A:$A,0))=""),"",F96/INDEX(F:F,MATCH(DATE(YEAR($A96)-1,MONTH($A96),DAY($A96)),$A:$A,0))-1),"")</f>
        <v/>
      </c>
      <c r="L96" s="19">
        <f>IFERROR(IF(OR(G96="",INDEX(G:G,MATCH(DATE(YEAR($A96)-1,MONTH($A96),DAY($A96)),$A:$A,0))=""),"",G96/INDEX(G:G,MATCH(DATE(YEAR($A96)-1,MONTH($A96),DAY($A96)),$A:$A,0))-1),"")</f>
        <v/>
      </c>
      <c r="M96" s="19">
        <f>IF(OR(E96="",E95=""),"",E96/E95-1)</f>
        <v/>
      </c>
      <c r="N96" s="19">
        <f>IF(OR(F96="",F95=""),"",F96/F95-1)</f>
        <v/>
      </c>
      <c r="O96" s="19">
        <f>IF(OR(G96="",G95=""),"",G96/G95-1)</f>
        <v/>
      </c>
      <c r="P96" s="22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IF(R96="","",P96/R96)</f>
        <v/>
      </c>
      <c r="T96" s="23">
        <f>IF(R96="","",Q96/R96)</f>
        <v/>
      </c>
      <c r="U96" s="24">
        <f>IF(SUMIFS('Daily NSE Equity Options'!$M:$M,'Daily NSE Equity Options'!$A:$A,$A96)=0,"",SUMIFS('Daily NSE Equity Options'!$M:$M,'Daily NSE Equity Options'!$A:$A,$A96))</f>
        <v/>
      </c>
      <c r="V96" s="9">
        <f>IF(SUMIFS('Daily BSE Equity Options'!$M:$M,'Daily BSE Equity Options'!$A:$A,$A96)=0,"",SUMIFS('Daily BSE Equity Options'!$M:$M,'Daily BSE Equity Options'!$A:$A,$A96))</f>
        <v/>
      </c>
      <c r="W96" s="9">
        <f>IF(OR(U96="",V96=""),"",U96+V96)</f>
        <v/>
      </c>
      <c r="X96" s="25">
        <f>IF(W96="","",U96/W96)</f>
        <v/>
      </c>
      <c r="Y96" s="25">
        <f>IF(W96="","",V96/W96)</f>
        <v/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19">
        <f>IF(G97="","",E97/G97)</f>
        <v/>
      </c>
      <c r="I97" s="19">
        <f>IF(G97="","",F97/G97)</f>
        <v/>
      </c>
      <c r="J97" s="26">
        <f>IFERROR(IF(OR(E97="",INDEX(E:E,MATCH(DATE(YEAR($A97)-1,MONTH($A97),DAY($A97)),$A:$A,0))=""),"",E97/INDEX(E:E,MATCH(DATE(YEAR($A97)-1,MONTH($A97),DAY($A97)),$A:$A,0))-1),"")</f>
        <v/>
      </c>
      <c r="K97" s="19">
        <f>IFERROR(IF(OR(F97="",INDEX(F:F,MATCH(DATE(YEAR($A97)-1,MONTH($A97),DAY($A97)),$A:$A,0))=""),"",F97/INDEX(F:F,MATCH(DATE(YEAR($A97)-1,MONTH($A97),DAY($A97)),$A:$A,0))-1),"")</f>
        <v/>
      </c>
      <c r="L97" s="19">
        <f>IFERROR(IF(OR(G97="",INDEX(G:G,MATCH(DATE(YEAR($A97)-1,MONTH($A97),DAY($A97)),$A:$A,0))=""),"",G97/INDEX(G:G,MATCH(DATE(YEAR($A97)-1,MONTH($A97),DAY($A97)),$A:$A,0))-1),"")</f>
        <v/>
      </c>
      <c r="M97" s="19">
        <f>IF(OR(E97="",E96=""),"",E97/E96-1)</f>
        <v/>
      </c>
      <c r="N97" s="19">
        <f>IF(OR(F97="",F96=""),"",F97/F96-1)</f>
        <v/>
      </c>
      <c r="O97" s="19">
        <f>IF(OR(G97="",G96=""),"",G97/G96-1)</f>
        <v/>
      </c>
      <c r="P97" s="22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IF(R97="","",P97/R97)</f>
        <v/>
      </c>
      <c r="T97" s="23">
        <f>IF(R97="","",Q97/R97)</f>
        <v/>
      </c>
      <c r="U97" s="24">
        <f>IF(SUMIFS('Daily NSE Equity Options'!$M:$M,'Daily NSE Equity Options'!$A:$A,$A97)=0,"",SUMIFS('Daily NSE Equity Options'!$M:$M,'Daily NSE Equity Options'!$A:$A,$A97))</f>
        <v/>
      </c>
      <c r="V97" s="9">
        <f>IF(SUMIFS('Daily BSE Equity Options'!$M:$M,'Daily BSE Equity Options'!$A:$A,$A97)=0,"",SUMIFS('Daily BSE Equity Options'!$M:$M,'Daily BSE Equity Options'!$A:$A,$A97))</f>
        <v/>
      </c>
      <c r="W97" s="9">
        <f>IF(OR(U97="",V97=""),"",U97+V97)</f>
        <v/>
      </c>
      <c r="X97" s="25">
        <f>IF(W97="","",U97/W97)</f>
        <v/>
      </c>
      <c r="Y97" s="25">
        <f>IF(W97="","",V97/W97)</f>
        <v/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19">
        <f>IF(G98="","",E98/G98)</f>
        <v/>
      </c>
      <c r="I98" s="19">
        <f>IF(G98="","",F98/G98)</f>
        <v/>
      </c>
      <c r="J98" s="26">
        <f>IFERROR(IF(OR(E98="",INDEX(E:E,MATCH(DATE(YEAR($A98)-1,MONTH($A98),DAY($A98)),$A:$A,0))=""),"",E98/INDEX(E:E,MATCH(DATE(YEAR($A98)-1,MONTH($A98),DAY($A98)),$A:$A,0))-1),"")</f>
        <v/>
      </c>
      <c r="K98" s="19">
        <f>IFERROR(IF(OR(F98="",INDEX(F:F,MATCH(DATE(YEAR($A98)-1,MONTH($A98),DAY($A98)),$A:$A,0))=""),"",F98/INDEX(F:F,MATCH(DATE(YEAR($A98)-1,MONTH($A98),DAY($A98)),$A:$A,0))-1),"")</f>
        <v/>
      </c>
      <c r="L98" s="19">
        <f>IFERROR(IF(OR(G98="",INDEX(G:G,MATCH(DATE(YEAR($A98)-1,MONTH($A98),DAY($A98)),$A:$A,0))=""),"",G98/INDEX(G:G,MATCH(DATE(YEAR($A98)-1,MONTH($A98),DAY($A98)),$A:$A,0))-1),"")</f>
        <v/>
      </c>
      <c r="M98" s="19">
        <f>IF(OR(E98="",E97=""),"",E98/E97-1)</f>
        <v/>
      </c>
      <c r="N98" s="19">
        <f>IF(OR(F98="",F97=""),"",F98/F97-1)</f>
        <v/>
      </c>
      <c r="O98" s="19">
        <f>IF(OR(G98="",G97=""),"",G98/G97-1)</f>
        <v/>
      </c>
      <c r="P98" s="22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IF(R98="","",P98/R98)</f>
        <v/>
      </c>
      <c r="T98" s="23">
        <f>IF(R98="","",Q98/R98)</f>
        <v/>
      </c>
      <c r="U98" s="24">
        <f>IF(SUMIFS('Daily NSE Equity Options'!$M:$M,'Daily NSE Equity Options'!$A:$A,$A98)=0,"",SUMIFS('Daily NSE Equity Options'!$M:$M,'Daily NSE Equity Options'!$A:$A,$A98))</f>
        <v/>
      </c>
      <c r="V98" s="9">
        <f>IF(SUMIFS('Daily BSE Equity Options'!$M:$M,'Daily BSE Equity Options'!$A:$A,$A98)=0,"",SUMIFS('Daily BSE Equity Options'!$M:$M,'Daily BSE Equity Options'!$A:$A,$A98))</f>
        <v/>
      </c>
      <c r="W98" s="9">
        <f>IF(OR(U98="",V98=""),"",U98+V98)</f>
        <v/>
      </c>
      <c r="X98" s="25">
        <f>IF(W98="","",U98/W98)</f>
        <v/>
      </c>
      <c r="Y98" s="25">
        <f>IF(W98="","",V98/W98)</f>
        <v/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19">
        <f>IF(G99="","",E99/G99)</f>
        <v/>
      </c>
      <c r="I99" s="19">
        <f>IF(G99="","",F99/G99)</f>
        <v/>
      </c>
      <c r="J99" s="26">
        <f>IFERROR(IF(OR(E99="",INDEX(E:E,MATCH(DATE(YEAR($A99)-1,MONTH($A99),DAY($A99)),$A:$A,0))=""),"",E99/INDEX(E:E,MATCH(DATE(YEAR($A99)-1,MONTH($A99),DAY($A99)),$A:$A,0))-1),"")</f>
        <v/>
      </c>
      <c r="K99" s="19">
        <f>IFERROR(IF(OR(F99="",INDEX(F:F,MATCH(DATE(YEAR($A99)-1,MONTH($A99),DAY($A99)),$A:$A,0))=""),"",F99/INDEX(F:F,MATCH(DATE(YEAR($A99)-1,MONTH($A99),DAY($A99)),$A:$A,0))-1),"")</f>
        <v/>
      </c>
      <c r="L99" s="19">
        <f>IFERROR(IF(OR(G99="",INDEX(G:G,MATCH(DATE(YEAR($A99)-1,MONTH($A99),DAY($A99)),$A:$A,0))=""),"",G99/INDEX(G:G,MATCH(DATE(YEAR($A99)-1,MONTH($A99),DAY($A99)),$A:$A,0))-1),"")</f>
        <v/>
      </c>
      <c r="M99" s="19">
        <f>IF(OR(E99="",E98=""),"",E99/E98-1)</f>
        <v/>
      </c>
      <c r="N99" s="19">
        <f>IF(OR(F99="",F98=""),"",F99/F98-1)</f>
        <v/>
      </c>
      <c r="O99" s="19">
        <f>IF(OR(G99="",G98=""),"",G99/G98-1)</f>
        <v/>
      </c>
      <c r="P99" s="22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IF(R99="","",P99/R99)</f>
        <v/>
      </c>
      <c r="T99" s="23">
        <f>IF(R99="","",Q99/R99)</f>
        <v/>
      </c>
      <c r="U99" s="24">
        <f>IF(SUMIFS('Daily NSE Equity Options'!$M:$M,'Daily NSE Equity Options'!$A:$A,$A99)=0,"",SUMIFS('Daily NSE Equity Options'!$M:$M,'Daily NSE Equity Options'!$A:$A,$A99))</f>
        <v/>
      </c>
      <c r="V99" s="9">
        <f>IF(SUMIFS('Daily BSE Equity Options'!$M:$M,'Daily BSE Equity Options'!$A:$A,$A99)=0,"",SUMIFS('Daily BSE Equity Options'!$M:$M,'Daily BSE Equity Options'!$A:$A,$A99))</f>
        <v/>
      </c>
      <c r="W99" s="9">
        <f>IF(OR(U99="",V99=""),"",U99+V99)</f>
        <v/>
      </c>
      <c r="X99" s="25">
        <f>IF(W99="","",U99/W99)</f>
        <v/>
      </c>
      <c r="Y99" s="25">
        <f>IF(W99="","",V99/W99)</f>
        <v/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19">
        <f>IF(G100="","",E100/G100)</f>
        <v/>
      </c>
      <c r="I100" s="19">
        <f>IF(G100="","",F100/G100)</f>
        <v/>
      </c>
      <c r="J100" s="26">
        <f>IFERROR(IF(OR(E100="",INDEX(E:E,MATCH(DATE(YEAR($A100)-1,MONTH($A100),DAY($A100)),$A:$A,0))=""),"",E100/INDEX(E:E,MATCH(DATE(YEAR($A100)-1,MONTH($A100),DAY($A100)),$A:$A,0))-1),"")</f>
        <v/>
      </c>
      <c r="K100" s="19">
        <f>IFERROR(IF(OR(F100="",INDEX(F:F,MATCH(DATE(YEAR($A100)-1,MONTH($A100),DAY($A100)),$A:$A,0))=""),"",F100/INDEX(F:F,MATCH(DATE(YEAR($A100)-1,MONTH($A100),DAY($A100)),$A:$A,0))-1),"")</f>
        <v/>
      </c>
      <c r="L100" s="19">
        <f>IFERROR(IF(OR(G100="",INDEX(G:G,MATCH(DATE(YEAR($A100)-1,MONTH($A100),DAY($A100)),$A:$A,0))=""),"",G100/INDEX(G:G,MATCH(DATE(YEAR($A100)-1,MONTH($A100),DAY($A100)),$A:$A,0))-1),"")</f>
        <v/>
      </c>
      <c r="M100" s="19">
        <f>IF(OR(E100="",E99=""),"",E100/E99-1)</f>
        <v/>
      </c>
      <c r="N100" s="19">
        <f>IF(OR(F100="",F99=""),"",F100/F99-1)</f>
        <v/>
      </c>
      <c r="O100" s="19">
        <f>IF(OR(G100="",G99=""),"",G100/G99-1)</f>
        <v/>
      </c>
      <c r="P100" s="22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IF(R100="","",P100/R100)</f>
        <v/>
      </c>
      <c r="T100" s="23">
        <f>IF(R100="","",Q100/R100)</f>
        <v/>
      </c>
      <c r="U100" s="24">
        <f>IF(SUMIFS('Daily NSE Equity Options'!$M:$M,'Daily NSE Equity Options'!$A:$A,$A100)=0,"",SUMIFS('Daily NSE Equity Options'!$M:$M,'Daily NSE Equity Options'!$A:$A,$A100))</f>
        <v/>
      </c>
      <c r="V100" s="9">
        <f>IF(SUMIFS('Daily BSE Equity Options'!$M:$M,'Daily BSE Equity Options'!$A:$A,$A100)=0,"",SUMIFS('Daily BSE Equity Options'!$M:$M,'Daily BSE Equity Options'!$A:$A,$A100))</f>
        <v/>
      </c>
      <c r="W100" s="9">
        <f>IF(OR(U100="",V100=""),"",U100+V100)</f>
        <v/>
      </c>
      <c r="X100" s="25">
        <f>IF(W100="","",U100/W100)</f>
        <v/>
      </c>
      <c r="Y100" s="25">
        <f>IF(W100="","",V100/W100)</f>
        <v/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19">
        <f>IF(G101="","",E101/G101)</f>
        <v/>
      </c>
      <c r="I101" s="19">
        <f>IF(G101="","",F101/G101)</f>
        <v/>
      </c>
      <c r="J101" s="26">
        <f>IFERROR(IF(OR(E101="",INDEX(E:E,MATCH(DATE(YEAR($A101)-1,MONTH($A101),DAY($A101)),$A:$A,0))=""),"",E101/INDEX(E:E,MATCH(DATE(YEAR($A101)-1,MONTH($A101),DAY($A101)),$A:$A,0))-1),"")</f>
        <v/>
      </c>
      <c r="K101" s="19">
        <f>IFERROR(IF(OR(F101="",INDEX(F:F,MATCH(DATE(YEAR($A101)-1,MONTH($A101),DAY($A101)),$A:$A,0))=""),"",F101/INDEX(F:F,MATCH(DATE(YEAR($A101)-1,MONTH($A101),DAY($A101)),$A:$A,0))-1),"")</f>
        <v/>
      </c>
      <c r="L101" s="19">
        <f>IFERROR(IF(OR(G101="",INDEX(G:G,MATCH(DATE(YEAR($A101)-1,MONTH($A101),DAY($A101)),$A:$A,0))=""),"",G101/INDEX(G:G,MATCH(DATE(YEAR($A101)-1,MONTH($A101),DAY($A101)),$A:$A,0))-1),"")</f>
        <v/>
      </c>
      <c r="M101" s="19">
        <f>IF(OR(E101="",E100=""),"",E101/E100-1)</f>
        <v/>
      </c>
      <c r="N101" s="19">
        <f>IF(OR(F101="",F100=""),"",F101/F100-1)</f>
        <v/>
      </c>
      <c r="O101" s="19">
        <f>IF(OR(G101="",G100=""),"",G101/G100-1)</f>
        <v/>
      </c>
      <c r="P101" s="22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IF(R101="","",P101/R101)</f>
        <v/>
      </c>
      <c r="T101" s="23">
        <f>IF(R101="","",Q101/R101)</f>
        <v/>
      </c>
      <c r="U101" s="24">
        <f>IF(SUMIFS('Daily NSE Equity Options'!$M:$M,'Daily NSE Equity Options'!$A:$A,$A101)=0,"",SUMIFS('Daily NSE Equity Options'!$M:$M,'Daily NSE Equity Options'!$A:$A,$A101))</f>
        <v/>
      </c>
      <c r="V101" s="9">
        <f>IF(SUMIFS('Daily BSE Equity Options'!$M:$M,'Daily BSE Equity Options'!$A:$A,$A101)=0,"",SUMIFS('Daily BSE Equity Options'!$M:$M,'Daily BSE Equity Options'!$A:$A,$A101))</f>
        <v/>
      </c>
      <c r="W101" s="9">
        <f>IF(OR(U101="",V101=""),"",U101+V101)</f>
        <v/>
      </c>
      <c r="X101" s="25">
        <f>IF(W101="","",U101/W101)</f>
        <v/>
      </c>
      <c r="Y101" s="25">
        <f>IF(W101="","",V101/W101)</f>
        <v/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19">
        <f>IF(G102="","",E102/G102)</f>
        <v/>
      </c>
      <c r="I102" s="19">
        <f>IF(G102="","",F102/G102)</f>
        <v/>
      </c>
      <c r="J102" s="26">
        <f>IFERROR(IF(OR(E102="",INDEX(E:E,MATCH(DATE(YEAR($A102)-1,MONTH($A102),DAY($A102)),$A:$A,0))=""),"",E102/INDEX(E:E,MATCH(DATE(YEAR($A102)-1,MONTH($A102),DAY($A102)),$A:$A,0))-1),"")</f>
        <v/>
      </c>
      <c r="K102" s="19">
        <f>IFERROR(IF(OR(F102="",INDEX(F:F,MATCH(DATE(YEAR($A102)-1,MONTH($A102),DAY($A102)),$A:$A,0))=""),"",F102/INDEX(F:F,MATCH(DATE(YEAR($A102)-1,MONTH($A102),DAY($A102)),$A:$A,0))-1),"")</f>
        <v/>
      </c>
      <c r="L102" s="19">
        <f>IFERROR(IF(OR(G102="",INDEX(G:G,MATCH(DATE(YEAR($A102)-1,MONTH($A102),DAY($A102)),$A:$A,0))=""),"",G102/INDEX(G:G,MATCH(DATE(YEAR($A102)-1,MONTH($A102),DAY($A102)),$A:$A,0))-1),"")</f>
        <v/>
      </c>
      <c r="M102" s="19">
        <f>IF(OR(E102="",E101=""),"",E102/E101-1)</f>
        <v/>
      </c>
      <c r="N102" s="19">
        <f>IF(OR(F102="",F101=""),"",F102/F101-1)</f>
        <v/>
      </c>
      <c r="O102" s="19">
        <f>IF(OR(G102="",G101=""),"",G102/G101-1)</f>
        <v/>
      </c>
      <c r="P102" s="22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IF(R102="","",P102/R102)</f>
        <v/>
      </c>
      <c r="T102" s="23">
        <f>IF(R102="","",Q102/R102)</f>
        <v/>
      </c>
      <c r="U102" s="24">
        <f>IF(SUMIFS('Daily NSE Equity Options'!$M:$M,'Daily NSE Equity Options'!$A:$A,$A102)=0,"",SUMIFS('Daily NSE Equity Options'!$M:$M,'Daily NSE Equity Options'!$A:$A,$A102))</f>
        <v/>
      </c>
      <c r="V102" s="9">
        <f>IF(SUMIFS('Daily BSE Equity Options'!$M:$M,'Daily BSE Equity Options'!$A:$A,$A102)=0,"",SUMIFS('Daily BSE Equity Options'!$M:$M,'Daily BSE Equity Options'!$A:$A,$A102))</f>
        <v/>
      </c>
      <c r="W102" s="9">
        <f>IF(OR(U102="",V102=""),"",U102+V102)</f>
        <v/>
      </c>
      <c r="X102" s="25">
        <f>IF(W102="","",U102/W102)</f>
        <v/>
      </c>
      <c r="Y102" s="25">
        <f>IF(W102="","",V102/W102)</f>
        <v/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19">
        <f>IF(G103="","",E103/G103)</f>
        <v/>
      </c>
      <c r="I103" s="19">
        <f>IF(G103="","",F103/G103)</f>
        <v/>
      </c>
      <c r="J103" s="26">
        <f>IFERROR(IF(OR(E103="",INDEX(E:E,MATCH(DATE(YEAR($A103)-1,MONTH($A103),DAY($A103)),$A:$A,0))=""),"",E103/INDEX(E:E,MATCH(DATE(YEAR($A103)-1,MONTH($A103),DAY($A103)),$A:$A,0))-1),"")</f>
        <v/>
      </c>
      <c r="K103" s="19">
        <f>IFERROR(IF(OR(F103="",INDEX(F:F,MATCH(DATE(YEAR($A103)-1,MONTH($A103),DAY($A103)),$A:$A,0))=""),"",F103/INDEX(F:F,MATCH(DATE(YEAR($A103)-1,MONTH($A103),DAY($A103)),$A:$A,0))-1),"")</f>
        <v/>
      </c>
      <c r="L103" s="19">
        <f>IFERROR(IF(OR(G103="",INDEX(G:G,MATCH(DATE(YEAR($A103)-1,MONTH($A103),DAY($A103)),$A:$A,0))=""),"",G103/INDEX(G:G,MATCH(DATE(YEAR($A103)-1,MONTH($A103),DAY($A103)),$A:$A,0))-1),"")</f>
        <v/>
      </c>
      <c r="M103" s="19">
        <f>IF(OR(E103="",E102=""),"",E103/E102-1)</f>
        <v/>
      </c>
      <c r="N103" s="19">
        <f>IF(OR(F103="",F102=""),"",F103/F102-1)</f>
        <v/>
      </c>
      <c r="O103" s="19">
        <f>IF(OR(G103="",G102=""),"",G103/G102-1)</f>
        <v/>
      </c>
      <c r="P103" s="22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IF(R103="","",P103/R103)</f>
        <v/>
      </c>
      <c r="T103" s="23">
        <f>IF(R103="","",Q103/R103)</f>
        <v/>
      </c>
      <c r="U103" s="24">
        <f>IF(SUMIFS('Daily NSE Equity Options'!$M:$M,'Daily NSE Equity Options'!$A:$A,$A103)=0,"",SUMIFS('Daily NSE Equity Options'!$M:$M,'Daily NSE Equity Options'!$A:$A,$A103))</f>
        <v/>
      </c>
      <c r="V103" s="9">
        <f>IF(SUMIFS('Daily BSE Equity Options'!$M:$M,'Daily BSE Equity Options'!$A:$A,$A103)=0,"",SUMIFS('Daily BSE Equity Options'!$M:$M,'Daily BSE Equity Options'!$A:$A,$A103))</f>
        <v/>
      </c>
      <c r="W103" s="9">
        <f>IF(OR(U103="",V103=""),"",U103+V103)</f>
        <v/>
      </c>
      <c r="X103" s="25">
        <f>IF(W103="","",U103/W103)</f>
        <v/>
      </c>
      <c r="Y103" s="25">
        <f>IF(W103="","",V103/W103)</f>
        <v/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19">
        <f>IF(G104="","",E104/G104)</f>
        <v/>
      </c>
      <c r="I104" s="19">
        <f>IF(G104="","",F104/G104)</f>
        <v/>
      </c>
      <c r="J104" s="26">
        <f>IFERROR(IF(OR(E104="",INDEX(E:E,MATCH(DATE(YEAR($A104)-1,MONTH($A104),DAY($A104)),$A:$A,0))=""),"",E104/INDEX(E:E,MATCH(DATE(YEAR($A104)-1,MONTH($A104),DAY($A104)),$A:$A,0))-1),"")</f>
        <v/>
      </c>
      <c r="K104" s="19">
        <f>IFERROR(IF(OR(F104="",INDEX(F:F,MATCH(DATE(YEAR($A104)-1,MONTH($A104),DAY($A104)),$A:$A,0))=""),"",F104/INDEX(F:F,MATCH(DATE(YEAR($A104)-1,MONTH($A104),DAY($A104)),$A:$A,0))-1),"")</f>
        <v/>
      </c>
      <c r="L104" s="19">
        <f>IFERROR(IF(OR(G104="",INDEX(G:G,MATCH(DATE(YEAR($A104)-1,MONTH($A104),DAY($A104)),$A:$A,0))=""),"",G104/INDEX(G:G,MATCH(DATE(YEAR($A104)-1,MONTH($A104),DAY($A104)),$A:$A,0))-1),"")</f>
        <v/>
      </c>
      <c r="M104" s="19">
        <f>IF(OR(E104="",E103=""),"",E104/E103-1)</f>
        <v/>
      </c>
      <c r="N104" s="19">
        <f>IF(OR(F104="",F103=""),"",F104/F103-1)</f>
        <v/>
      </c>
      <c r="O104" s="19">
        <f>IF(OR(G104="",G103=""),"",G104/G103-1)</f>
        <v/>
      </c>
      <c r="P104" s="22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IF(R104="","",P104/R104)</f>
        <v/>
      </c>
      <c r="T104" s="23">
        <f>IF(R104="","",Q104/R104)</f>
        <v/>
      </c>
      <c r="U104" s="24">
        <f>IF(SUMIFS('Daily NSE Equity Options'!$M:$M,'Daily NSE Equity Options'!$A:$A,$A104)=0,"",SUMIFS('Daily NSE Equity Options'!$M:$M,'Daily NSE Equity Options'!$A:$A,$A104))</f>
        <v/>
      </c>
      <c r="V104" s="9">
        <f>IF(SUMIFS('Daily BSE Equity Options'!$M:$M,'Daily BSE Equity Options'!$A:$A,$A104)=0,"",SUMIFS('Daily BSE Equity Options'!$M:$M,'Daily BSE Equity Options'!$A:$A,$A104))</f>
        <v/>
      </c>
      <c r="W104" s="9">
        <f>IF(OR(U104="",V104=""),"",U104+V104)</f>
        <v/>
      </c>
      <c r="X104" s="25">
        <f>IF(W104="","",U104/W104)</f>
        <v/>
      </c>
      <c r="Y104" s="25">
        <f>IF(W104="","",V104/W104)</f>
        <v/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19">
        <f>IF(G105="","",E105/G105)</f>
        <v/>
      </c>
      <c r="I105" s="19">
        <f>IF(G105="","",F105/G105)</f>
        <v/>
      </c>
      <c r="J105" s="26">
        <f>IFERROR(IF(OR(E105="",INDEX(E:E,MATCH(DATE(YEAR($A105)-1,MONTH($A105),DAY($A105)),$A:$A,0))=""),"",E105/INDEX(E:E,MATCH(DATE(YEAR($A105)-1,MONTH($A105),DAY($A105)),$A:$A,0))-1),"")</f>
        <v/>
      </c>
      <c r="K105" s="19">
        <f>IFERROR(IF(OR(F105="",INDEX(F:F,MATCH(DATE(YEAR($A105)-1,MONTH($A105),DAY($A105)),$A:$A,0))=""),"",F105/INDEX(F:F,MATCH(DATE(YEAR($A105)-1,MONTH($A105),DAY($A105)),$A:$A,0))-1),"")</f>
        <v/>
      </c>
      <c r="L105" s="19">
        <f>IFERROR(IF(OR(G105="",INDEX(G:G,MATCH(DATE(YEAR($A105)-1,MONTH($A105),DAY($A105)),$A:$A,0))=""),"",G105/INDEX(G:G,MATCH(DATE(YEAR($A105)-1,MONTH($A105),DAY($A105)),$A:$A,0))-1),"")</f>
        <v/>
      </c>
      <c r="M105" s="19">
        <f>IF(OR(E105="",E104=""),"",E105/E104-1)</f>
        <v/>
      </c>
      <c r="N105" s="19">
        <f>IF(OR(F105="",F104=""),"",F105/F104-1)</f>
        <v/>
      </c>
      <c r="O105" s="19">
        <f>IF(OR(G105="",G104=""),"",G105/G104-1)</f>
        <v/>
      </c>
      <c r="P105" s="22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IF(R105="","",P105/R105)</f>
        <v/>
      </c>
      <c r="T105" s="23">
        <f>IF(R105="","",Q105/R105)</f>
        <v/>
      </c>
      <c r="U105" s="24">
        <f>IF(SUMIFS('Daily NSE Equity Options'!$M:$M,'Daily NSE Equity Options'!$A:$A,$A105)=0,"",SUMIFS('Daily NSE Equity Options'!$M:$M,'Daily NSE Equity Options'!$A:$A,$A105))</f>
        <v/>
      </c>
      <c r="V105" s="9">
        <f>IF(SUMIFS('Daily BSE Equity Options'!$M:$M,'Daily BSE Equity Options'!$A:$A,$A105)=0,"",SUMIFS('Daily BSE Equity Options'!$M:$M,'Daily BSE Equity Options'!$A:$A,$A105))</f>
        <v/>
      </c>
      <c r="W105" s="9">
        <f>IF(OR(U105="",V105=""),"",U105+V105)</f>
        <v/>
      </c>
      <c r="X105" s="25">
        <f>IF(W105="","",U105/W105)</f>
        <v/>
      </c>
      <c r="Y105" s="25">
        <f>IF(W105="","",V105/W105)</f>
        <v/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19">
        <f>IF(G106="","",E106/G106)</f>
        <v/>
      </c>
      <c r="I106" s="19">
        <f>IF(G106="","",F106/G106)</f>
        <v/>
      </c>
      <c r="J106" s="26">
        <f>IFERROR(IF(OR(E106="",INDEX(E:E,MATCH(DATE(YEAR($A106)-1,MONTH($A106),DAY($A106)),$A:$A,0))=""),"",E106/INDEX(E:E,MATCH(DATE(YEAR($A106)-1,MONTH($A106),DAY($A106)),$A:$A,0))-1),"")</f>
        <v/>
      </c>
      <c r="K106" s="19">
        <f>IFERROR(IF(OR(F106="",INDEX(F:F,MATCH(DATE(YEAR($A106)-1,MONTH($A106),DAY($A106)),$A:$A,0))=""),"",F106/INDEX(F:F,MATCH(DATE(YEAR($A106)-1,MONTH($A106),DAY($A106)),$A:$A,0))-1),"")</f>
        <v/>
      </c>
      <c r="L106" s="19">
        <f>IFERROR(IF(OR(G106="",INDEX(G:G,MATCH(DATE(YEAR($A106)-1,MONTH($A106),DAY($A106)),$A:$A,0))=""),"",G106/INDEX(G:G,MATCH(DATE(YEAR($A106)-1,MONTH($A106),DAY($A106)),$A:$A,0))-1),"")</f>
        <v/>
      </c>
      <c r="M106" s="19">
        <f>IF(OR(E106="",E105=""),"",E106/E105-1)</f>
        <v/>
      </c>
      <c r="N106" s="19">
        <f>IF(OR(F106="",F105=""),"",F106/F105-1)</f>
        <v/>
      </c>
      <c r="O106" s="19">
        <f>IF(OR(G106="",G105=""),"",G106/G105-1)</f>
        <v/>
      </c>
      <c r="P106" s="22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IF(R106="","",P106/R106)</f>
        <v/>
      </c>
      <c r="T106" s="23">
        <f>IF(R106="","",Q106/R106)</f>
        <v/>
      </c>
      <c r="U106" s="24">
        <f>IF(SUMIFS('Daily NSE Equity Options'!$M:$M,'Daily NSE Equity Options'!$A:$A,$A106)=0,"",SUMIFS('Daily NSE Equity Options'!$M:$M,'Daily NSE Equity Options'!$A:$A,$A106))</f>
        <v/>
      </c>
      <c r="V106" s="9">
        <f>IF(SUMIFS('Daily BSE Equity Options'!$M:$M,'Daily BSE Equity Options'!$A:$A,$A106)=0,"",SUMIFS('Daily BSE Equity Options'!$M:$M,'Daily BSE Equity Options'!$A:$A,$A106))</f>
        <v/>
      </c>
      <c r="W106" s="9">
        <f>IF(OR(U106="",V106=""),"",U106+V106)</f>
        <v/>
      </c>
      <c r="X106" s="25">
        <f>IF(W106="","",U106/W106)</f>
        <v/>
      </c>
      <c r="Y106" s="25">
        <f>IF(W106="","",V106/W106)</f>
        <v/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19">
        <f>IF(G107="","",E107/G107)</f>
        <v/>
      </c>
      <c r="I107" s="19">
        <f>IF(G107="","",F107/G107)</f>
        <v/>
      </c>
      <c r="J107" s="26">
        <f>IFERROR(IF(OR(E107="",INDEX(E:E,MATCH(DATE(YEAR($A107)-1,MONTH($A107),DAY($A107)),$A:$A,0))=""),"",E107/INDEX(E:E,MATCH(DATE(YEAR($A107)-1,MONTH($A107),DAY($A107)),$A:$A,0))-1),"")</f>
        <v/>
      </c>
      <c r="K107" s="19">
        <f>IFERROR(IF(OR(F107="",INDEX(F:F,MATCH(DATE(YEAR($A107)-1,MONTH($A107),DAY($A107)),$A:$A,0))=""),"",F107/INDEX(F:F,MATCH(DATE(YEAR($A107)-1,MONTH($A107),DAY($A107)),$A:$A,0))-1),"")</f>
        <v/>
      </c>
      <c r="L107" s="19">
        <f>IFERROR(IF(OR(G107="",INDEX(G:G,MATCH(DATE(YEAR($A107)-1,MONTH($A107),DAY($A107)),$A:$A,0))=""),"",G107/INDEX(G:G,MATCH(DATE(YEAR($A107)-1,MONTH($A107),DAY($A107)),$A:$A,0))-1),"")</f>
        <v/>
      </c>
      <c r="M107" s="19">
        <f>IF(OR(E107="",E106=""),"",E107/E106-1)</f>
        <v/>
      </c>
      <c r="N107" s="19">
        <f>IF(OR(F107="",F106=""),"",F107/F106-1)</f>
        <v/>
      </c>
      <c r="O107" s="19">
        <f>IF(OR(G107="",G106=""),"",G107/G106-1)</f>
        <v/>
      </c>
      <c r="P107" s="22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IF(R107="","",P107/R107)</f>
        <v/>
      </c>
      <c r="T107" s="23">
        <f>IF(R107="","",Q107/R107)</f>
        <v/>
      </c>
      <c r="U107" s="24">
        <f>IF(SUMIFS('Daily NSE Equity Options'!$M:$M,'Daily NSE Equity Options'!$A:$A,$A107)=0,"",SUMIFS('Daily NSE Equity Options'!$M:$M,'Daily NSE Equity Options'!$A:$A,$A107))</f>
        <v/>
      </c>
      <c r="V107" s="9">
        <f>IF(SUMIFS('Daily BSE Equity Options'!$M:$M,'Daily BSE Equity Options'!$A:$A,$A107)=0,"",SUMIFS('Daily BSE Equity Options'!$M:$M,'Daily BSE Equity Options'!$A:$A,$A107))</f>
        <v/>
      </c>
      <c r="W107" s="9">
        <f>IF(OR(U107="",V107=""),"",U107+V107)</f>
        <v/>
      </c>
      <c r="X107" s="25">
        <f>IF(W107="","",U107/W107)</f>
        <v/>
      </c>
      <c r="Y107" s="25">
        <f>IF(W107="","",V107/W107)</f>
        <v/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19">
        <f>IF(G108="","",E108/G108)</f>
        <v/>
      </c>
      <c r="I108" s="19">
        <f>IF(G108="","",F108/G108)</f>
        <v/>
      </c>
      <c r="J108" s="26">
        <f>IFERROR(IF(OR(E108="",INDEX(E:E,MATCH(DATE(YEAR($A108)-1,MONTH($A108),DAY($A108)),$A:$A,0))=""),"",E108/INDEX(E:E,MATCH(DATE(YEAR($A108)-1,MONTH($A108),DAY($A108)),$A:$A,0))-1),"")</f>
        <v/>
      </c>
      <c r="K108" s="19">
        <f>IFERROR(IF(OR(F108="",INDEX(F:F,MATCH(DATE(YEAR($A108)-1,MONTH($A108),DAY($A108)),$A:$A,0))=""),"",F108/INDEX(F:F,MATCH(DATE(YEAR($A108)-1,MONTH($A108),DAY($A108)),$A:$A,0))-1),"")</f>
        <v/>
      </c>
      <c r="L108" s="19">
        <f>IFERROR(IF(OR(G108="",INDEX(G:G,MATCH(DATE(YEAR($A108)-1,MONTH($A108),DAY($A108)),$A:$A,0))=""),"",G108/INDEX(G:G,MATCH(DATE(YEAR($A108)-1,MONTH($A108),DAY($A108)),$A:$A,0))-1),"")</f>
        <v/>
      </c>
      <c r="M108" s="19">
        <f>IF(OR(E108="",E107=""),"",E108/E107-1)</f>
        <v/>
      </c>
      <c r="N108" s="19">
        <f>IF(OR(F108="",F107=""),"",F108/F107-1)</f>
        <v/>
      </c>
      <c r="O108" s="19">
        <f>IF(OR(G108="",G107=""),"",G108/G107-1)</f>
        <v/>
      </c>
      <c r="P108" s="22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IF(R108="","",P108/R108)</f>
        <v/>
      </c>
      <c r="T108" s="23">
        <f>IF(R108="","",Q108/R108)</f>
        <v/>
      </c>
      <c r="U108" s="24">
        <f>IF(SUMIFS('Daily NSE Equity Options'!$M:$M,'Daily NSE Equity Options'!$A:$A,$A108)=0,"",SUMIFS('Daily NSE Equity Options'!$M:$M,'Daily NSE Equity Options'!$A:$A,$A108))</f>
        <v/>
      </c>
      <c r="V108" s="9">
        <f>IF(SUMIFS('Daily BSE Equity Options'!$M:$M,'Daily BSE Equity Options'!$A:$A,$A108)=0,"",SUMIFS('Daily BSE Equity Options'!$M:$M,'Daily BSE Equity Options'!$A:$A,$A108))</f>
        <v/>
      </c>
      <c r="W108" s="9">
        <f>IF(OR(U108="",V108=""),"",U108+V108)</f>
        <v/>
      </c>
      <c r="X108" s="25">
        <f>IF(W108="","",U108/W108)</f>
        <v/>
      </c>
      <c r="Y108" s="25">
        <f>IF(W108="","",V108/W108)</f>
        <v/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19">
        <f>IF(G109="","",E109/G109)</f>
        <v/>
      </c>
      <c r="I109" s="19">
        <f>IF(G109="","",F109/G109)</f>
        <v/>
      </c>
      <c r="J109" s="26">
        <f>IFERROR(IF(OR(E109="",INDEX(E:E,MATCH(DATE(YEAR($A109)-1,MONTH($A109),DAY($A109)),$A:$A,0))=""),"",E109/INDEX(E:E,MATCH(DATE(YEAR($A109)-1,MONTH($A109),DAY($A109)),$A:$A,0))-1),"")</f>
        <v/>
      </c>
      <c r="K109" s="19">
        <f>IFERROR(IF(OR(F109="",INDEX(F:F,MATCH(DATE(YEAR($A109)-1,MONTH($A109),DAY($A109)),$A:$A,0))=""),"",F109/INDEX(F:F,MATCH(DATE(YEAR($A109)-1,MONTH($A109),DAY($A109)),$A:$A,0))-1),"")</f>
        <v/>
      </c>
      <c r="L109" s="19">
        <f>IFERROR(IF(OR(G109="",INDEX(G:G,MATCH(DATE(YEAR($A109)-1,MONTH($A109),DAY($A109)),$A:$A,0))=""),"",G109/INDEX(G:G,MATCH(DATE(YEAR($A109)-1,MONTH($A109),DAY($A109)),$A:$A,0))-1),"")</f>
        <v/>
      </c>
      <c r="M109" s="19">
        <f>IF(OR(E109="",E108=""),"",E109/E108-1)</f>
        <v/>
      </c>
      <c r="N109" s="19">
        <f>IF(OR(F109="",F108=""),"",F109/F108-1)</f>
        <v/>
      </c>
      <c r="O109" s="19">
        <f>IF(OR(G109="",G108=""),"",G109/G108-1)</f>
        <v/>
      </c>
      <c r="P109" s="22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IF(R109="","",P109/R109)</f>
        <v/>
      </c>
      <c r="T109" s="23">
        <f>IF(R109="","",Q109/R109)</f>
        <v/>
      </c>
      <c r="U109" s="24">
        <f>IF(SUMIFS('Daily NSE Equity Options'!$M:$M,'Daily NSE Equity Options'!$A:$A,$A109)=0,"",SUMIFS('Daily NSE Equity Options'!$M:$M,'Daily NSE Equity Options'!$A:$A,$A109))</f>
        <v/>
      </c>
      <c r="V109" s="9">
        <f>IF(SUMIFS('Daily BSE Equity Options'!$M:$M,'Daily BSE Equity Options'!$A:$A,$A109)=0,"",SUMIFS('Daily BSE Equity Options'!$M:$M,'Daily BSE Equity Options'!$A:$A,$A109))</f>
        <v/>
      </c>
      <c r="W109" s="9">
        <f>IF(OR(U109="",V109=""),"",U109+V109)</f>
        <v/>
      </c>
      <c r="X109" s="25">
        <f>IF(W109="","",U109/W109)</f>
        <v/>
      </c>
      <c r="Y109" s="25">
        <f>IF(W109="","",V109/W109)</f>
        <v/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19">
        <f>IF(G110="","",E110/G110)</f>
        <v/>
      </c>
      <c r="I110" s="19">
        <f>IF(G110="","",F110/G110)</f>
        <v/>
      </c>
      <c r="J110" s="26">
        <f>IFERROR(IF(OR(E110="",INDEX(E:E,MATCH(DATE(YEAR($A110)-1,MONTH($A110),DAY($A110)),$A:$A,0))=""),"",E110/INDEX(E:E,MATCH(DATE(YEAR($A110)-1,MONTH($A110),DAY($A110)),$A:$A,0))-1),"")</f>
        <v/>
      </c>
      <c r="K110" s="19">
        <f>IFERROR(IF(OR(F110="",INDEX(F:F,MATCH(DATE(YEAR($A110)-1,MONTH($A110),DAY($A110)),$A:$A,0))=""),"",F110/INDEX(F:F,MATCH(DATE(YEAR($A110)-1,MONTH($A110),DAY($A110)),$A:$A,0))-1),"")</f>
        <v/>
      </c>
      <c r="L110" s="19">
        <f>IFERROR(IF(OR(G110="",INDEX(G:G,MATCH(DATE(YEAR($A110)-1,MONTH($A110),DAY($A110)),$A:$A,0))=""),"",G110/INDEX(G:G,MATCH(DATE(YEAR($A110)-1,MONTH($A110),DAY($A110)),$A:$A,0))-1),"")</f>
        <v/>
      </c>
      <c r="M110" s="19">
        <f>IF(OR(E110="",E109=""),"",E110/E109-1)</f>
        <v/>
      </c>
      <c r="N110" s="19">
        <f>IF(OR(F110="",F109=""),"",F110/F109-1)</f>
        <v/>
      </c>
      <c r="O110" s="19">
        <f>IF(OR(G110="",G109=""),"",G110/G109-1)</f>
        <v/>
      </c>
      <c r="P110" s="22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IF(R110="","",P110/R110)</f>
        <v/>
      </c>
      <c r="T110" s="23">
        <f>IF(R110="","",Q110/R110)</f>
        <v/>
      </c>
      <c r="U110" s="24">
        <f>IF(SUMIFS('Daily NSE Equity Options'!$M:$M,'Daily NSE Equity Options'!$A:$A,$A110)=0,"",SUMIFS('Daily NSE Equity Options'!$M:$M,'Daily NSE Equity Options'!$A:$A,$A110))</f>
        <v/>
      </c>
      <c r="V110" s="9">
        <f>IF(SUMIFS('Daily BSE Equity Options'!$M:$M,'Daily BSE Equity Options'!$A:$A,$A110)=0,"",SUMIFS('Daily BSE Equity Options'!$M:$M,'Daily BSE Equity Options'!$A:$A,$A110))</f>
        <v/>
      </c>
      <c r="W110" s="9">
        <f>IF(OR(U110="",V110=""),"",U110+V110)</f>
        <v/>
      </c>
      <c r="X110" s="25">
        <f>IF(W110="","",U110/W110)</f>
        <v/>
      </c>
      <c r="Y110" s="25">
        <f>IF(W110="","",V110/W110)</f>
        <v/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19">
        <f>IF(G111="","",E111/G111)</f>
        <v/>
      </c>
      <c r="I111" s="19">
        <f>IF(G111="","",F111/G111)</f>
        <v/>
      </c>
      <c r="J111" s="26">
        <f>IFERROR(IF(OR(E111="",INDEX(E:E,MATCH(DATE(YEAR($A111)-1,MONTH($A111),DAY($A111)),$A:$A,0))=""),"",E111/INDEX(E:E,MATCH(DATE(YEAR($A111)-1,MONTH($A111),DAY($A111)),$A:$A,0))-1),"")</f>
        <v/>
      </c>
      <c r="K111" s="19">
        <f>IFERROR(IF(OR(F111="",INDEX(F:F,MATCH(DATE(YEAR($A111)-1,MONTH($A111),DAY($A111)),$A:$A,0))=""),"",F111/INDEX(F:F,MATCH(DATE(YEAR($A111)-1,MONTH($A111),DAY($A111)),$A:$A,0))-1),"")</f>
        <v/>
      </c>
      <c r="L111" s="19">
        <f>IFERROR(IF(OR(G111="",INDEX(G:G,MATCH(DATE(YEAR($A111)-1,MONTH($A111),DAY($A111)),$A:$A,0))=""),"",G111/INDEX(G:G,MATCH(DATE(YEAR($A111)-1,MONTH($A111),DAY($A111)),$A:$A,0))-1),"")</f>
        <v/>
      </c>
      <c r="M111" s="19">
        <f>IF(OR(E111="",E110=""),"",E111/E110-1)</f>
        <v/>
      </c>
      <c r="N111" s="19">
        <f>IF(OR(F111="",F110=""),"",F111/F110-1)</f>
        <v/>
      </c>
      <c r="O111" s="19">
        <f>IF(OR(G111="",G110=""),"",G111/G110-1)</f>
        <v/>
      </c>
      <c r="P111" s="22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IF(R111="","",P111/R111)</f>
        <v/>
      </c>
      <c r="T111" s="23">
        <f>IF(R111="","",Q111/R111)</f>
        <v/>
      </c>
      <c r="U111" s="24">
        <f>IF(SUMIFS('Daily NSE Equity Options'!$M:$M,'Daily NSE Equity Options'!$A:$A,$A111)=0,"",SUMIFS('Daily NSE Equity Options'!$M:$M,'Daily NSE Equity Options'!$A:$A,$A111))</f>
        <v/>
      </c>
      <c r="V111" s="9">
        <f>IF(SUMIFS('Daily BSE Equity Options'!$M:$M,'Daily BSE Equity Options'!$A:$A,$A111)=0,"",SUMIFS('Daily BSE Equity Options'!$M:$M,'Daily BSE Equity Options'!$A:$A,$A111))</f>
        <v/>
      </c>
      <c r="W111" s="9">
        <f>IF(OR(U111="",V111=""),"",U111+V111)</f>
        <v/>
      </c>
      <c r="X111" s="25">
        <f>IF(W111="","",U111/W111)</f>
        <v/>
      </c>
      <c r="Y111" s="25">
        <f>IF(W111="","",V111/W111)</f>
        <v/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19">
        <f>IF(G112="","",E112/G112)</f>
        <v/>
      </c>
      <c r="I112" s="19">
        <f>IF(G112="","",F112/G112)</f>
        <v/>
      </c>
      <c r="J112" s="26">
        <f>IFERROR(IF(OR(E112="",INDEX(E:E,MATCH(DATE(YEAR($A112)-1,MONTH($A112),DAY($A112)),$A:$A,0))=""),"",E112/INDEX(E:E,MATCH(DATE(YEAR($A112)-1,MONTH($A112),DAY($A112)),$A:$A,0))-1),"")</f>
        <v/>
      </c>
      <c r="K112" s="19">
        <f>IFERROR(IF(OR(F112="",INDEX(F:F,MATCH(DATE(YEAR($A112)-1,MONTH($A112),DAY($A112)),$A:$A,0))=""),"",F112/INDEX(F:F,MATCH(DATE(YEAR($A112)-1,MONTH($A112),DAY($A112)),$A:$A,0))-1),"")</f>
        <v/>
      </c>
      <c r="L112" s="19">
        <f>IFERROR(IF(OR(G112="",INDEX(G:G,MATCH(DATE(YEAR($A112)-1,MONTH($A112),DAY($A112)),$A:$A,0))=""),"",G112/INDEX(G:G,MATCH(DATE(YEAR($A112)-1,MONTH($A112),DAY($A112)),$A:$A,0))-1),"")</f>
        <v/>
      </c>
      <c r="M112" s="19">
        <f>IF(OR(E112="",E111=""),"",E112/E111-1)</f>
        <v/>
      </c>
      <c r="N112" s="19">
        <f>IF(OR(F112="",F111=""),"",F112/F111-1)</f>
        <v/>
      </c>
      <c r="O112" s="19">
        <f>IF(OR(G112="",G111=""),"",G112/G111-1)</f>
        <v/>
      </c>
      <c r="P112" s="22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IF(R112="","",P112/R112)</f>
        <v/>
      </c>
      <c r="T112" s="23">
        <f>IF(R112="","",Q112/R112)</f>
        <v/>
      </c>
      <c r="U112" s="24">
        <f>IF(SUMIFS('Daily NSE Equity Options'!$M:$M,'Daily NSE Equity Options'!$A:$A,$A112)=0,"",SUMIFS('Daily NSE Equity Options'!$M:$M,'Daily NSE Equity Options'!$A:$A,$A112))</f>
        <v/>
      </c>
      <c r="V112" s="9">
        <f>IF(SUMIFS('Daily BSE Equity Options'!$M:$M,'Daily BSE Equity Options'!$A:$A,$A112)=0,"",SUMIFS('Daily BSE Equity Options'!$M:$M,'Daily BSE Equity Options'!$A:$A,$A112))</f>
        <v/>
      </c>
      <c r="W112" s="9">
        <f>IF(OR(U112="",V112=""),"",U112+V112)</f>
        <v/>
      </c>
      <c r="X112" s="25">
        <f>IF(W112="","",U112/W112)</f>
        <v/>
      </c>
      <c r="Y112" s="25">
        <f>IF(W112="","",V112/W112)</f>
        <v/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19">
        <f>IF(G113="","",E113/G113)</f>
        <v/>
      </c>
      <c r="I113" s="19">
        <f>IF(G113="","",F113/G113)</f>
        <v/>
      </c>
      <c r="J113" s="26">
        <f>IFERROR(IF(OR(E113="",INDEX(E:E,MATCH(DATE(YEAR($A113)-1,MONTH($A113),DAY($A113)),$A:$A,0))=""),"",E113/INDEX(E:E,MATCH(DATE(YEAR($A113)-1,MONTH($A113),DAY($A113)),$A:$A,0))-1),"")</f>
        <v/>
      </c>
      <c r="K113" s="19">
        <f>IFERROR(IF(OR(F113="",INDEX(F:F,MATCH(DATE(YEAR($A113)-1,MONTH($A113),DAY($A113)),$A:$A,0))=""),"",F113/INDEX(F:F,MATCH(DATE(YEAR($A113)-1,MONTH($A113),DAY($A113)),$A:$A,0))-1),"")</f>
        <v/>
      </c>
      <c r="L113" s="19">
        <f>IFERROR(IF(OR(G113="",INDEX(G:G,MATCH(DATE(YEAR($A113)-1,MONTH($A113),DAY($A113)),$A:$A,0))=""),"",G113/INDEX(G:G,MATCH(DATE(YEAR($A113)-1,MONTH($A113),DAY($A113)),$A:$A,0))-1),"")</f>
        <v/>
      </c>
      <c r="M113" s="19">
        <f>IF(OR(E113="",E112=""),"",E113/E112-1)</f>
        <v/>
      </c>
      <c r="N113" s="19">
        <f>IF(OR(F113="",F112=""),"",F113/F112-1)</f>
        <v/>
      </c>
      <c r="O113" s="19">
        <f>IF(OR(G113="",G112=""),"",G113/G112-1)</f>
        <v/>
      </c>
      <c r="P113" s="22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IF(R113="","",P113/R113)</f>
        <v/>
      </c>
      <c r="T113" s="23">
        <f>IF(R113="","",Q113/R113)</f>
        <v/>
      </c>
      <c r="U113" s="24">
        <f>IF(SUMIFS('Daily NSE Equity Options'!$M:$M,'Daily NSE Equity Options'!$A:$A,$A113)=0,"",SUMIFS('Daily NSE Equity Options'!$M:$M,'Daily NSE Equity Options'!$A:$A,$A113))</f>
        <v/>
      </c>
      <c r="V113" s="9">
        <f>IF(SUMIFS('Daily BSE Equity Options'!$M:$M,'Daily BSE Equity Options'!$A:$A,$A113)=0,"",SUMIFS('Daily BSE Equity Options'!$M:$M,'Daily BSE Equity Options'!$A:$A,$A113))</f>
        <v/>
      </c>
      <c r="W113" s="9">
        <f>IF(OR(U113="",V113=""),"",U113+V113)</f>
        <v/>
      </c>
      <c r="X113" s="25">
        <f>IF(W113="","",U113/W113)</f>
        <v/>
      </c>
      <c r="Y113" s="25">
        <f>IF(W113="","",V113/W113)</f>
        <v/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19">
        <f>IF(G114="","",E114/G114)</f>
        <v/>
      </c>
      <c r="I114" s="19">
        <f>IF(G114="","",F114/G114)</f>
        <v/>
      </c>
      <c r="J114" s="26">
        <f>IFERROR(IF(OR(E114="",INDEX(E:E,MATCH(DATE(YEAR($A114)-1,MONTH($A114),DAY($A114)),$A:$A,0))=""),"",E114/INDEX(E:E,MATCH(DATE(YEAR($A114)-1,MONTH($A114),DAY($A114)),$A:$A,0))-1),"")</f>
        <v/>
      </c>
      <c r="K114" s="19">
        <f>IFERROR(IF(OR(F114="",INDEX(F:F,MATCH(DATE(YEAR($A114)-1,MONTH($A114),DAY($A114)),$A:$A,0))=""),"",F114/INDEX(F:F,MATCH(DATE(YEAR($A114)-1,MONTH($A114),DAY($A114)),$A:$A,0))-1),"")</f>
        <v/>
      </c>
      <c r="L114" s="19">
        <f>IFERROR(IF(OR(G114="",INDEX(G:G,MATCH(DATE(YEAR($A114)-1,MONTH($A114),DAY($A114)),$A:$A,0))=""),"",G114/INDEX(G:G,MATCH(DATE(YEAR($A114)-1,MONTH($A114),DAY($A114)),$A:$A,0))-1),"")</f>
        <v/>
      </c>
      <c r="M114" s="19">
        <f>IF(OR(E114="",E113=""),"",E114/E113-1)</f>
        <v/>
      </c>
      <c r="N114" s="19">
        <f>IF(OR(F114="",F113=""),"",F114/F113-1)</f>
        <v/>
      </c>
      <c r="O114" s="19">
        <f>IF(OR(G114="",G113=""),"",G114/G113-1)</f>
        <v/>
      </c>
      <c r="P114" s="22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IF(R114="","",P114/R114)</f>
        <v/>
      </c>
      <c r="T114" s="23">
        <f>IF(R114="","",Q114/R114)</f>
        <v/>
      </c>
      <c r="U114" s="24">
        <f>IF(SUMIFS('Daily NSE Equity Options'!$M:$M,'Daily NSE Equity Options'!$A:$A,$A114)=0,"",SUMIFS('Daily NSE Equity Options'!$M:$M,'Daily NSE Equity Options'!$A:$A,$A114))</f>
        <v/>
      </c>
      <c r="V114" s="9">
        <f>IF(SUMIFS('Daily BSE Equity Options'!$M:$M,'Daily BSE Equity Options'!$A:$A,$A114)=0,"",SUMIFS('Daily BSE Equity Options'!$M:$M,'Daily BSE Equity Options'!$A:$A,$A114))</f>
        <v/>
      </c>
      <c r="W114" s="9">
        <f>IF(OR(U114="",V114=""),"",U114+V114)</f>
        <v/>
      </c>
      <c r="X114" s="25">
        <f>IF(W114="","",U114/W114)</f>
        <v/>
      </c>
      <c r="Y114" s="25">
        <f>IF(W114="","",V114/W114)</f>
        <v/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19">
        <f>IF(G115="","",E115/G115)</f>
        <v/>
      </c>
      <c r="I115" s="19">
        <f>IF(G115="","",F115/G115)</f>
        <v/>
      </c>
      <c r="J115" s="26">
        <f>IFERROR(IF(OR(E115="",INDEX(E:E,MATCH(DATE(YEAR($A115)-1,MONTH($A115),DAY($A115)),$A:$A,0))=""),"",E115/INDEX(E:E,MATCH(DATE(YEAR($A115)-1,MONTH($A115),DAY($A115)),$A:$A,0))-1),"")</f>
        <v/>
      </c>
      <c r="K115" s="19">
        <f>IFERROR(IF(OR(F115="",INDEX(F:F,MATCH(DATE(YEAR($A115)-1,MONTH($A115),DAY($A115)),$A:$A,0))=""),"",F115/INDEX(F:F,MATCH(DATE(YEAR($A115)-1,MONTH($A115),DAY($A115)),$A:$A,0))-1),"")</f>
        <v/>
      </c>
      <c r="L115" s="19">
        <f>IFERROR(IF(OR(G115="",INDEX(G:G,MATCH(DATE(YEAR($A115)-1,MONTH($A115),DAY($A115)),$A:$A,0))=""),"",G115/INDEX(G:G,MATCH(DATE(YEAR($A115)-1,MONTH($A115),DAY($A115)),$A:$A,0))-1),"")</f>
        <v/>
      </c>
      <c r="M115" s="19">
        <f>IF(OR(E115="",E114=""),"",E115/E114-1)</f>
        <v/>
      </c>
      <c r="N115" s="19">
        <f>IF(OR(F115="",F114=""),"",F115/F114-1)</f>
        <v/>
      </c>
      <c r="O115" s="19">
        <f>IF(OR(G115="",G114=""),"",G115/G114-1)</f>
        <v/>
      </c>
      <c r="P115" s="22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IF(R115="","",P115/R115)</f>
        <v/>
      </c>
      <c r="T115" s="23">
        <f>IF(R115="","",Q115/R115)</f>
        <v/>
      </c>
      <c r="U115" s="24">
        <f>IF(SUMIFS('Daily NSE Equity Options'!$M:$M,'Daily NSE Equity Options'!$A:$A,$A115)=0,"",SUMIFS('Daily NSE Equity Options'!$M:$M,'Daily NSE Equity Options'!$A:$A,$A115))</f>
        <v/>
      </c>
      <c r="V115" s="9">
        <f>IF(SUMIFS('Daily BSE Equity Options'!$M:$M,'Daily BSE Equity Options'!$A:$A,$A115)=0,"",SUMIFS('Daily BSE Equity Options'!$M:$M,'Daily BSE Equity Options'!$A:$A,$A115))</f>
        <v/>
      </c>
      <c r="W115" s="9">
        <f>IF(OR(U115="",V115=""),"",U115+V115)</f>
        <v/>
      </c>
      <c r="X115" s="25">
        <f>IF(W115="","",U115/W115)</f>
        <v/>
      </c>
      <c r="Y115" s="25">
        <f>IF(W115="","",V115/W115)</f>
        <v/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19">
        <f>IF(G116="","",E116/G116)</f>
        <v/>
      </c>
      <c r="I116" s="19">
        <f>IF(G116="","",F116/G116)</f>
        <v/>
      </c>
      <c r="J116" s="26">
        <f>IFERROR(IF(OR(E116="",INDEX(E:E,MATCH(DATE(YEAR($A116)-1,MONTH($A116),DAY($A116)),$A:$A,0))=""),"",E116/INDEX(E:E,MATCH(DATE(YEAR($A116)-1,MONTH($A116),DAY($A116)),$A:$A,0))-1),"")</f>
        <v/>
      </c>
      <c r="K116" s="19">
        <f>IFERROR(IF(OR(F116="",INDEX(F:F,MATCH(DATE(YEAR($A116)-1,MONTH($A116),DAY($A116)),$A:$A,0))=""),"",F116/INDEX(F:F,MATCH(DATE(YEAR($A116)-1,MONTH($A116),DAY($A116)),$A:$A,0))-1),"")</f>
        <v/>
      </c>
      <c r="L116" s="19">
        <f>IFERROR(IF(OR(G116="",INDEX(G:G,MATCH(DATE(YEAR($A116)-1,MONTH($A116),DAY($A116)),$A:$A,0))=""),"",G116/INDEX(G:G,MATCH(DATE(YEAR($A116)-1,MONTH($A116),DAY($A116)),$A:$A,0))-1),"")</f>
        <v/>
      </c>
      <c r="M116" s="19">
        <f>IF(OR(E116="",E115=""),"",E116/E115-1)</f>
        <v/>
      </c>
      <c r="N116" s="19">
        <f>IF(OR(F116="",F115=""),"",F116/F115-1)</f>
        <v/>
      </c>
      <c r="O116" s="19">
        <f>IF(OR(G116="",G115=""),"",G116/G115-1)</f>
        <v/>
      </c>
      <c r="P116" s="22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IF(R116="","",P116/R116)</f>
        <v/>
      </c>
      <c r="T116" s="23">
        <f>IF(R116="","",Q116/R116)</f>
        <v/>
      </c>
      <c r="U116" s="24">
        <f>IF(SUMIFS('Daily NSE Equity Options'!$M:$M,'Daily NSE Equity Options'!$A:$A,$A116)=0,"",SUMIFS('Daily NSE Equity Options'!$M:$M,'Daily NSE Equity Options'!$A:$A,$A116))</f>
        <v/>
      </c>
      <c r="V116" s="9">
        <f>IF(SUMIFS('Daily BSE Equity Options'!$M:$M,'Daily BSE Equity Options'!$A:$A,$A116)=0,"",SUMIFS('Daily BSE Equity Options'!$M:$M,'Daily BSE Equity Options'!$A:$A,$A116))</f>
        <v/>
      </c>
      <c r="W116" s="9">
        <f>IF(OR(U116="",V116=""),"",U116+V116)</f>
        <v/>
      </c>
      <c r="X116" s="25">
        <f>IF(W116="","",U116/W116)</f>
        <v/>
      </c>
      <c r="Y116" s="25">
        <f>IF(W116="","",V116/W116)</f>
        <v/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19">
        <f>IF(G117="","",E117/G117)</f>
        <v/>
      </c>
      <c r="I117" s="19">
        <f>IF(G117="","",F117/G117)</f>
        <v/>
      </c>
      <c r="J117" s="26">
        <f>IFERROR(IF(OR(E117="",INDEX(E:E,MATCH(DATE(YEAR($A117)-1,MONTH($A117),DAY($A117)),$A:$A,0))=""),"",E117/INDEX(E:E,MATCH(DATE(YEAR($A117)-1,MONTH($A117),DAY($A117)),$A:$A,0))-1),"")</f>
        <v/>
      </c>
      <c r="K117" s="19">
        <f>IFERROR(IF(OR(F117="",INDEX(F:F,MATCH(DATE(YEAR($A117)-1,MONTH($A117),DAY($A117)),$A:$A,0))=""),"",F117/INDEX(F:F,MATCH(DATE(YEAR($A117)-1,MONTH($A117),DAY($A117)),$A:$A,0))-1),"")</f>
        <v/>
      </c>
      <c r="L117" s="19">
        <f>IFERROR(IF(OR(G117="",INDEX(G:G,MATCH(DATE(YEAR($A117)-1,MONTH($A117),DAY($A117)),$A:$A,0))=""),"",G117/INDEX(G:G,MATCH(DATE(YEAR($A117)-1,MONTH($A117),DAY($A117)),$A:$A,0))-1),"")</f>
        <v/>
      </c>
      <c r="M117" s="19">
        <f>IF(OR(E117="",E116=""),"",E117/E116-1)</f>
        <v/>
      </c>
      <c r="N117" s="19">
        <f>IF(OR(F117="",F116=""),"",F117/F116-1)</f>
        <v/>
      </c>
      <c r="O117" s="19">
        <f>IF(OR(G117="",G116=""),"",G117/G116-1)</f>
        <v/>
      </c>
      <c r="P117" s="22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IF(R117="","",P117/R117)</f>
        <v/>
      </c>
      <c r="T117" s="23">
        <f>IF(R117="","",Q117/R117)</f>
        <v/>
      </c>
      <c r="U117" s="24">
        <f>IF(SUMIFS('Daily NSE Equity Options'!$M:$M,'Daily NSE Equity Options'!$A:$A,$A117)=0,"",SUMIFS('Daily NSE Equity Options'!$M:$M,'Daily NSE Equity Options'!$A:$A,$A117))</f>
        <v/>
      </c>
      <c r="V117" s="9">
        <f>IF(SUMIFS('Daily BSE Equity Options'!$M:$M,'Daily BSE Equity Options'!$A:$A,$A117)=0,"",SUMIFS('Daily BSE Equity Options'!$M:$M,'Daily BSE Equity Options'!$A:$A,$A117))</f>
        <v/>
      </c>
      <c r="W117" s="9">
        <f>IF(OR(U117="",V117=""),"",U117+V117)</f>
        <v/>
      </c>
      <c r="X117" s="25">
        <f>IF(W117="","",U117/W117)</f>
        <v/>
      </c>
      <c r="Y117" s="25">
        <f>IF(W117="","",V117/W117)</f>
        <v/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19">
        <f>IF(G118="","",E118/G118)</f>
        <v/>
      </c>
      <c r="I118" s="19">
        <f>IF(G118="","",F118/G118)</f>
        <v/>
      </c>
      <c r="J118" s="26">
        <f>IFERROR(IF(OR(E118="",INDEX(E:E,MATCH(DATE(YEAR($A118)-1,MONTH($A118),DAY($A118)),$A:$A,0))=""),"",E118/INDEX(E:E,MATCH(DATE(YEAR($A118)-1,MONTH($A118),DAY($A118)),$A:$A,0))-1),"")</f>
        <v/>
      </c>
      <c r="K118" s="19">
        <f>IFERROR(IF(OR(F118="",INDEX(F:F,MATCH(DATE(YEAR($A118)-1,MONTH($A118),DAY($A118)),$A:$A,0))=""),"",F118/INDEX(F:F,MATCH(DATE(YEAR($A118)-1,MONTH($A118),DAY($A118)),$A:$A,0))-1),"")</f>
        <v/>
      </c>
      <c r="L118" s="19">
        <f>IFERROR(IF(OR(G118="",INDEX(G:G,MATCH(DATE(YEAR($A118)-1,MONTH($A118),DAY($A118)),$A:$A,0))=""),"",G118/INDEX(G:G,MATCH(DATE(YEAR($A118)-1,MONTH($A118),DAY($A118)),$A:$A,0))-1),"")</f>
        <v/>
      </c>
      <c r="M118" s="19">
        <f>IF(OR(E118="",E117=""),"",E118/E117-1)</f>
        <v/>
      </c>
      <c r="N118" s="19">
        <f>IF(OR(F118="",F117=""),"",F118/F117-1)</f>
        <v/>
      </c>
      <c r="O118" s="19">
        <f>IF(OR(G118="",G117=""),"",G118/G117-1)</f>
        <v/>
      </c>
      <c r="P118" s="22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IF(R118="","",P118/R118)</f>
        <v/>
      </c>
      <c r="T118" s="23">
        <f>IF(R118="","",Q118/R118)</f>
        <v/>
      </c>
      <c r="U118" s="24">
        <f>IF(SUMIFS('Daily NSE Equity Options'!$M:$M,'Daily NSE Equity Options'!$A:$A,$A118)=0,"",SUMIFS('Daily NSE Equity Options'!$M:$M,'Daily NSE Equity Options'!$A:$A,$A118))</f>
        <v/>
      </c>
      <c r="V118" s="9">
        <f>IF(SUMIFS('Daily BSE Equity Options'!$M:$M,'Daily BSE Equity Options'!$A:$A,$A118)=0,"",SUMIFS('Daily BSE Equity Options'!$M:$M,'Daily BSE Equity Options'!$A:$A,$A118))</f>
        <v/>
      </c>
      <c r="W118" s="9">
        <f>IF(OR(U118="",V118=""),"",U118+V118)</f>
        <v/>
      </c>
      <c r="X118" s="25">
        <f>IF(W118="","",U118/W118)</f>
        <v/>
      </c>
      <c r="Y118" s="25">
        <f>IF(W118="","",V118/W118)</f>
        <v/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19">
        <f>IF(G119="","",E119/G119)</f>
        <v/>
      </c>
      <c r="I119" s="19">
        <f>IF(G119="","",F119/G119)</f>
        <v/>
      </c>
      <c r="J119" s="26">
        <f>IFERROR(IF(OR(E119="",INDEX(E:E,MATCH(DATE(YEAR($A119)-1,MONTH($A119),DAY($A119)),$A:$A,0))=""),"",E119/INDEX(E:E,MATCH(DATE(YEAR($A119)-1,MONTH($A119),DAY($A119)),$A:$A,0))-1),"")</f>
        <v/>
      </c>
      <c r="K119" s="19">
        <f>IFERROR(IF(OR(F119="",INDEX(F:F,MATCH(DATE(YEAR($A119)-1,MONTH($A119),DAY($A119)),$A:$A,0))=""),"",F119/INDEX(F:F,MATCH(DATE(YEAR($A119)-1,MONTH($A119),DAY($A119)),$A:$A,0))-1),"")</f>
        <v/>
      </c>
      <c r="L119" s="19">
        <f>IFERROR(IF(OR(G119="",INDEX(G:G,MATCH(DATE(YEAR($A119)-1,MONTH($A119),DAY($A119)),$A:$A,0))=""),"",G119/INDEX(G:G,MATCH(DATE(YEAR($A119)-1,MONTH($A119),DAY($A119)),$A:$A,0))-1),"")</f>
        <v/>
      </c>
      <c r="M119" s="19">
        <f>IF(OR(E119="",E118=""),"",E119/E118-1)</f>
        <v/>
      </c>
      <c r="N119" s="19">
        <f>IF(OR(F119="",F118=""),"",F119/F118-1)</f>
        <v/>
      </c>
      <c r="O119" s="19">
        <f>IF(OR(G119="",G118=""),"",G119/G118-1)</f>
        <v/>
      </c>
      <c r="P119" s="22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IF(R119="","",P119/R119)</f>
        <v/>
      </c>
      <c r="T119" s="23">
        <f>IF(R119="","",Q119/R119)</f>
        <v/>
      </c>
      <c r="U119" s="24">
        <f>IF(SUMIFS('Daily NSE Equity Options'!$M:$M,'Daily NSE Equity Options'!$A:$A,$A119)=0,"",SUMIFS('Daily NSE Equity Options'!$M:$M,'Daily NSE Equity Options'!$A:$A,$A119))</f>
        <v/>
      </c>
      <c r="V119" s="9">
        <f>IF(SUMIFS('Daily BSE Equity Options'!$M:$M,'Daily BSE Equity Options'!$A:$A,$A119)=0,"",SUMIFS('Daily BSE Equity Options'!$M:$M,'Daily BSE Equity Options'!$A:$A,$A119))</f>
        <v/>
      </c>
      <c r="W119" s="9">
        <f>IF(OR(U119="",V119=""),"",U119+V119)</f>
        <v/>
      </c>
      <c r="X119" s="25">
        <f>IF(W119="","",U119/W119)</f>
        <v/>
      </c>
      <c r="Y119" s="25">
        <f>IF(W119="","",V119/W119)</f>
        <v/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19">
        <f>IF(G120="","",E120/G120)</f>
        <v/>
      </c>
      <c r="I120" s="19">
        <f>IF(G120="","",F120/G120)</f>
        <v/>
      </c>
      <c r="J120" s="26">
        <f>IFERROR(IF(OR(E120="",INDEX(E:E,MATCH(DATE(YEAR($A120)-1,MONTH($A120),DAY($A120)),$A:$A,0))=""),"",E120/INDEX(E:E,MATCH(DATE(YEAR($A120)-1,MONTH($A120),DAY($A120)),$A:$A,0))-1),"")</f>
        <v/>
      </c>
      <c r="K120" s="19">
        <f>IFERROR(IF(OR(F120="",INDEX(F:F,MATCH(DATE(YEAR($A120)-1,MONTH($A120),DAY($A120)),$A:$A,0))=""),"",F120/INDEX(F:F,MATCH(DATE(YEAR($A120)-1,MONTH($A120),DAY($A120)),$A:$A,0))-1),"")</f>
        <v/>
      </c>
      <c r="L120" s="19">
        <f>IFERROR(IF(OR(G120="",INDEX(G:G,MATCH(DATE(YEAR($A120)-1,MONTH($A120),DAY($A120)),$A:$A,0))=""),"",G120/INDEX(G:G,MATCH(DATE(YEAR($A120)-1,MONTH($A120),DAY($A120)),$A:$A,0))-1),"")</f>
        <v/>
      </c>
      <c r="M120" s="19">
        <f>IF(OR(E120="",E119=""),"",E120/E119-1)</f>
        <v/>
      </c>
      <c r="N120" s="19">
        <f>IF(OR(F120="",F119=""),"",F120/F119-1)</f>
        <v/>
      </c>
      <c r="O120" s="19">
        <f>IF(OR(G120="",G119=""),"",G120/G119-1)</f>
        <v/>
      </c>
      <c r="P120" s="22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IF(R120="","",P120/R120)</f>
        <v/>
      </c>
      <c r="T120" s="23">
        <f>IF(R120="","",Q120/R120)</f>
        <v/>
      </c>
      <c r="U120" s="24">
        <f>IF(SUMIFS('Daily NSE Equity Options'!$M:$M,'Daily NSE Equity Options'!$A:$A,$A120)=0,"",SUMIFS('Daily NSE Equity Options'!$M:$M,'Daily NSE Equity Options'!$A:$A,$A120))</f>
        <v/>
      </c>
      <c r="V120" s="9">
        <f>IF(SUMIFS('Daily BSE Equity Options'!$M:$M,'Daily BSE Equity Options'!$A:$A,$A120)=0,"",SUMIFS('Daily BSE Equity Options'!$M:$M,'Daily BSE Equity Options'!$A:$A,$A120))</f>
        <v/>
      </c>
      <c r="W120" s="9">
        <f>IF(OR(U120="",V120=""),"",U120+V120)</f>
        <v/>
      </c>
      <c r="X120" s="25">
        <f>IF(W120="","",U120/W120)</f>
        <v/>
      </c>
      <c r="Y120" s="25">
        <f>IF(W120="","",V120/W120)</f>
        <v/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19">
        <f>IF(G121="","",E121/G121)</f>
        <v/>
      </c>
      <c r="I121" s="19">
        <f>IF(G121="","",F121/G121)</f>
        <v/>
      </c>
      <c r="J121" s="26">
        <f>IFERROR(IF(OR(E121="",INDEX(E:E,MATCH(DATE(YEAR($A121)-1,MONTH($A121),DAY($A121)),$A:$A,0))=""),"",E121/INDEX(E:E,MATCH(DATE(YEAR($A121)-1,MONTH($A121),DAY($A121)),$A:$A,0))-1),"")</f>
        <v/>
      </c>
      <c r="K121" s="19">
        <f>IFERROR(IF(OR(F121="",INDEX(F:F,MATCH(DATE(YEAR($A121)-1,MONTH($A121),DAY($A121)),$A:$A,0))=""),"",F121/INDEX(F:F,MATCH(DATE(YEAR($A121)-1,MONTH($A121),DAY($A121)),$A:$A,0))-1),"")</f>
        <v/>
      </c>
      <c r="L121" s="19">
        <f>IFERROR(IF(OR(G121="",INDEX(G:G,MATCH(DATE(YEAR($A121)-1,MONTH($A121),DAY($A121)),$A:$A,0))=""),"",G121/INDEX(G:G,MATCH(DATE(YEAR($A121)-1,MONTH($A121),DAY($A121)),$A:$A,0))-1),"")</f>
        <v/>
      </c>
      <c r="M121" s="19">
        <f>IF(OR(E121="",E120=""),"",E121/E120-1)</f>
        <v/>
      </c>
      <c r="N121" s="19">
        <f>IF(OR(F121="",F120=""),"",F121/F120-1)</f>
        <v/>
      </c>
      <c r="O121" s="19">
        <f>IF(OR(G121="",G120=""),"",G121/G120-1)</f>
        <v/>
      </c>
      <c r="P121" s="22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IF(R121="","",P121/R121)</f>
        <v/>
      </c>
      <c r="T121" s="23">
        <f>IF(R121="","",Q121/R121)</f>
        <v/>
      </c>
      <c r="U121" s="24">
        <f>IF(SUMIFS('Daily NSE Equity Options'!$M:$M,'Daily NSE Equity Options'!$A:$A,$A121)=0,"",SUMIFS('Daily NSE Equity Options'!$M:$M,'Daily NSE Equity Options'!$A:$A,$A121))</f>
        <v/>
      </c>
      <c r="V121" s="9">
        <f>IF(SUMIFS('Daily BSE Equity Options'!$M:$M,'Daily BSE Equity Options'!$A:$A,$A121)=0,"",SUMIFS('Daily BSE Equity Options'!$M:$M,'Daily BSE Equity Options'!$A:$A,$A121))</f>
        <v/>
      </c>
      <c r="W121" s="9">
        <f>IF(OR(U121="",V121=""),"",U121+V121)</f>
        <v/>
      </c>
      <c r="X121" s="25">
        <f>IF(W121="","",U121/W121)</f>
        <v/>
      </c>
      <c r="Y121" s="25">
        <f>IF(W121="","",V121/W121)</f>
        <v/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19">
        <f>IF(G122="","",E122/G122)</f>
        <v/>
      </c>
      <c r="I122" s="19">
        <f>IF(G122="","",F122/G122)</f>
        <v/>
      </c>
      <c r="J122" s="26">
        <f>IFERROR(IF(OR(E122="",INDEX(E:E,MATCH(DATE(YEAR($A122)-1,MONTH($A122),DAY($A122)),$A:$A,0))=""),"",E122/INDEX(E:E,MATCH(DATE(YEAR($A122)-1,MONTH($A122),DAY($A122)),$A:$A,0))-1),"")</f>
        <v/>
      </c>
      <c r="K122" s="19">
        <f>IFERROR(IF(OR(F122="",INDEX(F:F,MATCH(DATE(YEAR($A122)-1,MONTH($A122),DAY($A122)),$A:$A,0))=""),"",F122/INDEX(F:F,MATCH(DATE(YEAR($A122)-1,MONTH($A122),DAY($A122)),$A:$A,0))-1),"")</f>
        <v/>
      </c>
      <c r="L122" s="19">
        <f>IFERROR(IF(OR(G122="",INDEX(G:G,MATCH(DATE(YEAR($A122)-1,MONTH($A122),DAY($A122)),$A:$A,0))=""),"",G122/INDEX(G:G,MATCH(DATE(YEAR($A122)-1,MONTH($A122),DAY($A122)),$A:$A,0))-1),"")</f>
        <v/>
      </c>
      <c r="M122" s="19">
        <f>IF(OR(E122="",E121=""),"",E122/E121-1)</f>
        <v/>
      </c>
      <c r="N122" s="19">
        <f>IF(OR(F122="",F121=""),"",F122/F121-1)</f>
        <v/>
      </c>
      <c r="O122" s="19">
        <f>IF(OR(G122="",G121=""),"",G122/G121-1)</f>
        <v/>
      </c>
      <c r="P122" s="22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IF(R122="","",P122/R122)</f>
        <v/>
      </c>
      <c r="T122" s="23">
        <f>IF(R122="","",Q122/R122)</f>
        <v/>
      </c>
      <c r="U122" s="24">
        <f>IF(SUMIFS('Daily NSE Equity Options'!$M:$M,'Daily NSE Equity Options'!$A:$A,$A122)=0,"",SUMIFS('Daily NSE Equity Options'!$M:$M,'Daily NSE Equity Options'!$A:$A,$A122))</f>
        <v/>
      </c>
      <c r="V122" s="9">
        <f>IF(SUMIFS('Daily BSE Equity Options'!$M:$M,'Daily BSE Equity Options'!$A:$A,$A122)=0,"",SUMIFS('Daily BSE Equity Options'!$M:$M,'Daily BSE Equity Options'!$A:$A,$A122))</f>
        <v/>
      </c>
      <c r="W122" s="9">
        <f>IF(OR(U122="",V122=""),"",U122+V122)</f>
        <v/>
      </c>
      <c r="X122" s="25">
        <f>IF(W122="","",U122/W122)</f>
        <v/>
      </c>
      <c r="Y122" s="25">
        <f>IF(W122="","",V122/W122)</f>
        <v/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19">
        <f>IF(G123="","",E123/G123)</f>
        <v/>
      </c>
      <c r="I123" s="19">
        <f>IF(G123="","",F123/G123)</f>
        <v/>
      </c>
      <c r="J123" s="26">
        <f>IFERROR(IF(OR(E123="",INDEX(E:E,MATCH(DATE(YEAR($A123)-1,MONTH($A123),DAY($A123)),$A:$A,0))=""),"",E123/INDEX(E:E,MATCH(DATE(YEAR($A123)-1,MONTH($A123),DAY($A123)),$A:$A,0))-1),"")</f>
        <v/>
      </c>
      <c r="K123" s="19">
        <f>IFERROR(IF(OR(F123="",INDEX(F:F,MATCH(DATE(YEAR($A123)-1,MONTH($A123),DAY($A123)),$A:$A,0))=""),"",F123/INDEX(F:F,MATCH(DATE(YEAR($A123)-1,MONTH($A123),DAY($A123)),$A:$A,0))-1),"")</f>
        <v/>
      </c>
      <c r="L123" s="19">
        <f>IFERROR(IF(OR(G123="",INDEX(G:G,MATCH(DATE(YEAR($A123)-1,MONTH($A123),DAY($A123)),$A:$A,0))=""),"",G123/INDEX(G:G,MATCH(DATE(YEAR($A123)-1,MONTH($A123),DAY($A123)),$A:$A,0))-1),"")</f>
        <v/>
      </c>
      <c r="M123" s="19">
        <f>IF(OR(E123="",E122=""),"",E123/E122-1)</f>
        <v/>
      </c>
      <c r="N123" s="19">
        <f>IF(OR(F123="",F122=""),"",F123/F122-1)</f>
        <v/>
      </c>
      <c r="O123" s="19">
        <f>IF(OR(G123="",G122=""),"",G123/G122-1)</f>
        <v/>
      </c>
      <c r="P123" s="22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IF(R123="","",P123/R123)</f>
        <v/>
      </c>
      <c r="T123" s="23">
        <f>IF(R123="","",Q123/R123)</f>
        <v/>
      </c>
      <c r="U123" s="24">
        <f>IF(SUMIFS('Daily NSE Equity Options'!$M:$M,'Daily NSE Equity Options'!$A:$A,$A123)=0,"",SUMIFS('Daily NSE Equity Options'!$M:$M,'Daily NSE Equity Options'!$A:$A,$A123))</f>
        <v/>
      </c>
      <c r="V123" s="9">
        <f>IF(SUMIFS('Daily BSE Equity Options'!$M:$M,'Daily BSE Equity Options'!$A:$A,$A123)=0,"",SUMIFS('Daily BSE Equity Options'!$M:$M,'Daily BSE Equity Options'!$A:$A,$A123))</f>
        <v/>
      </c>
      <c r="W123" s="9">
        <f>IF(OR(U123="",V123=""),"",U123+V123)</f>
        <v/>
      </c>
      <c r="X123" s="25">
        <f>IF(W123="","",U123/W123)</f>
        <v/>
      </c>
      <c r="Y123" s="25">
        <f>IF(W123="","",V123/W123)</f>
        <v/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19">
        <f>IF(G124="","",E124/G124)</f>
        <v/>
      </c>
      <c r="I124" s="19">
        <f>IF(G124="","",F124/G124)</f>
        <v/>
      </c>
      <c r="J124" s="26">
        <f>IFERROR(IF(OR(E124="",INDEX(E:E,MATCH(DATE(YEAR($A124)-1,MONTH($A124),DAY($A124)),$A:$A,0))=""),"",E124/INDEX(E:E,MATCH(DATE(YEAR($A124)-1,MONTH($A124),DAY($A124)),$A:$A,0))-1),"")</f>
        <v/>
      </c>
      <c r="K124" s="19">
        <f>IFERROR(IF(OR(F124="",INDEX(F:F,MATCH(DATE(YEAR($A124)-1,MONTH($A124),DAY($A124)),$A:$A,0))=""),"",F124/INDEX(F:F,MATCH(DATE(YEAR($A124)-1,MONTH($A124),DAY($A124)),$A:$A,0))-1),"")</f>
        <v/>
      </c>
      <c r="L124" s="19">
        <f>IFERROR(IF(OR(G124="",INDEX(G:G,MATCH(DATE(YEAR($A124)-1,MONTH($A124),DAY($A124)),$A:$A,0))=""),"",G124/INDEX(G:G,MATCH(DATE(YEAR($A124)-1,MONTH($A124),DAY($A124)),$A:$A,0))-1),"")</f>
        <v/>
      </c>
      <c r="M124" s="19">
        <f>IF(OR(E124="",E123=""),"",E124/E123-1)</f>
        <v/>
      </c>
      <c r="N124" s="19">
        <f>IF(OR(F124="",F123=""),"",F124/F123-1)</f>
        <v/>
      </c>
      <c r="O124" s="19">
        <f>IF(OR(G124="",G123=""),"",G124/G123-1)</f>
        <v/>
      </c>
      <c r="P124" s="22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IF(R124="","",P124/R124)</f>
        <v/>
      </c>
      <c r="T124" s="23">
        <f>IF(R124="","",Q124/R124)</f>
        <v/>
      </c>
      <c r="U124" s="24">
        <f>IF(SUMIFS('Daily NSE Equity Options'!$M:$M,'Daily NSE Equity Options'!$A:$A,$A124)=0,"",SUMIFS('Daily NSE Equity Options'!$M:$M,'Daily NSE Equity Options'!$A:$A,$A124))</f>
        <v/>
      </c>
      <c r="V124" s="9">
        <f>IF(SUMIFS('Daily BSE Equity Options'!$M:$M,'Daily BSE Equity Options'!$A:$A,$A124)=0,"",SUMIFS('Daily BSE Equity Options'!$M:$M,'Daily BSE Equity Options'!$A:$A,$A124))</f>
        <v/>
      </c>
      <c r="W124" s="9">
        <f>IF(OR(U124="",V124=""),"",U124+V124)</f>
        <v/>
      </c>
      <c r="X124" s="25">
        <f>IF(W124="","",U124/W124)</f>
        <v/>
      </c>
      <c r="Y124" s="25">
        <f>IF(W124="","",V124/W124)</f>
        <v/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19">
        <f>IF(G125="","",E125/G125)</f>
        <v/>
      </c>
      <c r="I125" s="19">
        <f>IF(G125="","",F125/G125)</f>
        <v/>
      </c>
      <c r="J125" s="26">
        <f>IFERROR(IF(OR(E125="",INDEX(E:E,MATCH(DATE(YEAR($A125)-1,MONTH($A125),DAY($A125)),$A:$A,0))=""),"",E125/INDEX(E:E,MATCH(DATE(YEAR($A125)-1,MONTH($A125),DAY($A125)),$A:$A,0))-1),"")</f>
        <v/>
      </c>
      <c r="K125" s="19">
        <f>IFERROR(IF(OR(F125="",INDEX(F:F,MATCH(DATE(YEAR($A125)-1,MONTH($A125),DAY($A125)),$A:$A,0))=""),"",F125/INDEX(F:F,MATCH(DATE(YEAR($A125)-1,MONTH($A125),DAY($A125)),$A:$A,0))-1),"")</f>
        <v/>
      </c>
      <c r="L125" s="19">
        <f>IFERROR(IF(OR(G125="",INDEX(G:G,MATCH(DATE(YEAR($A125)-1,MONTH($A125),DAY($A125)),$A:$A,0))=""),"",G125/INDEX(G:G,MATCH(DATE(YEAR($A125)-1,MONTH($A125),DAY($A125)),$A:$A,0))-1),"")</f>
        <v/>
      </c>
      <c r="M125" s="19">
        <f>IF(OR(E125="",E124=""),"",E125/E124-1)</f>
        <v/>
      </c>
      <c r="N125" s="19">
        <f>IF(OR(F125="",F124=""),"",F125/F124-1)</f>
        <v/>
      </c>
      <c r="O125" s="19">
        <f>IF(OR(G125="",G124=""),"",G125/G124-1)</f>
        <v/>
      </c>
      <c r="P125" s="22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IF(R125="","",P125/R125)</f>
        <v/>
      </c>
      <c r="T125" s="23">
        <f>IF(R125="","",Q125/R125)</f>
        <v/>
      </c>
      <c r="U125" s="24">
        <f>IF(SUMIFS('Daily NSE Equity Options'!$M:$M,'Daily NSE Equity Options'!$A:$A,$A125)=0,"",SUMIFS('Daily NSE Equity Options'!$M:$M,'Daily NSE Equity Options'!$A:$A,$A125))</f>
        <v/>
      </c>
      <c r="V125" s="9">
        <f>IF(SUMIFS('Daily BSE Equity Options'!$M:$M,'Daily BSE Equity Options'!$A:$A,$A125)=0,"",SUMIFS('Daily BSE Equity Options'!$M:$M,'Daily BSE Equity Options'!$A:$A,$A125))</f>
        <v/>
      </c>
      <c r="W125" s="9">
        <f>IF(OR(U125="",V125=""),"",U125+V125)</f>
        <v/>
      </c>
      <c r="X125" s="25">
        <f>IF(W125="","",U125/W125)</f>
        <v/>
      </c>
      <c r="Y125" s="25">
        <f>IF(W125="","",V125/W125)</f>
        <v/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19">
        <f>IF(G126="","",E126/G126)</f>
        <v/>
      </c>
      <c r="I126" s="19">
        <f>IF(G126="","",F126/G126)</f>
        <v/>
      </c>
      <c r="J126" s="26">
        <f>IFERROR(IF(OR(E126="",INDEX(E:E,MATCH(DATE(YEAR($A126)-1,MONTH($A126),DAY($A126)),$A:$A,0))=""),"",E126/INDEX(E:E,MATCH(DATE(YEAR($A126)-1,MONTH($A126),DAY($A126)),$A:$A,0))-1),"")</f>
        <v/>
      </c>
      <c r="K126" s="19">
        <f>IFERROR(IF(OR(F126="",INDEX(F:F,MATCH(DATE(YEAR($A126)-1,MONTH($A126),DAY($A126)),$A:$A,0))=""),"",F126/INDEX(F:F,MATCH(DATE(YEAR($A126)-1,MONTH($A126),DAY($A126)),$A:$A,0))-1),"")</f>
        <v/>
      </c>
      <c r="L126" s="19">
        <f>IFERROR(IF(OR(G126="",INDEX(G:G,MATCH(DATE(YEAR($A126)-1,MONTH($A126),DAY($A126)),$A:$A,0))=""),"",G126/INDEX(G:G,MATCH(DATE(YEAR($A126)-1,MONTH($A126),DAY($A126)),$A:$A,0))-1),"")</f>
        <v/>
      </c>
      <c r="M126" s="19">
        <f>IF(OR(E126="",E125=""),"",E126/E125-1)</f>
        <v/>
      </c>
      <c r="N126" s="19">
        <f>IF(OR(F126="",F125=""),"",F126/F125-1)</f>
        <v/>
      </c>
      <c r="O126" s="19">
        <f>IF(OR(G126="",G125=""),"",G126/G125-1)</f>
        <v/>
      </c>
      <c r="P126" s="22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IF(R126="","",P126/R126)</f>
        <v/>
      </c>
      <c r="T126" s="23">
        <f>IF(R126="","",Q126/R126)</f>
        <v/>
      </c>
      <c r="U126" s="24">
        <f>IF(SUMIFS('Daily NSE Equity Options'!$M:$M,'Daily NSE Equity Options'!$A:$A,$A126)=0,"",SUMIFS('Daily NSE Equity Options'!$M:$M,'Daily NSE Equity Options'!$A:$A,$A126))</f>
        <v/>
      </c>
      <c r="V126" s="9">
        <f>IF(SUMIFS('Daily BSE Equity Options'!$M:$M,'Daily BSE Equity Options'!$A:$A,$A126)=0,"",SUMIFS('Daily BSE Equity Options'!$M:$M,'Daily BSE Equity Options'!$A:$A,$A126))</f>
        <v/>
      </c>
      <c r="W126" s="9">
        <f>IF(OR(U126="",V126=""),"",U126+V126)</f>
        <v/>
      </c>
      <c r="X126" s="25">
        <f>IF(W126="","",U126/W126)</f>
        <v/>
      </c>
      <c r="Y126" s="25">
        <f>IF(W126="","",V126/W126)</f>
        <v/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19">
        <f>IF(G127="","",E127/G127)</f>
        <v/>
      </c>
      <c r="I127" s="19">
        <f>IF(G127="","",F127/G127)</f>
        <v/>
      </c>
      <c r="J127" s="26">
        <f>IFERROR(IF(OR(E127="",INDEX(E:E,MATCH(DATE(YEAR($A127)-1,MONTH($A127),DAY($A127)),$A:$A,0))=""),"",E127/INDEX(E:E,MATCH(DATE(YEAR($A127)-1,MONTH($A127),DAY($A127)),$A:$A,0))-1),"")</f>
        <v/>
      </c>
      <c r="K127" s="19">
        <f>IFERROR(IF(OR(F127="",INDEX(F:F,MATCH(DATE(YEAR($A127)-1,MONTH($A127),DAY($A127)),$A:$A,0))=""),"",F127/INDEX(F:F,MATCH(DATE(YEAR($A127)-1,MONTH($A127),DAY($A127)),$A:$A,0))-1),"")</f>
        <v/>
      </c>
      <c r="L127" s="19">
        <f>IFERROR(IF(OR(G127="",INDEX(G:G,MATCH(DATE(YEAR($A127)-1,MONTH($A127),DAY($A127)),$A:$A,0))=""),"",G127/INDEX(G:G,MATCH(DATE(YEAR($A127)-1,MONTH($A127),DAY($A127)),$A:$A,0))-1),"")</f>
        <v/>
      </c>
      <c r="M127" s="19">
        <f>IF(OR(E127="",E126=""),"",E127/E126-1)</f>
        <v/>
      </c>
      <c r="N127" s="19">
        <f>IF(OR(F127="",F126=""),"",F127/F126-1)</f>
        <v/>
      </c>
      <c r="O127" s="19">
        <f>IF(OR(G127="",G126=""),"",G127/G126-1)</f>
        <v/>
      </c>
      <c r="P127" s="22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IF(R127="","",P127/R127)</f>
        <v/>
      </c>
      <c r="T127" s="23">
        <f>IF(R127="","",Q127/R127)</f>
        <v/>
      </c>
      <c r="U127" s="24">
        <f>IF(SUMIFS('Daily NSE Equity Options'!$M:$M,'Daily NSE Equity Options'!$A:$A,$A127)=0,"",SUMIFS('Daily NSE Equity Options'!$M:$M,'Daily NSE Equity Options'!$A:$A,$A127))</f>
        <v/>
      </c>
      <c r="V127" s="9">
        <f>IF(SUMIFS('Daily BSE Equity Options'!$M:$M,'Daily BSE Equity Options'!$A:$A,$A127)=0,"",SUMIFS('Daily BSE Equity Options'!$M:$M,'Daily BSE Equity Options'!$A:$A,$A127))</f>
        <v/>
      </c>
      <c r="W127" s="9">
        <f>IF(OR(U127="",V127=""),"",U127+V127)</f>
        <v/>
      </c>
      <c r="X127" s="25">
        <f>IF(W127="","",U127/W127)</f>
        <v/>
      </c>
      <c r="Y127" s="25">
        <f>IF(W127="","",V127/W127)</f>
        <v/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19">
        <f>IF(G128="","",E128/G128)</f>
        <v/>
      </c>
      <c r="I128" s="19">
        <f>IF(G128="","",F128/G128)</f>
        <v/>
      </c>
      <c r="J128" s="26">
        <f>IFERROR(IF(OR(E128="",INDEX(E:E,MATCH(DATE(YEAR($A128)-1,MONTH($A128),DAY($A128)),$A:$A,0))=""),"",E128/INDEX(E:E,MATCH(DATE(YEAR($A128)-1,MONTH($A128),DAY($A128)),$A:$A,0))-1),"")</f>
        <v/>
      </c>
      <c r="K128" s="19">
        <f>IFERROR(IF(OR(F128="",INDEX(F:F,MATCH(DATE(YEAR($A128)-1,MONTH($A128),DAY($A128)),$A:$A,0))=""),"",F128/INDEX(F:F,MATCH(DATE(YEAR($A128)-1,MONTH($A128),DAY($A128)),$A:$A,0))-1),"")</f>
        <v/>
      </c>
      <c r="L128" s="19">
        <f>IFERROR(IF(OR(G128="",INDEX(G:G,MATCH(DATE(YEAR($A128)-1,MONTH($A128),DAY($A128)),$A:$A,0))=""),"",G128/INDEX(G:G,MATCH(DATE(YEAR($A128)-1,MONTH($A128),DAY($A128)),$A:$A,0))-1),"")</f>
        <v/>
      </c>
      <c r="M128" s="19">
        <f>IF(OR(E128="",E127=""),"",E128/E127-1)</f>
        <v/>
      </c>
      <c r="N128" s="19">
        <f>IF(OR(F128="",F127=""),"",F128/F127-1)</f>
        <v/>
      </c>
      <c r="O128" s="19">
        <f>IF(OR(G128="",G127=""),"",G128/G127-1)</f>
        <v/>
      </c>
      <c r="P128" s="22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IF(R128="","",P128/R128)</f>
        <v/>
      </c>
      <c r="T128" s="23">
        <f>IF(R128="","",Q128/R128)</f>
        <v/>
      </c>
      <c r="U128" s="24">
        <f>IF(SUMIFS('Daily NSE Equity Options'!$M:$M,'Daily NSE Equity Options'!$A:$A,$A128)=0,"",SUMIFS('Daily NSE Equity Options'!$M:$M,'Daily NSE Equity Options'!$A:$A,$A128))</f>
        <v/>
      </c>
      <c r="V128" s="9">
        <f>IF(SUMIFS('Daily BSE Equity Options'!$M:$M,'Daily BSE Equity Options'!$A:$A,$A128)=0,"",SUMIFS('Daily BSE Equity Options'!$M:$M,'Daily BSE Equity Options'!$A:$A,$A128))</f>
        <v/>
      </c>
      <c r="W128" s="9">
        <f>IF(OR(U128="",V128=""),"",U128+V128)</f>
        <v/>
      </c>
      <c r="X128" s="25">
        <f>IF(W128="","",U128/W128)</f>
        <v/>
      </c>
      <c r="Y128" s="25">
        <f>IF(W128="","",V128/W128)</f>
        <v/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19">
        <f>IF(G129="","",E129/G129)</f>
        <v/>
      </c>
      <c r="I129" s="19">
        <f>IF(G129="","",F129/G129)</f>
        <v/>
      </c>
      <c r="J129" s="26">
        <f>IFERROR(IF(OR(E129="",INDEX(E:E,MATCH(DATE(YEAR($A129)-1,MONTH($A129),DAY($A129)),$A:$A,0))=""),"",E129/INDEX(E:E,MATCH(DATE(YEAR($A129)-1,MONTH($A129),DAY($A129)),$A:$A,0))-1),"")</f>
        <v/>
      </c>
      <c r="K129" s="19">
        <f>IFERROR(IF(OR(F129="",INDEX(F:F,MATCH(DATE(YEAR($A129)-1,MONTH($A129),DAY($A129)),$A:$A,0))=""),"",F129/INDEX(F:F,MATCH(DATE(YEAR($A129)-1,MONTH($A129),DAY($A129)),$A:$A,0))-1),"")</f>
        <v/>
      </c>
      <c r="L129" s="19">
        <f>IFERROR(IF(OR(G129="",INDEX(G:G,MATCH(DATE(YEAR($A129)-1,MONTH($A129),DAY($A129)),$A:$A,0))=""),"",G129/INDEX(G:G,MATCH(DATE(YEAR($A129)-1,MONTH($A129),DAY($A129)),$A:$A,0))-1),"")</f>
        <v/>
      </c>
      <c r="M129" s="19">
        <f>IF(OR(E129="",E128=""),"",E129/E128-1)</f>
        <v/>
      </c>
      <c r="N129" s="19">
        <f>IF(OR(F129="",F128=""),"",F129/F128-1)</f>
        <v/>
      </c>
      <c r="O129" s="19">
        <f>IF(OR(G129="",G128=""),"",G129/G128-1)</f>
        <v/>
      </c>
      <c r="P129" s="22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IF(R129="","",P129/R129)</f>
        <v/>
      </c>
      <c r="T129" s="23">
        <f>IF(R129="","",Q129/R129)</f>
        <v/>
      </c>
      <c r="U129" s="24">
        <f>IF(SUMIFS('Daily NSE Equity Options'!$M:$M,'Daily NSE Equity Options'!$A:$A,$A129)=0,"",SUMIFS('Daily NSE Equity Options'!$M:$M,'Daily NSE Equity Options'!$A:$A,$A129))</f>
        <v/>
      </c>
      <c r="V129" s="9">
        <f>IF(SUMIFS('Daily BSE Equity Options'!$M:$M,'Daily BSE Equity Options'!$A:$A,$A129)=0,"",SUMIFS('Daily BSE Equity Options'!$M:$M,'Daily BSE Equity Options'!$A:$A,$A129))</f>
        <v/>
      </c>
      <c r="W129" s="9">
        <f>IF(OR(U129="",V129=""),"",U129+V129)</f>
        <v/>
      </c>
      <c r="X129" s="25">
        <f>IF(W129="","",U129/W129)</f>
        <v/>
      </c>
      <c r="Y129" s="25">
        <f>IF(W129="","",V129/W129)</f>
        <v/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19">
        <f>IF(G130="","",E130/G130)</f>
        <v/>
      </c>
      <c r="I130" s="19">
        <f>IF(G130="","",F130/G130)</f>
        <v/>
      </c>
      <c r="J130" s="26">
        <f>IFERROR(IF(OR(E130="",INDEX(E:E,MATCH(DATE(YEAR($A130)-1,MONTH($A130),DAY($A130)),$A:$A,0))=""),"",E130/INDEX(E:E,MATCH(DATE(YEAR($A130)-1,MONTH($A130),DAY($A130)),$A:$A,0))-1),"")</f>
        <v/>
      </c>
      <c r="K130" s="19">
        <f>IFERROR(IF(OR(F130="",INDEX(F:F,MATCH(DATE(YEAR($A130)-1,MONTH($A130),DAY($A130)),$A:$A,0))=""),"",F130/INDEX(F:F,MATCH(DATE(YEAR($A130)-1,MONTH($A130),DAY($A130)),$A:$A,0))-1),"")</f>
        <v/>
      </c>
      <c r="L130" s="19">
        <f>IFERROR(IF(OR(G130="",INDEX(G:G,MATCH(DATE(YEAR($A130)-1,MONTH($A130),DAY($A130)),$A:$A,0))=""),"",G130/INDEX(G:G,MATCH(DATE(YEAR($A130)-1,MONTH($A130),DAY($A130)),$A:$A,0))-1),"")</f>
        <v/>
      </c>
      <c r="M130" s="19">
        <f>IF(OR(E130="",E129=""),"",E130/E129-1)</f>
        <v/>
      </c>
      <c r="N130" s="19">
        <f>IF(OR(F130="",F129=""),"",F130/F129-1)</f>
        <v/>
      </c>
      <c r="O130" s="19">
        <f>IF(OR(G130="",G129=""),"",G130/G129-1)</f>
        <v/>
      </c>
      <c r="P130" s="22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IF(R130="","",P130/R130)</f>
        <v/>
      </c>
      <c r="T130" s="23">
        <f>IF(R130="","",Q130/R130)</f>
        <v/>
      </c>
      <c r="U130" s="24">
        <f>IF(SUMIFS('Daily NSE Equity Options'!$M:$M,'Daily NSE Equity Options'!$A:$A,$A130)=0,"",SUMIFS('Daily NSE Equity Options'!$M:$M,'Daily NSE Equity Options'!$A:$A,$A130))</f>
        <v/>
      </c>
      <c r="V130" s="9">
        <f>IF(SUMIFS('Daily BSE Equity Options'!$M:$M,'Daily BSE Equity Options'!$A:$A,$A130)=0,"",SUMIFS('Daily BSE Equity Options'!$M:$M,'Daily BSE Equity Options'!$A:$A,$A130))</f>
        <v/>
      </c>
      <c r="W130" s="9">
        <f>IF(OR(U130="",V130=""),"",U130+V130)</f>
        <v/>
      </c>
      <c r="X130" s="25">
        <f>IF(W130="","",U130/W130)</f>
        <v/>
      </c>
      <c r="Y130" s="25">
        <f>IF(W130="","",V130/W130)</f>
        <v/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19">
        <f>IF(G131="","",E131/G131)</f>
        <v/>
      </c>
      <c r="I131" s="19">
        <f>IF(G131="","",F131/G131)</f>
        <v/>
      </c>
      <c r="J131" s="26">
        <f>IFERROR(IF(OR(E131="",INDEX(E:E,MATCH(DATE(YEAR($A131)-1,MONTH($A131),DAY($A131)),$A:$A,0))=""),"",E131/INDEX(E:E,MATCH(DATE(YEAR($A131)-1,MONTH($A131),DAY($A131)),$A:$A,0))-1),"")</f>
        <v/>
      </c>
      <c r="K131" s="19">
        <f>IFERROR(IF(OR(F131="",INDEX(F:F,MATCH(DATE(YEAR($A131)-1,MONTH($A131),DAY($A131)),$A:$A,0))=""),"",F131/INDEX(F:F,MATCH(DATE(YEAR($A131)-1,MONTH($A131),DAY($A131)),$A:$A,0))-1),"")</f>
        <v/>
      </c>
      <c r="L131" s="19">
        <f>IFERROR(IF(OR(G131="",INDEX(G:G,MATCH(DATE(YEAR($A131)-1,MONTH($A131),DAY($A131)),$A:$A,0))=""),"",G131/INDEX(G:G,MATCH(DATE(YEAR($A131)-1,MONTH($A131),DAY($A131)),$A:$A,0))-1),"")</f>
        <v/>
      </c>
      <c r="M131" s="19">
        <f>IF(OR(E131="",E130=""),"",E131/E130-1)</f>
        <v/>
      </c>
      <c r="N131" s="19">
        <f>IF(OR(F131="",F130=""),"",F131/F130-1)</f>
        <v/>
      </c>
      <c r="O131" s="19">
        <f>IF(OR(G131="",G130=""),"",G131/G130-1)</f>
        <v/>
      </c>
      <c r="P131" s="22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IF(R131="","",P131/R131)</f>
        <v/>
      </c>
      <c r="T131" s="23">
        <f>IF(R131="","",Q131/R131)</f>
        <v/>
      </c>
      <c r="U131" s="24">
        <f>IF(SUMIFS('Daily NSE Equity Options'!$M:$M,'Daily NSE Equity Options'!$A:$A,$A131)=0,"",SUMIFS('Daily NSE Equity Options'!$M:$M,'Daily NSE Equity Options'!$A:$A,$A131))</f>
        <v/>
      </c>
      <c r="V131" s="9">
        <f>IF(SUMIFS('Daily BSE Equity Options'!$M:$M,'Daily BSE Equity Options'!$A:$A,$A131)=0,"",SUMIFS('Daily BSE Equity Options'!$M:$M,'Daily BSE Equity Options'!$A:$A,$A131))</f>
        <v/>
      </c>
      <c r="W131" s="9">
        <f>IF(OR(U131="",V131=""),"",U131+V131)</f>
        <v/>
      </c>
      <c r="X131" s="25">
        <f>IF(W131="","",U131/W131)</f>
        <v/>
      </c>
      <c r="Y131" s="25">
        <f>IF(W131="","",V131/W131)</f>
        <v/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19">
        <f>IF(G132="","",E132/G132)</f>
        <v/>
      </c>
      <c r="I132" s="19">
        <f>IF(G132="","",F132/G132)</f>
        <v/>
      </c>
      <c r="J132" s="26">
        <f>IFERROR(IF(OR(E132="",INDEX(E:E,MATCH(DATE(YEAR($A132)-1,MONTH($A132),DAY($A132)),$A:$A,0))=""),"",E132/INDEX(E:E,MATCH(DATE(YEAR($A132)-1,MONTH($A132),DAY($A132)),$A:$A,0))-1),"")</f>
        <v/>
      </c>
      <c r="K132" s="19">
        <f>IFERROR(IF(OR(F132="",INDEX(F:F,MATCH(DATE(YEAR($A132)-1,MONTH($A132),DAY($A132)),$A:$A,0))=""),"",F132/INDEX(F:F,MATCH(DATE(YEAR($A132)-1,MONTH($A132),DAY($A132)),$A:$A,0))-1),"")</f>
        <v/>
      </c>
      <c r="L132" s="19">
        <f>IFERROR(IF(OR(G132="",INDEX(G:G,MATCH(DATE(YEAR($A132)-1,MONTH($A132),DAY($A132)),$A:$A,0))=""),"",G132/INDEX(G:G,MATCH(DATE(YEAR($A132)-1,MONTH($A132),DAY($A132)),$A:$A,0))-1),"")</f>
        <v/>
      </c>
      <c r="M132" s="19">
        <f>IF(OR(E132="",E131=""),"",E132/E131-1)</f>
        <v/>
      </c>
      <c r="N132" s="19">
        <f>IF(OR(F132="",F131=""),"",F132/F131-1)</f>
        <v/>
      </c>
      <c r="O132" s="19">
        <f>IF(OR(G132="",G131=""),"",G132/G131-1)</f>
        <v/>
      </c>
      <c r="P132" s="22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IF(R132="","",P132/R132)</f>
        <v/>
      </c>
      <c r="T132" s="23">
        <f>IF(R132="","",Q132/R132)</f>
        <v/>
      </c>
      <c r="U132" s="24">
        <f>IF(SUMIFS('Daily NSE Equity Options'!$M:$M,'Daily NSE Equity Options'!$A:$A,$A132)=0,"",SUMIFS('Daily NSE Equity Options'!$M:$M,'Daily NSE Equity Options'!$A:$A,$A132))</f>
        <v/>
      </c>
      <c r="V132" s="9">
        <f>IF(SUMIFS('Daily BSE Equity Options'!$M:$M,'Daily BSE Equity Options'!$A:$A,$A132)=0,"",SUMIFS('Daily BSE Equity Options'!$M:$M,'Daily BSE Equity Options'!$A:$A,$A132))</f>
        <v/>
      </c>
      <c r="W132" s="9">
        <f>IF(OR(U132="",V132=""),"",U132+V132)</f>
        <v/>
      </c>
      <c r="X132" s="25">
        <f>IF(W132="","",U132/W132)</f>
        <v/>
      </c>
      <c r="Y132" s="25">
        <f>IF(W132="","",V132/W132)</f>
        <v/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19">
        <f>IF(G133="","",E133/G133)</f>
        <v/>
      </c>
      <c r="I133" s="19">
        <f>IF(G133="","",F133/G133)</f>
        <v/>
      </c>
      <c r="J133" s="26">
        <f>IFERROR(IF(OR(E133="",INDEX(E:E,MATCH(DATE(YEAR($A133)-1,MONTH($A133),DAY($A133)),$A:$A,0))=""),"",E133/INDEX(E:E,MATCH(DATE(YEAR($A133)-1,MONTH($A133),DAY($A133)),$A:$A,0))-1),"")</f>
        <v/>
      </c>
      <c r="K133" s="19">
        <f>IFERROR(IF(OR(F133="",INDEX(F:F,MATCH(DATE(YEAR($A133)-1,MONTH($A133),DAY($A133)),$A:$A,0))=""),"",F133/INDEX(F:F,MATCH(DATE(YEAR($A133)-1,MONTH($A133),DAY($A133)),$A:$A,0))-1),"")</f>
        <v/>
      </c>
      <c r="L133" s="19">
        <f>IFERROR(IF(OR(G133="",INDEX(G:G,MATCH(DATE(YEAR($A133)-1,MONTH($A133),DAY($A133)),$A:$A,0))=""),"",G133/INDEX(G:G,MATCH(DATE(YEAR($A133)-1,MONTH($A133),DAY($A133)),$A:$A,0))-1),"")</f>
        <v/>
      </c>
      <c r="M133" s="19">
        <f>IF(OR(E133="",E132=""),"",E133/E132-1)</f>
        <v/>
      </c>
      <c r="N133" s="19">
        <f>IF(OR(F133="",F132=""),"",F133/F132-1)</f>
        <v/>
      </c>
      <c r="O133" s="19">
        <f>IF(OR(G133="",G132=""),"",G133/G132-1)</f>
        <v/>
      </c>
      <c r="P133" s="22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IF(R133="","",P133/R133)</f>
        <v/>
      </c>
      <c r="T133" s="23">
        <f>IF(R133="","",Q133/R133)</f>
        <v/>
      </c>
      <c r="U133" s="24">
        <f>IF(SUMIFS('Daily NSE Equity Options'!$M:$M,'Daily NSE Equity Options'!$A:$A,$A133)=0,"",SUMIFS('Daily NSE Equity Options'!$M:$M,'Daily NSE Equity Options'!$A:$A,$A133))</f>
        <v/>
      </c>
      <c r="V133" s="9">
        <f>IF(SUMIFS('Daily BSE Equity Options'!$M:$M,'Daily BSE Equity Options'!$A:$A,$A133)=0,"",SUMIFS('Daily BSE Equity Options'!$M:$M,'Daily BSE Equity Options'!$A:$A,$A133))</f>
        <v/>
      </c>
      <c r="W133" s="9">
        <f>IF(OR(U133="",V133=""),"",U133+V133)</f>
        <v/>
      </c>
      <c r="X133" s="25">
        <f>IF(W133="","",U133/W133)</f>
        <v/>
      </c>
      <c r="Y133" s="25">
        <f>IF(W133="","",V133/W133)</f>
        <v/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19">
        <f>IF(G134="","",E134/G134)</f>
        <v/>
      </c>
      <c r="I134" s="19">
        <f>IF(G134="","",F134/G134)</f>
        <v/>
      </c>
      <c r="J134" s="26">
        <f>IFERROR(IF(OR(E134="",INDEX(E:E,MATCH(DATE(YEAR($A134)-1,MONTH($A134),DAY($A134)),$A:$A,0))=""),"",E134/INDEX(E:E,MATCH(DATE(YEAR($A134)-1,MONTH($A134),DAY($A134)),$A:$A,0))-1),"")</f>
        <v/>
      </c>
      <c r="K134" s="19">
        <f>IFERROR(IF(OR(F134="",INDEX(F:F,MATCH(DATE(YEAR($A134)-1,MONTH($A134),DAY($A134)),$A:$A,0))=""),"",F134/INDEX(F:F,MATCH(DATE(YEAR($A134)-1,MONTH($A134),DAY($A134)),$A:$A,0))-1),"")</f>
        <v/>
      </c>
      <c r="L134" s="19">
        <f>IFERROR(IF(OR(G134="",INDEX(G:G,MATCH(DATE(YEAR($A134)-1,MONTH($A134),DAY($A134)),$A:$A,0))=""),"",G134/INDEX(G:G,MATCH(DATE(YEAR($A134)-1,MONTH($A134),DAY($A134)),$A:$A,0))-1),"")</f>
        <v/>
      </c>
      <c r="M134" s="19">
        <f>IF(OR(E134="",E133=""),"",E134/E133-1)</f>
        <v/>
      </c>
      <c r="N134" s="19">
        <f>IF(OR(F134="",F133=""),"",F134/F133-1)</f>
        <v/>
      </c>
      <c r="O134" s="19">
        <f>IF(OR(G134="",G133=""),"",G134/G133-1)</f>
        <v/>
      </c>
      <c r="P134" s="22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IF(R134="","",P134/R134)</f>
        <v/>
      </c>
      <c r="T134" s="23">
        <f>IF(R134="","",Q134/R134)</f>
        <v/>
      </c>
      <c r="U134" s="24">
        <f>IF(SUMIFS('Daily NSE Equity Options'!$M:$M,'Daily NSE Equity Options'!$A:$A,$A134)=0,"",SUMIFS('Daily NSE Equity Options'!$M:$M,'Daily NSE Equity Options'!$A:$A,$A134))</f>
        <v/>
      </c>
      <c r="V134" s="9">
        <f>IF(SUMIFS('Daily BSE Equity Options'!$M:$M,'Daily BSE Equity Options'!$A:$A,$A134)=0,"",SUMIFS('Daily BSE Equity Options'!$M:$M,'Daily BSE Equity Options'!$A:$A,$A134))</f>
        <v/>
      </c>
      <c r="W134" s="9">
        <f>IF(OR(U134="",V134=""),"",U134+V134)</f>
        <v/>
      </c>
      <c r="X134" s="25">
        <f>IF(W134="","",U134/W134)</f>
        <v/>
      </c>
      <c r="Y134" s="25">
        <f>IF(W134="","",V134/W134)</f>
        <v/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19">
        <f>IF(G135="","",E135/G135)</f>
        <v/>
      </c>
      <c r="I135" s="19">
        <f>IF(G135="","",F135/G135)</f>
        <v/>
      </c>
      <c r="J135" s="26">
        <f>IFERROR(IF(OR(E135="",INDEX(E:E,MATCH(DATE(YEAR($A135)-1,MONTH($A135),DAY($A135)),$A:$A,0))=""),"",E135/INDEX(E:E,MATCH(DATE(YEAR($A135)-1,MONTH($A135),DAY($A135)),$A:$A,0))-1),"")</f>
        <v/>
      </c>
      <c r="K135" s="19">
        <f>IFERROR(IF(OR(F135="",INDEX(F:F,MATCH(DATE(YEAR($A135)-1,MONTH($A135),DAY($A135)),$A:$A,0))=""),"",F135/INDEX(F:F,MATCH(DATE(YEAR($A135)-1,MONTH($A135),DAY($A135)),$A:$A,0))-1),"")</f>
        <v/>
      </c>
      <c r="L135" s="19">
        <f>IFERROR(IF(OR(G135="",INDEX(G:G,MATCH(DATE(YEAR($A135)-1,MONTH($A135),DAY($A135)),$A:$A,0))=""),"",G135/INDEX(G:G,MATCH(DATE(YEAR($A135)-1,MONTH($A135),DAY($A135)),$A:$A,0))-1),"")</f>
        <v/>
      </c>
      <c r="M135" s="19">
        <f>IF(OR(E135="",E134=""),"",E135/E134-1)</f>
        <v/>
      </c>
      <c r="N135" s="19">
        <f>IF(OR(F135="",F134=""),"",F135/F134-1)</f>
        <v/>
      </c>
      <c r="O135" s="19">
        <f>IF(OR(G135="",G134=""),"",G135/G134-1)</f>
        <v/>
      </c>
      <c r="P135" s="22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IF(R135="","",P135/R135)</f>
        <v/>
      </c>
      <c r="T135" s="23">
        <f>IF(R135="","",Q135/R135)</f>
        <v/>
      </c>
      <c r="U135" s="24">
        <f>IF(SUMIFS('Daily NSE Equity Options'!$M:$M,'Daily NSE Equity Options'!$A:$A,$A135)=0,"",SUMIFS('Daily NSE Equity Options'!$M:$M,'Daily NSE Equity Options'!$A:$A,$A135))</f>
        <v/>
      </c>
      <c r="V135" s="9">
        <f>IF(SUMIFS('Daily BSE Equity Options'!$M:$M,'Daily BSE Equity Options'!$A:$A,$A135)=0,"",SUMIFS('Daily BSE Equity Options'!$M:$M,'Daily BSE Equity Options'!$A:$A,$A135))</f>
        <v/>
      </c>
      <c r="W135" s="9">
        <f>IF(OR(U135="",V135=""),"",U135+V135)</f>
        <v/>
      </c>
      <c r="X135" s="25">
        <f>IF(W135="","",U135/W135)</f>
        <v/>
      </c>
      <c r="Y135" s="25">
        <f>IF(W135="","",V135/W135)</f>
        <v/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19">
        <f>IF(G136="","",E136/G136)</f>
        <v/>
      </c>
      <c r="I136" s="19">
        <f>IF(G136="","",F136/G136)</f>
        <v/>
      </c>
      <c r="J136" s="26">
        <f>IFERROR(IF(OR(E136="",INDEX(E:E,MATCH(DATE(YEAR($A136)-1,MONTH($A136),DAY($A136)),$A:$A,0))=""),"",E136/INDEX(E:E,MATCH(DATE(YEAR($A136)-1,MONTH($A136),DAY($A136)),$A:$A,0))-1),"")</f>
        <v/>
      </c>
      <c r="K136" s="19">
        <f>IFERROR(IF(OR(F136="",INDEX(F:F,MATCH(DATE(YEAR($A136)-1,MONTH($A136),DAY($A136)),$A:$A,0))=""),"",F136/INDEX(F:F,MATCH(DATE(YEAR($A136)-1,MONTH($A136),DAY($A136)),$A:$A,0))-1),"")</f>
        <v/>
      </c>
      <c r="L136" s="19">
        <f>IFERROR(IF(OR(G136="",INDEX(G:G,MATCH(DATE(YEAR($A136)-1,MONTH($A136),DAY($A136)),$A:$A,0))=""),"",G136/INDEX(G:G,MATCH(DATE(YEAR($A136)-1,MONTH($A136),DAY($A136)),$A:$A,0))-1),"")</f>
        <v/>
      </c>
      <c r="M136" s="19">
        <f>IF(OR(E136="",E135=""),"",E136/E135-1)</f>
        <v/>
      </c>
      <c r="N136" s="19">
        <f>IF(OR(F136="",F135=""),"",F136/F135-1)</f>
        <v/>
      </c>
      <c r="O136" s="19">
        <f>IF(OR(G136="",G135=""),"",G136/G135-1)</f>
        <v/>
      </c>
      <c r="P136" s="22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IF(R136="","",P136/R136)</f>
        <v/>
      </c>
      <c r="T136" s="23">
        <f>IF(R136="","",Q136/R136)</f>
        <v/>
      </c>
      <c r="U136" s="24">
        <f>IF(SUMIFS('Daily NSE Equity Options'!$M:$M,'Daily NSE Equity Options'!$A:$A,$A136)=0,"",SUMIFS('Daily NSE Equity Options'!$M:$M,'Daily NSE Equity Options'!$A:$A,$A136))</f>
        <v/>
      </c>
      <c r="V136" s="9">
        <f>IF(SUMIFS('Daily BSE Equity Options'!$M:$M,'Daily BSE Equity Options'!$A:$A,$A136)=0,"",SUMIFS('Daily BSE Equity Options'!$M:$M,'Daily BSE Equity Options'!$A:$A,$A136))</f>
        <v/>
      </c>
      <c r="W136" s="9">
        <f>IF(OR(U136="",V136=""),"",U136+V136)</f>
        <v/>
      </c>
      <c r="X136" s="25">
        <f>IF(W136="","",U136/W136)</f>
        <v/>
      </c>
      <c r="Y136" s="25">
        <f>IF(W136="","",V136/W136)</f>
        <v/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19">
        <f>IF(G137="","",E137/G137)</f>
        <v/>
      </c>
      <c r="I137" s="19">
        <f>IF(G137="","",F137/G137)</f>
        <v/>
      </c>
      <c r="J137" s="26">
        <f>IFERROR(IF(OR(E137="",INDEX(E:E,MATCH(DATE(YEAR($A137)-1,MONTH($A137),DAY($A137)),$A:$A,0))=""),"",E137/INDEX(E:E,MATCH(DATE(YEAR($A137)-1,MONTH($A137),DAY($A137)),$A:$A,0))-1),"")</f>
        <v/>
      </c>
      <c r="K137" s="19">
        <f>IFERROR(IF(OR(F137="",INDEX(F:F,MATCH(DATE(YEAR($A137)-1,MONTH($A137),DAY($A137)),$A:$A,0))=""),"",F137/INDEX(F:F,MATCH(DATE(YEAR($A137)-1,MONTH($A137),DAY($A137)),$A:$A,0))-1),"")</f>
        <v/>
      </c>
      <c r="L137" s="19">
        <f>IFERROR(IF(OR(G137="",INDEX(G:G,MATCH(DATE(YEAR($A137)-1,MONTH($A137),DAY($A137)),$A:$A,0))=""),"",G137/INDEX(G:G,MATCH(DATE(YEAR($A137)-1,MONTH($A137),DAY($A137)),$A:$A,0))-1),"")</f>
        <v/>
      </c>
      <c r="M137" s="19">
        <f>IF(OR(E137="",E136=""),"",E137/E136-1)</f>
        <v/>
      </c>
      <c r="N137" s="19">
        <f>IF(OR(F137="",F136=""),"",F137/F136-1)</f>
        <v/>
      </c>
      <c r="O137" s="19">
        <f>IF(OR(G137="",G136=""),"",G137/G136-1)</f>
        <v/>
      </c>
      <c r="P137" s="22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IF(R137="","",P137/R137)</f>
        <v/>
      </c>
      <c r="T137" s="23">
        <f>IF(R137="","",Q137/R137)</f>
        <v/>
      </c>
      <c r="U137" s="24">
        <f>IF(SUMIFS('Daily NSE Equity Options'!$M:$M,'Daily NSE Equity Options'!$A:$A,$A137)=0,"",SUMIFS('Daily NSE Equity Options'!$M:$M,'Daily NSE Equity Options'!$A:$A,$A137))</f>
        <v/>
      </c>
      <c r="V137" s="9">
        <f>IF(SUMIFS('Daily BSE Equity Options'!$M:$M,'Daily BSE Equity Options'!$A:$A,$A137)=0,"",SUMIFS('Daily BSE Equity Options'!$M:$M,'Daily BSE Equity Options'!$A:$A,$A137))</f>
        <v/>
      </c>
      <c r="W137" s="9">
        <f>IF(OR(U137="",V137=""),"",U137+V137)</f>
        <v/>
      </c>
      <c r="X137" s="25">
        <f>IF(W137="","",U137/W137)</f>
        <v/>
      </c>
      <c r="Y137" s="25">
        <f>IF(W137="","",V137/W137)</f>
        <v/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19">
        <f>IF(G138="","",E138/G138)</f>
        <v/>
      </c>
      <c r="I138" s="19">
        <f>IF(G138="","",F138/G138)</f>
        <v/>
      </c>
      <c r="J138" s="26">
        <f>IFERROR(IF(OR(E138="",INDEX(E:E,MATCH(DATE(YEAR($A138)-1,MONTH($A138),DAY($A138)),$A:$A,0))=""),"",E138/INDEX(E:E,MATCH(DATE(YEAR($A138)-1,MONTH($A138),DAY($A138)),$A:$A,0))-1),"")</f>
        <v/>
      </c>
      <c r="K138" s="19">
        <f>IFERROR(IF(OR(F138="",INDEX(F:F,MATCH(DATE(YEAR($A138)-1,MONTH($A138),DAY($A138)),$A:$A,0))=""),"",F138/INDEX(F:F,MATCH(DATE(YEAR($A138)-1,MONTH($A138),DAY($A138)),$A:$A,0))-1),"")</f>
        <v/>
      </c>
      <c r="L138" s="19">
        <f>IFERROR(IF(OR(G138="",INDEX(G:G,MATCH(DATE(YEAR($A138)-1,MONTH($A138),DAY($A138)),$A:$A,0))=""),"",G138/INDEX(G:G,MATCH(DATE(YEAR($A138)-1,MONTH($A138),DAY($A138)),$A:$A,0))-1),"")</f>
        <v/>
      </c>
      <c r="M138" s="19">
        <f>IF(OR(E138="",E137=""),"",E138/E137-1)</f>
        <v/>
      </c>
      <c r="N138" s="19">
        <f>IF(OR(F138="",F137=""),"",F138/F137-1)</f>
        <v/>
      </c>
      <c r="O138" s="19">
        <f>IF(OR(G138="",G137=""),"",G138/G137-1)</f>
        <v/>
      </c>
      <c r="P138" s="22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IF(R138="","",P138/R138)</f>
        <v/>
      </c>
      <c r="T138" s="23">
        <f>IF(R138="","",Q138/R138)</f>
        <v/>
      </c>
      <c r="U138" s="24">
        <f>IF(SUMIFS('Daily NSE Equity Options'!$M:$M,'Daily NSE Equity Options'!$A:$A,$A138)=0,"",SUMIFS('Daily NSE Equity Options'!$M:$M,'Daily NSE Equity Options'!$A:$A,$A138))</f>
        <v/>
      </c>
      <c r="V138" s="9">
        <f>IF(SUMIFS('Daily BSE Equity Options'!$M:$M,'Daily BSE Equity Options'!$A:$A,$A138)=0,"",SUMIFS('Daily BSE Equity Options'!$M:$M,'Daily BSE Equity Options'!$A:$A,$A138))</f>
        <v/>
      </c>
      <c r="W138" s="9">
        <f>IF(OR(U138="",V138=""),"",U138+V138)</f>
        <v/>
      </c>
      <c r="X138" s="25">
        <f>IF(W138="","",U138/W138)</f>
        <v/>
      </c>
      <c r="Y138" s="25">
        <f>IF(W138="","",V138/W138)</f>
        <v/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19">
        <f>IF(G139="","",E139/G139)</f>
        <v/>
      </c>
      <c r="I139" s="19">
        <f>IF(G139="","",F139/G139)</f>
        <v/>
      </c>
      <c r="J139" s="26">
        <f>IFERROR(IF(OR(E139="",INDEX(E:E,MATCH(DATE(YEAR($A139)-1,MONTH($A139),DAY($A139)),$A:$A,0))=""),"",E139/INDEX(E:E,MATCH(DATE(YEAR($A139)-1,MONTH($A139),DAY($A139)),$A:$A,0))-1),"")</f>
        <v/>
      </c>
      <c r="K139" s="19">
        <f>IFERROR(IF(OR(F139="",INDEX(F:F,MATCH(DATE(YEAR($A139)-1,MONTH($A139),DAY($A139)),$A:$A,0))=""),"",F139/INDEX(F:F,MATCH(DATE(YEAR($A139)-1,MONTH($A139),DAY($A139)),$A:$A,0))-1),"")</f>
        <v/>
      </c>
      <c r="L139" s="19">
        <f>IFERROR(IF(OR(G139="",INDEX(G:G,MATCH(DATE(YEAR($A139)-1,MONTH($A139),DAY($A139)),$A:$A,0))=""),"",G139/INDEX(G:G,MATCH(DATE(YEAR($A139)-1,MONTH($A139),DAY($A139)),$A:$A,0))-1),"")</f>
        <v/>
      </c>
      <c r="M139" s="19">
        <f>IF(OR(E139="",E138=""),"",E139/E138-1)</f>
        <v/>
      </c>
      <c r="N139" s="19">
        <f>IF(OR(F139="",F138=""),"",F139/F138-1)</f>
        <v/>
      </c>
      <c r="O139" s="19">
        <f>IF(OR(G139="",G138=""),"",G139/G138-1)</f>
        <v/>
      </c>
      <c r="P139" s="22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IF(R139="","",P139/R139)</f>
        <v/>
      </c>
      <c r="T139" s="23">
        <f>IF(R139="","",Q139/R139)</f>
        <v/>
      </c>
      <c r="U139" s="24">
        <f>IF(SUMIFS('Daily NSE Equity Options'!$M:$M,'Daily NSE Equity Options'!$A:$A,$A139)=0,"",SUMIFS('Daily NSE Equity Options'!$M:$M,'Daily NSE Equity Options'!$A:$A,$A139))</f>
        <v/>
      </c>
      <c r="V139" s="9">
        <f>IF(SUMIFS('Daily BSE Equity Options'!$M:$M,'Daily BSE Equity Options'!$A:$A,$A139)=0,"",SUMIFS('Daily BSE Equity Options'!$M:$M,'Daily BSE Equity Options'!$A:$A,$A139))</f>
        <v/>
      </c>
      <c r="W139" s="9">
        <f>IF(OR(U139="",V139=""),"",U139+V139)</f>
        <v/>
      </c>
      <c r="X139" s="25">
        <f>IF(W139="","",U139/W139)</f>
        <v/>
      </c>
      <c r="Y139" s="25">
        <f>IF(W139="","",V139/W139)</f>
        <v/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19">
        <f>IF(G140="","",E140/G140)</f>
        <v/>
      </c>
      <c r="I140" s="19">
        <f>IF(G140="","",F140/G140)</f>
        <v/>
      </c>
      <c r="J140" s="26">
        <f>IFERROR(IF(OR(E140="",INDEX(E:E,MATCH(DATE(YEAR($A140)-1,MONTH($A140),DAY($A140)),$A:$A,0))=""),"",E140/INDEX(E:E,MATCH(DATE(YEAR($A140)-1,MONTH($A140),DAY($A140)),$A:$A,0))-1),"")</f>
        <v/>
      </c>
      <c r="K140" s="19">
        <f>IFERROR(IF(OR(F140="",INDEX(F:F,MATCH(DATE(YEAR($A140)-1,MONTH($A140),DAY($A140)),$A:$A,0))=""),"",F140/INDEX(F:F,MATCH(DATE(YEAR($A140)-1,MONTH($A140),DAY($A140)),$A:$A,0))-1),"")</f>
        <v/>
      </c>
      <c r="L140" s="19">
        <f>IFERROR(IF(OR(G140="",INDEX(G:G,MATCH(DATE(YEAR($A140)-1,MONTH($A140),DAY($A140)),$A:$A,0))=""),"",G140/INDEX(G:G,MATCH(DATE(YEAR($A140)-1,MONTH($A140),DAY($A140)),$A:$A,0))-1),"")</f>
        <v/>
      </c>
      <c r="M140" s="19">
        <f>IF(OR(E140="",E139=""),"",E140/E139-1)</f>
        <v/>
      </c>
      <c r="N140" s="19">
        <f>IF(OR(F140="",F139=""),"",F140/F139-1)</f>
        <v/>
      </c>
      <c r="O140" s="19">
        <f>IF(OR(G140="",G139=""),"",G140/G139-1)</f>
        <v/>
      </c>
      <c r="P140" s="22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IF(R140="","",P140/R140)</f>
        <v/>
      </c>
      <c r="T140" s="23">
        <f>IF(R140="","",Q140/R140)</f>
        <v/>
      </c>
      <c r="U140" s="24">
        <f>IF(SUMIFS('Daily NSE Equity Options'!$M:$M,'Daily NSE Equity Options'!$A:$A,$A140)=0,"",SUMIFS('Daily NSE Equity Options'!$M:$M,'Daily NSE Equity Options'!$A:$A,$A140))</f>
        <v/>
      </c>
      <c r="V140" s="9">
        <f>IF(SUMIFS('Daily BSE Equity Options'!$M:$M,'Daily BSE Equity Options'!$A:$A,$A140)=0,"",SUMIFS('Daily BSE Equity Options'!$M:$M,'Daily BSE Equity Options'!$A:$A,$A140))</f>
        <v/>
      </c>
      <c r="W140" s="9">
        <f>IF(OR(U140="",V140=""),"",U140+V140)</f>
        <v/>
      </c>
      <c r="X140" s="25">
        <f>IF(W140="","",U140/W140)</f>
        <v/>
      </c>
      <c r="Y140" s="25">
        <f>IF(W140="","",V140/W140)</f>
        <v/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19">
        <f>IF(G141="","",E141/G141)</f>
        <v/>
      </c>
      <c r="I141" s="19">
        <f>IF(G141="","",F141/G141)</f>
        <v/>
      </c>
      <c r="J141" s="26">
        <f>IFERROR(IF(OR(E141="",INDEX(E:E,MATCH(DATE(YEAR($A141)-1,MONTH($A141),DAY($A141)),$A:$A,0))=""),"",E141/INDEX(E:E,MATCH(DATE(YEAR($A141)-1,MONTH($A141),DAY($A141)),$A:$A,0))-1),"")</f>
        <v/>
      </c>
      <c r="K141" s="19">
        <f>IFERROR(IF(OR(F141="",INDEX(F:F,MATCH(DATE(YEAR($A141)-1,MONTH($A141),DAY($A141)),$A:$A,0))=""),"",F141/INDEX(F:F,MATCH(DATE(YEAR($A141)-1,MONTH($A141),DAY($A141)),$A:$A,0))-1),"")</f>
        <v/>
      </c>
      <c r="L141" s="19">
        <f>IFERROR(IF(OR(G141="",INDEX(G:G,MATCH(DATE(YEAR($A141)-1,MONTH($A141),DAY($A141)),$A:$A,0))=""),"",G141/INDEX(G:G,MATCH(DATE(YEAR($A141)-1,MONTH($A141),DAY($A141)),$A:$A,0))-1),"")</f>
        <v/>
      </c>
      <c r="M141" s="19">
        <f>IF(OR(E141="",E140=""),"",E141/E140-1)</f>
        <v/>
      </c>
      <c r="N141" s="19">
        <f>IF(OR(F141="",F140=""),"",F141/F140-1)</f>
        <v/>
      </c>
      <c r="O141" s="19">
        <f>IF(OR(G141="",G140=""),"",G141/G140-1)</f>
        <v/>
      </c>
      <c r="P141" s="22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IF(R141="","",P141/R141)</f>
        <v/>
      </c>
      <c r="T141" s="23">
        <f>IF(R141="","",Q141/R141)</f>
        <v/>
      </c>
      <c r="U141" s="24">
        <f>IF(SUMIFS('Daily NSE Equity Options'!$M:$M,'Daily NSE Equity Options'!$A:$A,$A141)=0,"",SUMIFS('Daily NSE Equity Options'!$M:$M,'Daily NSE Equity Options'!$A:$A,$A141))</f>
        <v/>
      </c>
      <c r="V141" s="9">
        <f>IF(SUMIFS('Daily BSE Equity Options'!$M:$M,'Daily BSE Equity Options'!$A:$A,$A141)=0,"",SUMIFS('Daily BSE Equity Options'!$M:$M,'Daily BSE Equity Options'!$A:$A,$A141))</f>
        <v/>
      </c>
      <c r="W141" s="9">
        <f>IF(OR(U141="",V141=""),"",U141+V141)</f>
        <v/>
      </c>
      <c r="X141" s="25">
        <f>IF(W141="","",U141/W141)</f>
        <v/>
      </c>
      <c r="Y141" s="25">
        <f>IF(W141="","",V141/W141)</f>
        <v/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19">
        <f>IF(G142="","",E142/G142)</f>
        <v/>
      </c>
      <c r="I142" s="19">
        <f>IF(G142="","",F142/G142)</f>
        <v/>
      </c>
      <c r="J142" s="26">
        <f>IFERROR(IF(OR(E142="",INDEX(E:E,MATCH(DATE(YEAR($A142)-1,MONTH($A142),DAY($A142)),$A:$A,0))=""),"",E142/INDEX(E:E,MATCH(DATE(YEAR($A142)-1,MONTH($A142),DAY($A142)),$A:$A,0))-1),"")</f>
        <v/>
      </c>
      <c r="K142" s="19">
        <f>IFERROR(IF(OR(F142="",INDEX(F:F,MATCH(DATE(YEAR($A142)-1,MONTH($A142),DAY($A142)),$A:$A,0))=""),"",F142/INDEX(F:F,MATCH(DATE(YEAR($A142)-1,MONTH($A142),DAY($A142)),$A:$A,0))-1),"")</f>
        <v/>
      </c>
      <c r="L142" s="19">
        <f>IFERROR(IF(OR(G142="",INDEX(G:G,MATCH(DATE(YEAR($A142)-1,MONTH($A142),DAY($A142)),$A:$A,0))=""),"",G142/INDEX(G:G,MATCH(DATE(YEAR($A142)-1,MONTH($A142),DAY($A142)),$A:$A,0))-1),"")</f>
        <v/>
      </c>
      <c r="M142" s="19">
        <f>IF(OR(E142="",E141=""),"",E142/E141-1)</f>
        <v/>
      </c>
      <c r="N142" s="19">
        <f>IF(OR(F142="",F141=""),"",F142/F141-1)</f>
        <v/>
      </c>
      <c r="O142" s="19">
        <f>IF(OR(G142="",G141=""),"",G142/G141-1)</f>
        <v/>
      </c>
      <c r="P142" s="22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IF(R142="","",P142/R142)</f>
        <v/>
      </c>
      <c r="T142" s="23">
        <f>IF(R142="","",Q142/R142)</f>
        <v/>
      </c>
      <c r="U142" s="24">
        <f>IF(SUMIFS('Daily NSE Equity Options'!$M:$M,'Daily NSE Equity Options'!$A:$A,$A142)=0,"",SUMIFS('Daily NSE Equity Options'!$M:$M,'Daily NSE Equity Options'!$A:$A,$A142))</f>
        <v/>
      </c>
      <c r="V142" s="9">
        <f>IF(SUMIFS('Daily BSE Equity Options'!$M:$M,'Daily BSE Equity Options'!$A:$A,$A142)=0,"",SUMIFS('Daily BSE Equity Options'!$M:$M,'Daily BSE Equity Options'!$A:$A,$A142))</f>
        <v/>
      </c>
      <c r="W142" s="9">
        <f>IF(OR(U142="",V142=""),"",U142+V142)</f>
        <v/>
      </c>
      <c r="X142" s="25">
        <f>IF(W142="","",U142/W142)</f>
        <v/>
      </c>
      <c r="Y142" s="25">
        <f>IF(W142="","",V142/W142)</f>
        <v/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19">
        <f>IF(G143="","",E143/G143)</f>
        <v/>
      </c>
      <c r="I143" s="19">
        <f>IF(G143="","",F143/G143)</f>
        <v/>
      </c>
      <c r="J143" s="26">
        <f>IFERROR(IF(OR(E143="",INDEX(E:E,MATCH(DATE(YEAR($A143)-1,MONTH($A143),DAY($A143)),$A:$A,0))=""),"",E143/INDEX(E:E,MATCH(DATE(YEAR($A143)-1,MONTH($A143),DAY($A143)),$A:$A,0))-1),"")</f>
        <v/>
      </c>
      <c r="K143" s="19">
        <f>IFERROR(IF(OR(F143="",INDEX(F:F,MATCH(DATE(YEAR($A143)-1,MONTH($A143),DAY($A143)),$A:$A,0))=""),"",F143/INDEX(F:F,MATCH(DATE(YEAR($A143)-1,MONTH($A143),DAY($A143)),$A:$A,0))-1),"")</f>
        <v/>
      </c>
      <c r="L143" s="19">
        <f>IFERROR(IF(OR(G143="",INDEX(G:G,MATCH(DATE(YEAR($A143)-1,MONTH($A143),DAY($A143)),$A:$A,0))=""),"",G143/INDEX(G:G,MATCH(DATE(YEAR($A143)-1,MONTH($A143),DAY($A143)),$A:$A,0))-1),"")</f>
        <v/>
      </c>
      <c r="M143" s="19">
        <f>IF(OR(E143="",E142=""),"",E143/E142-1)</f>
        <v/>
      </c>
      <c r="N143" s="19">
        <f>IF(OR(F143="",F142=""),"",F143/F142-1)</f>
        <v/>
      </c>
      <c r="O143" s="19">
        <f>IF(OR(G143="",G142=""),"",G143/G142-1)</f>
        <v/>
      </c>
      <c r="P143" s="22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IF(R143="","",P143/R143)</f>
        <v/>
      </c>
      <c r="T143" s="23">
        <f>IF(R143="","",Q143/R143)</f>
        <v/>
      </c>
      <c r="U143" s="24">
        <f>IF(SUMIFS('Daily NSE Equity Options'!$M:$M,'Daily NSE Equity Options'!$A:$A,$A143)=0,"",SUMIFS('Daily NSE Equity Options'!$M:$M,'Daily NSE Equity Options'!$A:$A,$A143))</f>
        <v/>
      </c>
      <c r="V143" s="9">
        <f>IF(SUMIFS('Daily BSE Equity Options'!$M:$M,'Daily BSE Equity Options'!$A:$A,$A143)=0,"",SUMIFS('Daily BSE Equity Options'!$M:$M,'Daily BSE Equity Options'!$A:$A,$A143))</f>
        <v/>
      </c>
      <c r="W143" s="9">
        <f>IF(OR(U143="",V143=""),"",U143+V143)</f>
        <v/>
      </c>
      <c r="X143" s="25">
        <f>IF(W143="","",U143/W143)</f>
        <v/>
      </c>
      <c r="Y143" s="25">
        <f>IF(W143="","",V143/W143)</f>
        <v/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19">
        <f>IF(G144="","",E144/G144)</f>
        <v/>
      </c>
      <c r="I144" s="19">
        <f>IF(G144="","",F144/G144)</f>
        <v/>
      </c>
      <c r="J144" s="26">
        <f>IFERROR(IF(OR(E144="",INDEX(E:E,MATCH(DATE(YEAR($A144)-1,MONTH($A144),DAY($A144)),$A:$A,0))=""),"",E144/INDEX(E:E,MATCH(DATE(YEAR($A144)-1,MONTH($A144),DAY($A144)),$A:$A,0))-1),"")</f>
        <v/>
      </c>
      <c r="K144" s="19">
        <f>IFERROR(IF(OR(F144="",INDEX(F:F,MATCH(DATE(YEAR($A144)-1,MONTH($A144),DAY($A144)),$A:$A,0))=""),"",F144/INDEX(F:F,MATCH(DATE(YEAR($A144)-1,MONTH($A144),DAY($A144)),$A:$A,0))-1),"")</f>
        <v/>
      </c>
      <c r="L144" s="19">
        <f>IFERROR(IF(OR(G144="",INDEX(G:G,MATCH(DATE(YEAR($A144)-1,MONTH($A144),DAY($A144)),$A:$A,0))=""),"",G144/INDEX(G:G,MATCH(DATE(YEAR($A144)-1,MONTH($A144),DAY($A144)),$A:$A,0))-1),"")</f>
        <v/>
      </c>
      <c r="M144" s="19">
        <f>IF(OR(E144="",E143=""),"",E144/E143-1)</f>
        <v/>
      </c>
      <c r="N144" s="19">
        <f>IF(OR(F144="",F143=""),"",F144/F143-1)</f>
        <v/>
      </c>
      <c r="O144" s="19">
        <f>IF(OR(G144="",G143=""),"",G144/G143-1)</f>
        <v/>
      </c>
      <c r="P144" s="22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IF(R144="","",P144/R144)</f>
        <v/>
      </c>
      <c r="T144" s="23">
        <f>IF(R144="","",Q144/R144)</f>
        <v/>
      </c>
      <c r="U144" s="24">
        <f>IF(SUMIFS('Daily NSE Equity Options'!$M:$M,'Daily NSE Equity Options'!$A:$A,$A144)=0,"",SUMIFS('Daily NSE Equity Options'!$M:$M,'Daily NSE Equity Options'!$A:$A,$A144))</f>
        <v/>
      </c>
      <c r="V144" s="9">
        <f>IF(SUMIFS('Daily BSE Equity Options'!$M:$M,'Daily BSE Equity Options'!$A:$A,$A144)=0,"",SUMIFS('Daily BSE Equity Options'!$M:$M,'Daily BSE Equity Options'!$A:$A,$A144))</f>
        <v/>
      </c>
      <c r="W144" s="9">
        <f>IF(OR(U144="",V144=""),"",U144+V144)</f>
        <v/>
      </c>
      <c r="X144" s="25">
        <f>IF(W144="","",U144/W144)</f>
        <v/>
      </c>
      <c r="Y144" s="25">
        <f>IF(W144="","",V144/W144)</f>
        <v/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19">
        <f>IF(G145="","",E145/G145)</f>
        <v/>
      </c>
      <c r="I145" s="19">
        <f>IF(G145="","",F145/G145)</f>
        <v/>
      </c>
      <c r="J145" s="26">
        <f>IFERROR(IF(OR(E145="",INDEX(E:E,MATCH(DATE(YEAR($A145)-1,MONTH($A145),DAY($A145)),$A:$A,0))=""),"",E145/INDEX(E:E,MATCH(DATE(YEAR($A145)-1,MONTH($A145),DAY($A145)),$A:$A,0))-1),"")</f>
        <v/>
      </c>
      <c r="K145" s="19">
        <f>IFERROR(IF(OR(F145="",INDEX(F:F,MATCH(DATE(YEAR($A145)-1,MONTH($A145),DAY($A145)),$A:$A,0))=""),"",F145/INDEX(F:F,MATCH(DATE(YEAR($A145)-1,MONTH($A145),DAY($A145)),$A:$A,0))-1),"")</f>
        <v/>
      </c>
      <c r="L145" s="19">
        <f>IFERROR(IF(OR(G145="",INDEX(G:G,MATCH(DATE(YEAR($A145)-1,MONTH($A145),DAY($A145)),$A:$A,0))=""),"",G145/INDEX(G:G,MATCH(DATE(YEAR($A145)-1,MONTH($A145),DAY($A145)),$A:$A,0))-1),"")</f>
        <v/>
      </c>
      <c r="M145" s="19">
        <f>IF(OR(E145="",E144=""),"",E145/E144-1)</f>
        <v/>
      </c>
      <c r="N145" s="19">
        <f>IF(OR(F145="",F144=""),"",F145/F144-1)</f>
        <v/>
      </c>
      <c r="O145" s="19">
        <f>IF(OR(G145="",G144=""),"",G145/G144-1)</f>
        <v/>
      </c>
      <c r="P145" s="22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IF(R145="","",P145/R145)</f>
        <v/>
      </c>
      <c r="T145" s="23">
        <f>IF(R145="","",Q145/R145)</f>
        <v/>
      </c>
      <c r="U145" s="24">
        <f>IF(SUMIFS('Daily NSE Equity Options'!$M:$M,'Daily NSE Equity Options'!$A:$A,$A145)=0,"",SUMIFS('Daily NSE Equity Options'!$M:$M,'Daily NSE Equity Options'!$A:$A,$A145))</f>
        <v/>
      </c>
      <c r="V145" s="9">
        <f>IF(SUMIFS('Daily BSE Equity Options'!$M:$M,'Daily BSE Equity Options'!$A:$A,$A145)=0,"",SUMIFS('Daily BSE Equity Options'!$M:$M,'Daily BSE Equity Options'!$A:$A,$A145))</f>
        <v/>
      </c>
      <c r="W145" s="9">
        <f>IF(OR(U145="",V145=""),"",U145+V145)</f>
        <v/>
      </c>
      <c r="X145" s="25">
        <f>IF(W145="","",U145/W145)</f>
        <v/>
      </c>
      <c r="Y145" s="25">
        <f>IF(W145="","",V145/W145)</f>
        <v/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19">
        <f>IF(G146="","",E146/G146)</f>
        <v/>
      </c>
      <c r="I146" s="19">
        <f>IF(G146="","",F146/G146)</f>
        <v/>
      </c>
      <c r="J146" s="26">
        <f>IFERROR(IF(OR(E146="",INDEX(E:E,MATCH(DATE(YEAR($A146)-1,MONTH($A146),DAY($A146)),$A:$A,0))=""),"",E146/INDEX(E:E,MATCH(DATE(YEAR($A146)-1,MONTH($A146),DAY($A146)),$A:$A,0))-1),"")</f>
        <v/>
      </c>
      <c r="K146" s="19">
        <f>IFERROR(IF(OR(F146="",INDEX(F:F,MATCH(DATE(YEAR($A146)-1,MONTH($A146),DAY($A146)),$A:$A,0))=""),"",F146/INDEX(F:F,MATCH(DATE(YEAR($A146)-1,MONTH($A146),DAY($A146)),$A:$A,0))-1),"")</f>
        <v/>
      </c>
      <c r="L146" s="19">
        <f>IFERROR(IF(OR(G146="",INDEX(G:G,MATCH(DATE(YEAR($A146)-1,MONTH($A146),DAY($A146)),$A:$A,0))=""),"",G146/INDEX(G:G,MATCH(DATE(YEAR($A146)-1,MONTH($A146),DAY($A146)),$A:$A,0))-1),"")</f>
        <v/>
      </c>
      <c r="M146" s="19">
        <f>IF(OR(E146="",E145=""),"",E146/E145-1)</f>
        <v/>
      </c>
      <c r="N146" s="19">
        <f>IF(OR(F146="",F145=""),"",F146/F145-1)</f>
        <v/>
      </c>
      <c r="O146" s="19">
        <f>IF(OR(G146="",G145=""),"",G146/G145-1)</f>
        <v/>
      </c>
      <c r="P146" s="22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IF(R146="","",P146/R146)</f>
        <v/>
      </c>
      <c r="T146" s="23">
        <f>IF(R146="","",Q146/R146)</f>
        <v/>
      </c>
      <c r="U146" s="24">
        <f>IF(SUMIFS('Daily NSE Equity Options'!$M:$M,'Daily NSE Equity Options'!$A:$A,$A146)=0,"",SUMIFS('Daily NSE Equity Options'!$M:$M,'Daily NSE Equity Options'!$A:$A,$A146))</f>
        <v/>
      </c>
      <c r="V146" s="9">
        <f>IF(SUMIFS('Daily BSE Equity Options'!$M:$M,'Daily BSE Equity Options'!$A:$A,$A146)=0,"",SUMIFS('Daily BSE Equity Options'!$M:$M,'Daily BSE Equity Options'!$A:$A,$A146))</f>
        <v/>
      </c>
      <c r="W146" s="9">
        <f>IF(OR(U146="",V146=""),"",U146+V146)</f>
        <v/>
      </c>
      <c r="X146" s="25">
        <f>IF(W146="","",U146/W146)</f>
        <v/>
      </c>
      <c r="Y146" s="25">
        <f>IF(W146="","",V146/W146)</f>
        <v/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19">
        <f>IF(G147="","",E147/G147)</f>
        <v/>
      </c>
      <c r="I147" s="19">
        <f>IF(G147="","",F147/G147)</f>
        <v/>
      </c>
      <c r="J147" s="26">
        <f>IFERROR(IF(OR(E147="",INDEX(E:E,MATCH(DATE(YEAR($A147)-1,MONTH($A147),DAY($A147)),$A:$A,0))=""),"",E147/INDEX(E:E,MATCH(DATE(YEAR($A147)-1,MONTH($A147),DAY($A147)),$A:$A,0))-1),"")</f>
        <v/>
      </c>
      <c r="K147" s="19">
        <f>IFERROR(IF(OR(F147="",INDEX(F:F,MATCH(DATE(YEAR($A147)-1,MONTH($A147),DAY($A147)),$A:$A,0))=""),"",F147/INDEX(F:F,MATCH(DATE(YEAR($A147)-1,MONTH($A147),DAY($A147)),$A:$A,0))-1),"")</f>
        <v/>
      </c>
      <c r="L147" s="19">
        <f>IFERROR(IF(OR(G147="",INDEX(G:G,MATCH(DATE(YEAR($A147)-1,MONTH($A147),DAY($A147)),$A:$A,0))=""),"",G147/INDEX(G:G,MATCH(DATE(YEAR($A147)-1,MONTH($A147),DAY($A147)),$A:$A,0))-1),"")</f>
        <v/>
      </c>
      <c r="M147" s="19">
        <f>IF(OR(E147="",E146=""),"",E147/E146-1)</f>
        <v/>
      </c>
      <c r="N147" s="19">
        <f>IF(OR(F147="",F146=""),"",F147/F146-1)</f>
        <v/>
      </c>
      <c r="O147" s="19">
        <f>IF(OR(G147="",G146=""),"",G147/G146-1)</f>
        <v/>
      </c>
      <c r="P147" s="22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IF(R147="","",P147/R147)</f>
        <v/>
      </c>
      <c r="T147" s="23">
        <f>IF(R147="","",Q147/R147)</f>
        <v/>
      </c>
      <c r="U147" s="24">
        <f>IF(SUMIFS('Daily NSE Equity Options'!$M:$M,'Daily NSE Equity Options'!$A:$A,$A147)=0,"",SUMIFS('Daily NSE Equity Options'!$M:$M,'Daily NSE Equity Options'!$A:$A,$A147))</f>
        <v/>
      </c>
      <c r="V147" s="9">
        <f>IF(SUMIFS('Daily BSE Equity Options'!$M:$M,'Daily BSE Equity Options'!$A:$A,$A147)=0,"",SUMIFS('Daily BSE Equity Options'!$M:$M,'Daily BSE Equity Options'!$A:$A,$A147))</f>
        <v/>
      </c>
      <c r="W147" s="9">
        <f>IF(OR(U147="",V147=""),"",U147+V147)</f>
        <v/>
      </c>
      <c r="X147" s="25">
        <f>IF(W147="","",U147/W147)</f>
        <v/>
      </c>
      <c r="Y147" s="25">
        <f>IF(W147="","",V147/W147)</f>
        <v/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19">
        <f>IF(G148="","",E148/G148)</f>
        <v/>
      </c>
      <c r="I148" s="19">
        <f>IF(G148="","",F148/G148)</f>
        <v/>
      </c>
      <c r="J148" s="26">
        <f>IFERROR(IF(OR(E148="",INDEX(E:E,MATCH(DATE(YEAR($A148)-1,MONTH($A148),DAY($A148)),$A:$A,0))=""),"",E148/INDEX(E:E,MATCH(DATE(YEAR($A148)-1,MONTH($A148),DAY($A148)),$A:$A,0))-1),"")</f>
        <v/>
      </c>
      <c r="K148" s="19">
        <f>IFERROR(IF(OR(F148="",INDEX(F:F,MATCH(DATE(YEAR($A148)-1,MONTH($A148),DAY($A148)),$A:$A,0))=""),"",F148/INDEX(F:F,MATCH(DATE(YEAR($A148)-1,MONTH($A148),DAY($A148)),$A:$A,0))-1),"")</f>
        <v/>
      </c>
      <c r="L148" s="19">
        <f>IFERROR(IF(OR(G148="",INDEX(G:G,MATCH(DATE(YEAR($A148)-1,MONTH($A148),DAY($A148)),$A:$A,0))=""),"",G148/INDEX(G:G,MATCH(DATE(YEAR($A148)-1,MONTH($A148),DAY($A148)),$A:$A,0))-1),"")</f>
        <v/>
      </c>
      <c r="M148" s="19">
        <f>IF(OR(E148="",E147=""),"",E148/E147-1)</f>
        <v/>
      </c>
      <c r="N148" s="19">
        <f>IF(OR(F148="",F147=""),"",F148/F147-1)</f>
        <v/>
      </c>
      <c r="O148" s="19">
        <f>IF(OR(G148="",G147=""),"",G148/G147-1)</f>
        <v/>
      </c>
      <c r="P148" s="22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IF(R148="","",P148/R148)</f>
        <v/>
      </c>
      <c r="T148" s="23">
        <f>IF(R148="","",Q148/R148)</f>
        <v/>
      </c>
      <c r="U148" s="24">
        <f>IF(SUMIFS('Daily NSE Equity Options'!$M:$M,'Daily NSE Equity Options'!$A:$A,$A148)=0,"",SUMIFS('Daily NSE Equity Options'!$M:$M,'Daily NSE Equity Options'!$A:$A,$A148))</f>
        <v/>
      </c>
      <c r="V148" s="9">
        <f>IF(SUMIFS('Daily BSE Equity Options'!$M:$M,'Daily BSE Equity Options'!$A:$A,$A148)=0,"",SUMIFS('Daily BSE Equity Options'!$M:$M,'Daily BSE Equity Options'!$A:$A,$A148))</f>
        <v/>
      </c>
      <c r="W148" s="9">
        <f>IF(OR(U148="",V148=""),"",U148+V148)</f>
        <v/>
      </c>
      <c r="X148" s="25">
        <f>IF(W148="","",U148/W148)</f>
        <v/>
      </c>
      <c r="Y148" s="25">
        <f>IF(W148="","",V148/W148)</f>
        <v/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19">
        <f>IF(G149="","",E149/G149)</f>
        <v/>
      </c>
      <c r="I149" s="19">
        <f>IF(G149="","",F149/G149)</f>
        <v/>
      </c>
      <c r="J149" s="26">
        <f>IFERROR(IF(OR(E149="",INDEX(E:E,MATCH(DATE(YEAR($A149)-1,MONTH($A149),DAY($A149)),$A:$A,0))=""),"",E149/INDEX(E:E,MATCH(DATE(YEAR($A149)-1,MONTH($A149),DAY($A149)),$A:$A,0))-1),"")</f>
        <v/>
      </c>
      <c r="K149" s="19">
        <f>IFERROR(IF(OR(F149="",INDEX(F:F,MATCH(DATE(YEAR($A149)-1,MONTH($A149),DAY($A149)),$A:$A,0))=""),"",F149/INDEX(F:F,MATCH(DATE(YEAR($A149)-1,MONTH($A149),DAY($A149)),$A:$A,0))-1),"")</f>
        <v/>
      </c>
      <c r="L149" s="19">
        <f>IFERROR(IF(OR(G149="",INDEX(G:G,MATCH(DATE(YEAR($A149)-1,MONTH($A149),DAY($A149)),$A:$A,0))=""),"",G149/INDEX(G:G,MATCH(DATE(YEAR($A149)-1,MONTH($A149),DAY($A149)),$A:$A,0))-1),"")</f>
        <v/>
      </c>
      <c r="M149" s="19">
        <f>IF(OR(E149="",E148=""),"",E149/E148-1)</f>
        <v/>
      </c>
      <c r="N149" s="19">
        <f>IF(OR(F149="",F148=""),"",F149/F148-1)</f>
        <v/>
      </c>
      <c r="O149" s="19">
        <f>IF(OR(G149="",G148=""),"",G149/G148-1)</f>
        <v/>
      </c>
      <c r="P149" s="22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IF(R149="","",P149/R149)</f>
        <v/>
      </c>
      <c r="T149" s="23">
        <f>IF(R149="","",Q149/R149)</f>
        <v/>
      </c>
      <c r="U149" s="24">
        <f>IF(SUMIFS('Daily NSE Equity Options'!$M:$M,'Daily NSE Equity Options'!$A:$A,$A149)=0,"",SUMIFS('Daily NSE Equity Options'!$M:$M,'Daily NSE Equity Options'!$A:$A,$A149))</f>
        <v/>
      </c>
      <c r="V149" s="9">
        <f>IF(SUMIFS('Daily BSE Equity Options'!$M:$M,'Daily BSE Equity Options'!$A:$A,$A149)=0,"",SUMIFS('Daily BSE Equity Options'!$M:$M,'Daily BSE Equity Options'!$A:$A,$A149))</f>
        <v/>
      </c>
      <c r="W149" s="9">
        <f>IF(OR(U149="",V149=""),"",U149+V149)</f>
        <v/>
      </c>
      <c r="X149" s="25">
        <f>IF(W149="","",U149/W149)</f>
        <v/>
      </c>
      <c r="Y149" s="25">
        <f>IF(W149="","",V149/W149)</f>
        <v/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19">
        <f>IF(G150="","",E150/G150)</f>
        <v/>
      </c>
      <c r="I150" s="19">
        <f>IF(G150="","",F150/G150)</f>
        <v/>
      </c>
      <c r="J150" s="26">
        <f>IFERROR(IF(OR(E150="",INDEX(E:E,MATCH(DATE(YEAR($A150)-1,MONTH($A150),DAY($A150)),$A:$A,0))=""),"",E150/INDEX(E:E,MATCH(DATE(YEAR($A150)-1,MONTH($A150),DAY($A150)),$A:$A,0))-1),"")</f>
        <v/>
      </c>
      <c r="K150" s="19">
        <f>IFERROR(IF(OR(F150="",INDEX(F:F,MATCH(DATE(YEAR($A150)-1,MONTH($A150),DAY($A150)),$A:$A,0))=""),"",F150/INDEX(F:F,MATCH(DATE(YEAR($A150)-1,MONTH($A150),DAY($A150)),$A:$A,0))-1),"")</f>
        <v/>
      </c>
      <c r="L150" s="19">
        <f>IFERROR(IF(OR(G150="",INDEX(G:G,MATCH(DATE(YEAR($A150)-1,MONTH($A150),DAY($A150)),$A:$A,0))=""),"",G150/INDEX(G:G,MATCH(DATE(YEAR($A150)-1,MONTH($A150),DAY($A150)),$A:$A,0))-1),"")</f>
        <v/>
      </c>
      <c r="M150" s="19">
        <f>IF(OR(E150="",E149=""),"",E150/E149-1)</f>
        <v/>
      </c>
      <c r="N150" s="19">
        <f>IF(OR(F150="",F149=""),"",F150/F149-1)</f>
        <v/>
      </c>
      <c r="O150" s="19">
        <f>IF(OR(G150="",G149=""),"",G150/G149-1)</f>
        <v/>
      </c>
      <c r="P150" s="22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IF(R150="","",P150/R150)</f>
        <v/>
      </c>
      <c r="T150" s="23">
        <f>IF(R150="","",Q150/R150)</f>
        <v/>
      </c>
      <c r="U150" s="24">
        <f>IF(SUMIFS('Daily NSE Equity Options'!$M:$M,'Daily NSE Equity Options'!$A:$A,$A150)=0,"",SUMIFS('Daily NSE Equity Options'!$M:$M,'Daily NSE Equity Options'!$A:$A,$A150))</f>
        <v/>
      </c>
      <c r="V150" s="9">
        <f>IF(SUMIFS('Daily BSE Equity Options'!$M:$M,'Daily BSE Equity Options'!$A:$A,$A150)=0,"",SUMIFS('Daily BSE Equity Options'!$M:$M,'Daily BSE Equity Options'!$A:$A,$A150))</f>
        <v/>
      </c>
      <c r="W150" s="9">
        <f>IF(OR(U150="",V150=""),"",U150+V150)</f>
        <v/>
      </c>
      <c r="X150" s="25">
        <f>IF(W150="","",U150/W150)</f>
        <v/>
      </c>
      <c r="Y150" s="25">
        <f>IF(W150="","",V150/W150)</f>
        <v/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19">
        <f>IF(G151="","",E151/G151)</f>
        <v/>
      </c>
      <c r="I151" s="19">
        <f>IF(G151="","",F151/G151)</f>
        <v/>
      </c>
      <c r="J151" s="26">
        <f>IFERROR(IF(OR(E151="",INDEX(E:E,MATCH(DATE(YEAR($A151)-1,MONTH($A151),DAY($A151)),$A:$A,0))=""),"",E151/INDEX(E:E,MATCH(DATE(YEAR($A151)-1,MONTH($A151),DAY($A151)),$A:$A,0))-1),"")</f>
        <v/>
      </c>
      <c r="K151" s="19">
        <f>IFERROR(IF(OR(F151="",INDEX(F:F,MATCH(DATE(YEAR($A151)-1,MONTH($A151),DAY($A151)),$A:$A,0))=""),"",F151/INDEX(F:F,MATCH(DATE(YEAR($A151)-1,MONTH($A151),DAY($A151)),$A:$A,0))-1),"")</f>
        <v/>
      </c>
      <c r="L151" s="19">
        <f>IFERROR(IF(OR(G151="",INDEX(G:G,MATCH(DATE(YEAR($A151)-1,MONTH($A151),DAY($A151)),$A:$A,0))=""),"",G151/INDEX(G:G,MATCH(DATE(YEAR($A151)-1,MONTH($A151),DAY($A151)),$A:$A,0))-1),"")</f>
        <v/>
      </c>
      <c r="M151" s="19">
        <f>IF(OR(E151="",E150=""),"",E151/E150-1)</f>
        <v/>
      </c>
      <c r="N151" s="19">
        <f>IF(OR(F151="",F150=""),"",F151/F150-1)</f>
        <v/>
      </c>
      <c r="O151" s="19">
        <f>IF(OR(G151="",G150=""),"",G151/G150-1)</f>
        <v/>
      </c>
      <c r="P151" s="22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IF(R151="","",P151/R151)</f>
        <v/>
      </c>
      <c r="T151" s="23">
        <f>IF(R151="","",Q151/R151)</f>
        <v/>
      </c>
      <c r="U151" s="24">
        <f>IF(SUMIFS('Daily NSE Equity Options'!$M:$M,'Daily NSE Equity Options'!$A:$A,$A151)=0,"",SUMIFS('Daily NSE Equity Options'!$M:$M,'Daily NSE Equity Options'!$A:$A,$A151))</f>
        <v/>
      </c>
      <c r="V151" s="9">
        <f>IF(SUMIFS('Daily BSE Equity Options'!$M:$M,'Daily BSE Equity Options'!$A:$A,$A151)=0,"",SUMIFS('Daily BSE Equity Options'!$M:$M,'Daily BSE Equity Options'!$A:$A,$A151))</f>
        <v/>
      </c>
      <c r="W151" s="9">
        <f>IF(OR(U151="",V151=""),"",U151+V151)</f>
        <v/>
      </c>
      <c r="X151" s="25">
        <f>IF(W151="","",U151/W151)</f>
        <v/>
      </c>
      <c r="Y151" s="25">
        <f>IF(W151="","",V151/W151)</f>
        <v/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19">
        <f>IF(G152="","",E152/G152)</f>
        <v/>
      </c>
      <c r="I152" s="19">
        <f>IF(G152="","",F152/G152)</f>
        <v/>
      </c>
      <c r="J152" s="26">
        <f>IFERROR(IF(OR(E152="",INDEX(E:E,MATCH(DATE(YEAR($A152)-1,MONTH($A152),DAY($A152)),$A:$A,0))=""),"",E152/INDEX(E:E,MATCH(DATE(YEAR($A152)-1,MONTH($A152),DAY($A152)),$A:$A,0))-1),"")</f>
        <v/>
      </c>
      <c r="K152" s="19">
        <f>IFERROR(IF(OR(F152="",INDEX(F:F,MATCH(DATE(YEAR($A152)-1,MONTH($A152),DAY($A152)),$A:$A,0))=""),"",F152/INDEX(F:F,MATCH(DATE(YEAR($A152)-1,MONTH($A152),DAY($A152)),$A:$A,0))-1),"")</f>
        <v/>
      </c>
      <c r="L152" s="19">
        <f>IFERROR(IF(OR(G152="",INDEX(G:G,MATCH(DATE(YEAR($A152)-1,MONTH($A152),DAY($A152)),$A:$A,0))=""),"",G152/INDEX(G:G,MATCH(DATE(YEAR($A152)-1,MONTH($A152),DAY($A152)),$A:$A,0))-1),"")</f>
        <v/>
      </c>
      <c r="M152" s="19">
        <f>IF(OR(E152="",E151=""),"",E152/E151-1)</f>
        <v/>
      </c>
      <c r="N152" s="19">
        <f>IF(OR(F152="",F151=""),"",F152/F151-1)</f>
        <v/>
      </c>
      <c r="O152" s="19">
        <f>IF(OR(G152="",G151=""),"",G152/G151-1)</f>
        <v/>
      </c>
      <c r="P152" s="22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IF(R152="","",P152/R152)</f>
        <v/>
      </c>
      <c r="T152" s="23">
        <f>IF(R152="","",Q152/R152)</f>
        <v/>
      </c>
      <c r="U152" s="24">
        <f>IF(SUMIFS('Daily NSE Equity Options'!$M:$M,'Daily NSE Equity Options'!$A:$A,$A152)=0,"",SUMIFS('Daily NSE Equity Options'!$M:$M,'Daily NSE Equity Options'!$A:$A,$A152))</f>
        <v/>
      </c>
      <c r="V152" s="9">
        <f>IF(SUMIFS('Daily BSE Equity Options'!$M:$M,'Daily BSE Equity Options'!$A:$A,$A152)=0,"",SUMIFS('Daily BSE Equity Options'!$M:$M,'Daily BSE Equity Options'!$A:$A,$A152))</f>
        <v/>
      </c>
      <c r="W152" s="9">
        <f>IF(OR(U152="",V152=""),"",U152+V152)</f>
        <v/>
      </c>
      <c r="X152" s="25">
        <f>IF(W152="","",U152/W152)</f>
        <v/>
      </c>
      <c r="Y152" s="25">
        <f>IF(W152="","",V152/W152)</f>
        <v/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19">
        <f>IF(G153="","",E153/G153)</f>
        <v/>
      </c>
      <c r="I153" s="19">
        <f>IF(G153="","",F153/G153)</f>
        <v/>
      </c>
      <c r="J153" s="26">
        <f>IFERROR(IF(OR(E153="",INDEX(E:E,MATCH(DATE(YEAR($A153)-1,MONTH($A153),DAY($A153)),$A:$A,0))=""),"",E153/INDEX(E:E,MATCH(DATE(YEAR($A153)-1,MONTH($A153),DAY($A153)),$A:$A,0))-1),"")</f>
        <v/>
      </c>
      <c r="K153" s="19">
        <f>IFERROR(IF(OR(F153="",INDEX(F:F,MATCH(DATE(YEAR($A153)-1,MONTH($A153),DAY($A153)),$A:$A,0))=""),"",F153/INDEX(F:F,MATCH(DATE(YEAR($A153)-1,MONTH($A153),DAY($A153)),$A:$A,0))-1),"")</f>
        <v/>
      </c>
      <c r="L153" s="19">
        <f>IFERROR(IF(OR(G153="",INDEX(G:G,MATCH(DATE(YEAR($A153)-1,MONTH($A153),DAY($A153)),$A:$A,0))=""),"",G153/INDEX(G:G,MATCH(DATE(YEAR($A153)-1,MONTH($A153),DAY($A153)),$A:$A,0))-1),"")</f>
        <v/>
      </c>
      <c r="M153" s="19">
        <f>IF(OR(E153="",E152=""),"",E153/E152-1)</f>
        <v/>
      </c>
      <c r="N153" s="19">
        <f>IF(OR(F153="",F152=""),"",F153/F152-1)</f>
        <v/>
      </c>
      <c r="O153" s="19">
        <f>IF(OR(G153="",G152=""),"",G153/G152-1)</f>
        <v/>
      </c>
      <c r="P153" s="22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IF(R153="","",P153/R153)</f>
        <v/>
      </c>
      <c r="T153" s="23">
        <f>IF(R153="","",Q153/R153)</f>
        <v/>
      </c>
      <c r="U153" s="24">
        <f>IF(SUMIFS('Daily NSE Equity Options'!$M:$M,'Daily NSE Equity Options'!$A:$A,$A153)=0,"",SUMIFS('Daily NSE Equity Options'!$M:$M,'Daily NSE Equity Options'!$A:$A,$A153))</f>
        <v/>
      </c>
      <c r="V153" s="9">
        <f>IF(SUMIFS('Daily BSE Equity Options'!$M:$M,'Daily BSE Equity Options'!$A:$A,$A153)=0,"",SUMIFS('Daily BSE Equity Options'!$M:$M,'Daily BSE Equity Options'!$A:$A,$A153))</f>
        <v/>
      </c>
      <c r="W153" s="9">
        <f>IF(OR(U153="",V153=""),"",U153+V153)</f>
        <v/>
      </c>
      <c r="X153" s="25">
        <f>IF(W153="","",U153/W153)</f>
        <v/>
      </c>
      <c r="Y153" s="25">
        <f>IF(W153="","",V153/W153)</f>
        <v/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19">
        <f>IF(G154="","",E154/G154)</f>
        <v/>
      </c>
      <c r="I154" s="19">
        <f>IF(G154="","",F154/G154)</f>
        <v/>
      </c>
      <c r="J154" s="26">
        <f>IFERROR(IF(OR(E154="",INDEX(E:E,MATCH(DATE(YEAR($A154)-1,MONTH($A154),DAY($A154)),$A:$A,0))=""),"",E154/INDEX(E:E,MATCH(DATE(YEAR($A154)-1,MONTH($A154),DAY($A154)),$A:$A,0))-1),"")</f>
        <v/>
      </c>
      <c r="K154" s="19">
        <f>IFERROR(IF(OR(F154="",INDEX(F:F,MATCH(DATE(YEAR($A154)-1,MONTH($A154),DAY($A154)),$A:$A,0))=""),"",F154/INDEX(F:F,MATCH(DATE(YEAR($A154)-1,MONTH($A154),DAY($A154)),$A:$A,0))-1),"")</f>
        <v/>
      </c>
      <c r="L154" s="19">
        <f>IFERROR(IF(OR(G154="",INDEX(G:G,MATCH(DATE(YEAR($A154)-1,MONTH($A154),DAY($A154)),$A:$A,0))=""),"",G154/INDEX(G:G,MATCH(DATE(YEAR($A154)-1,MONTH($A154),DAY($A154)),$A:$A,0))-1),"")</f>
        <v/>
      </c>
      <c r="M154" s="19">
        <f>IF(OR(E154="",E153=""),"",E154/E153-1)</f>
        <v/>
      </c>
      <c r="N154" s="19">
        <f>IF(OR(F154="",F153=""),"",F154/F153-1)</f>
        <v/>
      </c>
      <c r="O154" s="19">
        <f>IF(OR(G154="",G153=""),"",G154/G153-1)</f>
        <v/>
      </c>
      <c r="P154" s="22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IF(R154="","",P154/R154)</f>
        <v/>
      </c>
      <c r="T154" s="23">
        <f>IF(R154="","",Q154/R154)</f>
        <v/>
      </c>
      <c r="U154" s="24">
        <f>IF(SUMIFS('Daily NSE Equity Options'!$M:$M,'Daily NSE Equity Options'!$A:$A,$A154)=0,"",SUMIFS('Daily NSE Equity Options'!$M:$M,'Daily NSE Equity Options'!$A:$A,$A154))</f>
        <v/>
      </c>
      <c r="V154" s="9">
        <f>IF(SUMIFS('Daily BSE Equity Options'!$M:$M,'Daily BSE Equity Options'!$A:$A,$A154)=0,"",SUMIFS('Daily BSE Equity Options'!$M:$M,'Daily BSE Equity Options'!$A:$A,$A154))</f>
        <v/>
      </c>
      <c r="W154" s="9">
        <f>IF(OR(U154="",V154=""),"",U154+V154)</f>
        <v/>
      </c>
      <c r="X154" s="25">
        <f>IF(W154="","",U154/W154)</f>
        <v/>
      </c>
      <c r="Y154" s="25">
        <f>IF(W154="","",V154/W154)</f>
        <v/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19">
        <f>IF(G155="","",E155/G155)</f>
        <v/>
      </c>
      <c r="I155" s="19">
        <f>IF(G155="","",F155/G155)</f>
        <v/>
      </c>
      <c r="J155" s="26">
        <f>IFERROR(IF(OR(E155="",INDEX(E:E,MATCH(DATE(YEAR($A155)-1,MONTH($A155),DAY($A155)),$A:$A,0))=""),"",E155/INDEX(E:E,MATCH(DATE(YEAR($A155)-1,MONTH($A155),DAY($A155)),$A:$A,0))-1),"")</f>
        <v/>
      </c>
      <c r="K155" s="19">
        <f>IFERROR(IF(OR(F155="",INDEX(F:F,MATCH(DATE(YEAR($A155)-1,MONTH($A155),DAY($A155)),$A:$A,0))=""),"",F155/INDEX(F:F,MATCH(DATE(YEAR($A155)-1,MONTH($A155),DAY($A155)),$A:$A,0))-1),"")</f>
        <v/>
      </c>
      <c r="L155" s="19">
        <f>IFERROR(IF(OR(G155="",INDEX(G:G,MATCH(DATE(YEAR($A155)-1,MONTH($A155),DAY($A155)),$A:$A,0))=""),"",G155/INDEX(G:G,MATCH(DATE(YEAR($A155)-1,MONTH($A155),DAY($A155)),$A:$A,0))-1),"")</f>
        <v/>
      </c>
      <c r="M155" s="19">
        <f>IF(OR(E155="",E154=""),"",E155/E154-1)</f>
        <v/>
      </c>
      <c r="N155" s="19">
        <f>IF(OR(F155="",F154=""),"",F155/F154-1)</f>
        <v/>
      </c>
      <c r="O155" s="19">
        <f>IF(OR(G155="",G154=""),"",G155/G154-1)</f>
        <v/>
      </c>
      <c r="P155" s="22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IF(R155="","",P155/R155)</f>
        <v/>
      </c>
      <c r="T155" s="23">
        <f>IF(R155="","",Q155/R155)</f>
        <v/>
      </c>
      <c r="U155" s="24">
        <f>IF(SUMIFS('Daily NSE Equity Options'!$M:$M,'Daily NSE Equity Options'!$A:$A,$A155)=0,"",SUMIFS('Daily NSE Equity Options'!$M:$M,'Daily NSE Equity Options'!$A:$A,$A155))</f>
        <v/>
      </c>
      <c r="V155" s="9">
        <f>IF(SUMIFS('Daily BSE Equity Options'!$M:$M,'Daily BSE Equity Options'!$A:$A,$A155)=0,"",SUMIFS('Daily BSE Equity Options'!$M:$M,'Daily BSE Equity Options'!$A:$A,$A155))</f>
        <v/>
      </c>
      <c r="W155" s="9">
        <f>IF(OR(U155="",V155=""),"",U155+V155)</f>
        <v/>
      </c>
      <c r="X155" s="25">
        <f>IF(W155="","",U155/W155)</f>
        <v/>
      </c>
      <c r="Y155" s="25">
        <f>IF(W155="","",V155/W155)</f>
        <v/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19">
        <f>IF(G156="","",E156/G156)</f>
        <v/>
      </c>
      <c r="I156" s="19">
        <f>IF(G156="","",F156/G156)</f>
        <v/>
      </c>
      <c r="J156" s="26">
        <f>IFERROR(IF(OR(E156="",INDEX(E:E,MATCH(DATE(YEAR($A156)-1,MONTH($A156),DAY($A156)),$A:$A,0))=""),"",E156/INDEX(E:E,MATCH(DATE(YEAR($A156)-1,MONTH($A156),DAY($A156)),$A:$A,0))-1),"")</f>
        <v/>
      </c>
      <c r="K156" s="19">
        <f>IFERROR(IF(OR(F156="",INDEX(F:F,MATCH(DATE(YEAR($A156)-1,MONTH($A156),DAY($A156)),$A:$A,0))=""),"",F156/INDEX(F:F,MATCH(DATE(YEAR($A156)-1,MONTH($A156),DAY($A156)),$A:$A,0))-1),"")</f>
        <v/>
      </c>
      <c r="L156" s="19">
        <f>IFERROR(IF(OR(G156="",INDEX(G:G,MATCH(DATE(YEAR($A156)-1,MONTH($A156),DAY($A156)),$A:$A,0))=""),"",G156/INDEX(G:G,MATCH(DATE(YEAR($A156)-1,MONTH($A156),DAY($A156)),$A:$A,0))-1),"")</f>
        <v/>
      </c>
      <c r="M156" s="19">
        <f>IF(OR(E156="",E155=""),"",E156/E155-1)</f>
        <v/>
      </c>
      <c r="N156" s="19">
        <f>IF(OR(F156="",F155=""),"",F156/F155-1)</f>
        <v/>
      </c>
      <c r="O156" s="19">
        <f>IF(OR(G156="",G155=""),"",G156/G155-1)</f>
        <v/>
      </c>
      <c r="P156" s="22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IF(R156="","",P156/R156)</f>
        <v/>
      </c>
      <c r="T156" s="23">
        <f>IF(R156="","",Q156/R156)</f>
        <v/>
      </c>
      <c r="U156" s="24">
        <f>IF(SUMIFS('Daily NSE Equity Options'!$M:$M,'Daily NSE Equity Options'!$A:$A,$A156)=0,"",SUMIFS('Daily NSE Equity Options'!$M:$M,'Daily NSE Equity Options'!$A:$A,$A156))</f>
        <v/>
      </c>
      <c r="V156" s="9">
        <f>IF(SUMIFS('Daily BSE Equity Options'!$M:$M,'Daily BSE Equity Options'!$A:$A,$A156)=0,"",SUMIFS('Daily BSE Equity Options'!$M:$M,'Daily BSE Equity Options'!$A:$A,$A156))</f>
        <v/>
      </c>
      <c r="W156" s="9">
        <f>IF(OR(U156="",V156=""),"",U156+V156)</f>
        <v/>
      </c>
      <c r="X156" s="25">
        <f>IF(W156="","",U156/W156)</f>
        <v/>
      </c>
      <c r="Y156" s="25">
        <f>IF(W156="","",V156/W156)</f>
        <v/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19">
        <f>IF(G157="","",E157/G157)</f>
        <v/>
      </c>
      <c r="I157" s="19">
        <f>IF(G157="","",F157/G157)</f>
        <v/>
      </c>
      <c r="J157" s="26">
        <f>IFERROR(IF(OR(E157="",INDEX(E:E,MATCH(DATE(YEAR($A157)-1,MONTH($A157),DAY($A157)),$A:$A,0))=""),"",E157/INDEX(E:E,MATCH(DATE(YEAR($A157)-1,MONTH($A157),DAY($A157)),$A:$A,0))-1),"")</f>
        <v/>
      </c>
      <c r="K157" s="19">
        <f>IFERROR(IF(OR(F157="",INDEX(F:F,MATCH(DATE(YEAR($A157)-1,MONTH($A157),DAY($A157)),$A:$A,0))=""),"",F157/INDEX(F:F,MATCH(DATE(YEAR($A157)-1,MONTH($A157),DAY($A157)),$A:$A,0))-1),"")</f>
        <v/>
      </c>
      <c r="L157" s="19">
        <f>IFERROR(IF(OR(G157="",INDEX(G:G,MATCH(DATE(YEAR($A157)-1,MONTH($A157),DAY($A157)),$A:$A,0))=""),"",G157/INDEX(G:G,MATCH(DATE(YEAR($A157)-1,MONTH($A157),DAY($A157)),$A:$A,0))-1),"")</f>
        <v/>
      </c>
      <c r="M157" s="19">
        <f>IF(OR(E157="",E156=""),"",E157/E156-1)</f>
        <v/>
      </c>
      <c r="N157" s="19">
        <f>IF(OR(F157="",F156=""),"",F157/F156-1)</f>
        <v/>
      </c>
      <c r="O157" s="19">
        <f>IF(OR(G157="",G156=""),"",G157/G156-1)</f>
        <v/>
      </c>
      <c r="P157" s="22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IF(R157="","",P157/R157)</f>
        <v/>
      </c>
      <c r="T157" s="23">
        <f>IF(R157="","",Q157/R157)</f>
        <v/>
      </c>
      <c r="U157" s="24">
        <f>IF(SUMIFS('Daily NSE Equity Options'!$M:$M,'Daily NSE Equity Options'!$A:$A,$A157)=0,"",SUMIFS('Daily NSE Equity Options'!$M:$M,'Daily NSE Equity Options'!$A:$A,$A157))</f>
        <v/>
      </c>
      <c r="V157" s="9">
        <f>IF(SUMIFS('Daily BSE Equity Options'!$M:$M,'Daily BSE Equity Options'!$A:$A,$A157)=0,"",SUMIFS('Daily BSE Equity Options'!$M:$M,'Daily BSE Equity Options'!$A:$A,$A157))</f>
        <v/>
      </c>
      <c r="W157" s="9">
        <f>IF(OR(U157="",V157=""),"",U157+V157)</f>
        <v/>
      </c>
      <c r="X157" s="25">
        <f>IF(W157="","",U157/W157)</f>
        <v/>
      </c>
      <c r="Y157" s="25">
        <f>IF(W157="","",V157/W157)</f>
        <v/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19">
        <f>IF(G158="","",E158/G158)</f>
        <v/>
      </c>
      <c r="I158" s="19">
        <f>IF(G158="","",F158/G158)</f>
        <v/>
      </c>
      <c r="J158" s="26">
        <f>IFERROR(IF(OR(E158="",INDEX(E:E,MATCH(DATE(YEAR($A158)-1,MONTH($A158),DAY($A158)),$A:$A,0))=""),"",E158/INDEX(E:E,MATCH(DATE(YEAR($A158)-1,MONTH($A158),DAY($A158)),$A:$A,0))-1),"")</f>
        <v/>
      </c>
      <c r="K158" s="19">
        <f>IFERROR(IF(OR(F158="",INDEX(F:F,MATCH(DATE(YEAR($A158)-1,MONTH($A158),DAY($A158)),$A:$A,0))=""),"",F158/INDEX(F:F,MATCH(DATE(YEAR($A158)-1,MONTH($A158),DAY($A158)),$A:$A,0))-1),"")</f>
        <v/>
      </c>
      <c r="L158" s="19">
        <f>IFERROR(IF(OR(G158="",INDEX(G:G,MATCH(DATE(YEAR($A158)-1,MONTH($A158),DAY($A158)),$A:$A,0))=""),"",G158/INDEX(G:G,MATCH(DATE(YEAR($A158)-1,MONTH($A158),DAY($A158)),$A:$A,0))-1),"")</f>
        <v/>
      </c>
      <c r="M158" s="19">
        <f>IF(OR(E158="",E157=""),"",E158/E157-1)</f>
        <v/>
      </c>
      <c r="N158" s="19">
        <f>IF(OR(F158="",F157=""),"",F158/F157-1)</f>
        <v/>
      </c>
      <c r="O158" s="19">
        <f>IF(OR(G158="",G157=""),"",G158/G157-1)</f>
        <v/>
      </c>
      <c r="P158" s="22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IF(R158="","",P158/R158)</f>
        <v/>
      </c>
      <c r="T158" s="23">
        <f>IF(R158="","",Q158/R158)</f>
        <v/>
      </c>
      <c r="U158" s="24">
        <f>IF(SUMIFS('Daily NSE Equity Options'!$M:$M,'Daily NSE Equity Options'!$A:$A,$A158)=0,"",SUMIFS('Daily NSE Equity Options'!$M:$M,'Daily NSE Equity Options'!$A:$A,$A158))</f>
        <v/>
      </c>
      <c r="V158" s="9">
        <f>IF(SUMIFS('Daily BSE Equity Options'!$M:$M,'Daily BSE Equity Options'!$A:$A,$A158)=0,"",SUMIFS('Daily BSE Equity Options'!$M:$M,'Daily BSE Equity Options'!$A:$A,$A158))</f>
        <v/>
      </c>
      <c r="W158" s="9">
        <f>IF(OR(U158="",V158=""),"",U158+V158)</f>
        <v/>
      </c>
      <c r="X158" s="25">
        <f>IF(W158="","",U158/W158)</f>
        <v/>
      </c>
      <c r="Y158" s="25">
        <f>IF(W158="","",V158/W158)</f>
        <v/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19">
        <f>IF(G159="","",E159/G159)</f>
        <v/>
      </c>
      <c r="I159" s="19">
        <f>IF(G159="","",F159/G159)</f>
        <v/>
      </c>
      <c r="J159" s="26">
        <f>IFERROR(IF(OR(E159="",INDEX(E:E,MATCH(DATE(YEAR($A159)-1,MONTH($A159),DAY($A159)),$A:$A,0))=""),"",E159/INDEX(E:E,MATCH(DATE(YEAR($A159)-1,MONTH($A159),DAY($A159)),$A:$A,0))-1),"")</f>
        <v/>
      </c>
      <c r="K159" s="19">
        <f>IFERROR(IF(OR(F159="",INDEX(F:F,MATCH(DATE(YEAR($A159)-1,MONTH($A159),DAY($A159)),$A:$A,0))=""),"",F159/INDEX(F:F,MATCH(DATE(YEAR($A159)-1,MONTH($A159),DAY($A159)),$A:$A,0))-1),"")</f>
        <v/>
      </c>
      <c r="L159" s="19">
        <f>IFERROR(IF(OR(G159="",INDEX(G:G,MATCH(DATE(YEAR($A159)-1,MONTH($A159),DAY($A159)),$A:$A,0))=""),"",G159/INDEX(G:G,MATCH(DATE(YEAR($A159)-1,MONTH($A159),DAY($A159)),$A:$A,0))-1),"")</f>
        <v/>
      </c>
      <c r="M159" s="19">
        <f>IF(OR(E159="",E158=""),"",E159/E158-1)</f>
        <v/>
      </c>
      <c r="N159" s="19">
        <f>IF(OR(F159="",F158=""),"",F159/F158-1)</f>
        <v/>
      </c>
      <c r="O159" s="19">
        <f>IF(OR(G159="",G158=""),"",G159/G158-1)</f>
        <v/>
      </c>
      <c r="P159" s="22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IF(R159="","",P159/R159)</f>
        <v/>
      </c>
      <c r="T159" s="23">
        <f>IF(R159="","",Q159/R159)</f>
        <v/>
      </c>
      <c r="U159" s="24">
        <f>IF(SUMIFS('Daily NSE Equity Options'!$M:$M,'Daily NSE Equity Options'!$A:$A,$A159)=0,"",SUMIFS('Daily NSE Equity Options'!$M:$M,'Daily NSE Equity Options'!$A:$A,$A159))</f>
        <v/>
      </c>
      <c r="V159" s="9">
        <f>IF(SUMIFS('Daily BSE Equity Options'!$M:$M,'Daily BSE Equity Options'!$A:$A,$A159)=0,"",SUMIFS('Daily BSE Equity Options'!$M:$M,'Daily BSE Equity Options'!$A:$A,$A159))</f>
        <v/>
      </c>
      <c r="W159" s="9">
        <f>IF(OR(U159="",V159=""),"",U159+V159)</f>
        <v/>
      </c>
      <c r="X159" s="25">
        <f>IF(W159="","",U159/W159)</f>
        <v/>
      </c>
      <c r="Y159" s="25">
        <f>IF(W159="","",V159/W159)</f>
        <v/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19">
        <f>IF(G160="","",E160/G160)</f>
        <v/>
      </c>
      <c r="I160" s="19">
        <f>IF(G160="","",F160/G160)</f>
        <v/>
      </c>
      <c r="J160" s="26">
        <f>IFERROR(IF(OR(E160="",INDEX(E:E,MATCH(DATE(YEAR($A160)-1,MONTH($A160),DAY($A160)),$A:$A,0))=""),"",E160/INDEX(E:E,MATCH(DATE(YEAR($A160)-1,MONTH($A160),DAY($A160)),$A:$A,0))-1),"")</f>
        <v/>
      </c>
      <c r="K160" s="19">
        <f>IFERROR(IF(OR(F160="",INDEX(F:F,MATCH(DATE(YEAR($A160)-1,MONTH($A160),DAY($A160)),$A:$A,0))=""),"",F160/INDEX(F:F,MATCH(DATE(YEAR($A160)-1,MONTH($A160),DAY($A160)),$A:$A,0))-1),"")</f>
        <v/>
      </c>
      <c r="L160" s="19">
        <f>IFERROR(IF(OR(G160="",INDEX(G:G,MATCH(DATE(YEAR($A160)-1,MONTH($A160),DAY($A160)),$A:$A,0))=""),"",G160/INDEX(G:G,MATCH(DATE(YEAR($A160)-1,MONTH($A160),DAY($A160)),$A:$A,0))-1),"")</f>
        <v/>
      </c>
      <c r="M160" s="19">
        <f>IF(OR(E160="",E159=""),"",E160/E159-1)</f>
        <v/>
      </c>
      <c r="N160" s="19">
        <f>IF(OR(F160="",F159=""),"",F160/F159-1)</f>
        <v/>
      </c>
      <c r="O160" s="19">
        <f>IF(OR(G160="",G159=""),"",G160/G159-1)</f>
        <v/>
      </c>
      <c r="P160" s="22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IF(R160="","",P160/R160)</f>
        <v/>
      </c>
      <c r="T160" s="23">
        <f>IF(R160="","",Q160/R160)</f>
        <v/>
      </c>
      <c r="U160" s="24">
        <f>IF(SUMIFS('Daily NSE Equity Options'!$M:$M,'Daily NSE Equity Options'!$A:$A,$A160)=0,"",SUMIFS('Daily NSE Equity Options'!$M:$M,'Daily NSE Equity Options'!$A:$A,$A160))</f>
        <v/>
      </c>
      <c r="V160" s="9">
        <f>IF(SUMIFS('Daily BSE Equity Options'!$M:$M,'Daily BSE Equity Options'!$A:$A,$A160)=0,"",SUMIFS('Daily BSE Equity Options'!$M:$M,'Daily BSE Equity Options'!$A:$A,$A160))</f>
        <v/>
      </c>
      <c r="W160" s="9">
        <f>IF(OR(U160="",V160=""),"",U160+V160)</f>
        <v/>
      </c>
      <c r="X160" s="25">
        <f>IF(W160="","",U160/W160)</f>
        <v/>
      </c>
      <c r="Y160" s="25">
        <f>IF(W160="","",V160/W160)</f>
        <v/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19">
        <f>IF(G161="","",E161/G161)</f>
        <v/>
      </c>
      <c r="I161" s="19">
        <f>IF(G161="","",F161/G161)</f>
        <v/>
      </c>
      <c r="J161" s="26">
        <f>IFERROR(IF(OR(E161="",INDEX(E:E,MATCH(DATE(YEAR($A161)-1,MONTH($A161),DAY($A161)),$A:$A,0))=""),"",E161/INDEX(E:E,MATCH(DATE(YEAR($A161)-1,MONTH($A161),DAY($A161)),$A:$A,0))-1),"")</f>
        <v/>
      </c>
      <c r="K161" s="19">
        <f>IFERROR(IF(OR(F161="",INDEX(F:F,MATCH(DATE(YEAR($A161)-1,MONTH($A161),DAY($A161)),$A:$A,0))=""),"",F161/INDEX(F:F,MATCH(DATE(YEAR($A161)-1,MONTH($A161),DAY($A161)),$A:$A,0))-1),"")</f>
        <v/>
      </c>
      <c r="L161" s="19">
        <f>IFERROR(IF(OR(G161="",INDEX(G:G,MATCH(DATE(YEAR($A161)-1,MONTH($A161),DAY($A161)),$A:$A,0))=""),"",G161/INDEX(G:G,MATCH(DATE(YEAR($A161)-1,MONTH($A161),DAY($A161)),$A:$A,0))-1),"")</f>
        <v/>
      </c>
      <c r="M161" s="19">
        <f>IF(OR(E161="",E160=""),"",E161/E160-1)</f>
        <v/>
      </c>
      <c r="N161" s="19">
        <f>IF(OR(F161="",F160=""),"",F161/F160-1)</f>
        <v/>
      </c>
      <c r="O161" s="19">
        <f>IF(OR(G161="",G160=""),"",G161/G160-1)</f>
        <v/>
      </c>
      <c r="P161" s="22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IF(R161="","",P161/R161)</f>
        <v/>
      </c>
      <c r="T161" s="23">
        <f>IF(R161="","",Q161/R161)</f>
        <v/>
      </c>
      <c r="U161" s="24">
        <f>IF(SUMIFS('Daily NSE Equity Options'!$M:$M,'Daily NSE Equity Options'!$A:$A,$A161)=0,"",SUMIFS('Daily NSE Equity Options'!$M:$M,'Daily NSE Equity Options'!$A:$A,$A161))</f>
        <v/>
      </c>
      <c r="V161" s="9">
        <f>IF(SUMIFS('Daily BSE Equity Options'!$M:$M,'Daily BSE Equity Options'!$A:$A,$A161)=0,"",SUMIFS('Daily BSE Equity Options'!$M:$M,'Daily BSE Equity Options'!$A:$A,$A161))</f>
        <v/>
      </c>
      <c r="W161" s="9">
        <f>IF(OR(U161="",V161=""),"",U161+V161)</f>
        <v/>
      </c>
      <c r="X161" s="25">
        <f>IF(W161="","",U161/W161)</f>
        <v/>
      </c>
      <c r="Y161" s="25">
        <f>IF(W161="","",V161/W161)</f>
        <v/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19">
        <f>IF(G162="","",E162/G162)</f>
        <v/>
      </c>
      <c r="I162" s="19">
        <f>IF(G162="","",F162/G162)</f>
        <v/>
      </c>
      <c r="J162" s="26">
        <f>IFERROR(IF(OR(E162="",INDEX(E:E,MATCH(DATE(YEAR($A162)-1,MONTH($A162),DAY($A162)),$A:$A,0))=""),"",E162/INDEX(E:E,MATCH(DATE(YEAR($A162)-1,MONTH($A162),DAY($A162)),$A:$A,0))-1),"")</f>
        <v/>
      </c>
      <c r="K162" s="19">
        <f>IFERROR(IF(OR(F162="",INDEX(F:F,MATCH(DATE(YEAR($A162)-1,MONTH($A162),DAY($A162)),$A:$A,0))=""),"",F162/INDEX(F:F,MATCH(DATE(YEAR($A162)-1,MONTH($A162),DAY($A162)),$A:$A,0))-1),"")</f>
        <v/>
      </c>
      <c r="L162" s="19">
        <f>IFERROR(IF(OR(G162="",INDEX(G:G,MATCH(DATE(YEAR($A162)-1,MONTH($A162),DAY($A162)),$A:$A,0))=""),"",G162/INDEX(G:G,MATCH(DATE(YEAR($A162)-1,MONTH($A162),DAY($A162)),$A:$A,0))-1),"")</f>
        <v/>
      </c>
      <c r="M162" s="19">
        <f>IF(OR(E162="",E161=""),"",E162/E161-1)</f>
        <v/>
      </c>
      <c r="N162" s="19">
        <f>IF(OR(F162="",F161=""),"",F162/F161-1)</f>
        <v/>
      </c>
      <c r="O162" s="19">
        <f>IF(OR(G162="",G161=""),"",G162/G161-1)</f>
        <v/>
      </c>
      <c r="P162" s="22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IF(R162="","",P162/R162)</f>
        <v/>
      </c>
      <c r="T162" s="23">
        <f>IF(R162="","",Q162/R162)</f>
        <v/>
      </c>
      <c r="U162" s="24">
        <f>IF(SUMIFS('Daily NSE Equity Options'!$M:$M,'Daily NSE Equity Options'!$A:$A,$A162)=0,"",SUMIFS('Daily NSE Equity Options'!$M:$M,'Daily NSE Equity Options'!$A:$A,$A162))</f>
        <v/>
      </c>
      <c r="V162" s="9">
        <f>IF(SUMIFS('Daily BSE Equity Options'!$M:$M,'Daily BSE Equity Options'!$A:$A,$A162)=0,"",SUMIFS('Daily BSE Equity Options'!$M:$M,'Daily BSE Equity Options'!$A:$A,$A162))</f>
        <v/>
      </c>
      <c r="W162" s="9">
        <f>IF(OR(U162="",V162=""),"",U162+V162)</f>
        <v/>
      </c>
      <c r="X162" s="25">
        <f>IF(W162="","",U162/W162)</f>
        <v/>
      </c>
      <c r="Y162" s="25">
        <f>IF(W162="","",V162/W162)</f>
        <v/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19">
        <f>IF(G163="","",E163/G163)</f>
        <v/>
      </c>
      <c r="I163" s="19">
        <f>IF(G163="","",F163/G163)</f>
        <v/>
      </c>
      <c r="J163" s="26">
        <f>IFERROR(IF(OR(E163="",INDEX(E:E,MATCH(DATE(YEAR($A163)-1,MONTH($A163),DAY($A163)),$A:$A,0))=""),"",E163/INDEX(E:E,MATCH(DATE(YEAR($A163)-1,MONTH($A163),DAY($A163)),$A:$A,0))-1),"")</f>
        <v/>
      </c>
      <c r="K163" s="19">
        <f>IFERROR(IF(OR(F163="",INDEX(F:F,MATCH(DATE(YEAR($A163)-1,MONTH($A163),DAY($A163)),$A:$A,0))=""),"",F163/INDEX(F:F,MATCH(DATE(YEAR($A163)-1,MONTH($A163),DAY($A163)),$A:$A,0))-1),"")</f>
        <v/>
      </c>
      <c r="L163" s="19">
        <f>IFERROR(IF(OR(G163="",INDEX(G:G,MATCH(DATE(YEAR($A163)-1,MONTH($A163),DAY($A163)),$A:$A,0))=""),"",G163/INDEX(G:G,MATCH(DATE(YEAR($A163)-1,MONTH($A163),DAY($A163)),$A:$A,0))-1),"")</f>
        <v/>
      </c>
      <c r="M163" s="19">
        <f>IF(OR(E163="",E162=""),"",E163/E162-1)</f>
        <v/>
      </c>
      <c r="N163" s="19">
        <f>IF(OR(F163="",F162=""),"",F163/F162-1)</f>
        <v/>
      </c>
      <c r="O163" s="19">
        <f>IF(OR(G163="",G162=""),"",G163/G162-1)</f>
        <v/>
      </c>
      <c r="P163" s="22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IF(R163="","",P163/R163)</f>
        <v/>
      </c>
      <c r="T163" s="23">
        <f>IF(R163="","",Q163/R163)</f>
        <v/>
      </c>
      <c r="U163" s="24">
        <f>IF(SUMIFS('Daily NSE Equity Options'!$M:$M,'Daily NSE Equity Options'!$A:$A,$A163)=0,"",SUMIFS('Daily NSE Equity Options'!$M:$M,'Daily NSE Equity Options'!$A:$A,$A163))</f>
        <v/>
      </c>
      <c r="V163" s="9">
        <f>IF(SUMIFS('Daily BSE Equity Options'!$M:$M,'Daily BSE Equity Options'!$A:$A,$A163)=0,"",SUMIFS('Daily BSE Equity Options'!$M:$M,'Daily BSE Equity Options'!$A:$A,$A163))</f>
        <v/>
      </c>
      <c r="W163" s="9">
        <f>IF(OR(U163="",V163=""),"",U163+V163)</f>
        <v/>
      </c>
      <c r="X163" s="25">
        <f>IF(W163="","",U163/W163)</f>
        <v/>
      </c>
      <c r="Y163" s="25">
        <f>IF(W163="","",V163/W163)</f>
        <v/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19">
        <f>IF(G164="","",E164/G164)</f>
        <v/>
      </c>
      <c r="I164" s="19">
        <f>IF(G164="","",F164/G164)</f>
        <v/>
      </c>
      <c r="J164" s="26">
        <f>IFERROR(IF(OR(E164="",INDEX(E:E,MATCH(DATE(YEAR($A164)-1,MONTH($A164),DAY($A164)),$A:$A,0))=""),"",E164/INDEX(E:E,MATCH(DATE(YEAR($A164)-1,MONTH($A164),DAY($A164)),$A:$A,0))-1),"")</f>
        <v/>
      </c>
      <c r="K164" s="19">
        <f>IFERROR(IF(OR(F164="",INDEX(F:F,MATCH(DATE(YEAR($A164)-1,MONTH($A164),DAY($A164)),$A:$A,0))=""),"",F164/INDEX(F:F,MATCH(DATE(YEAR($A164)-1,MONTH($A164),DAY($A164)),$A:$A,0))-1),"")</f>
        <v/>
      </c>
      <c r="L164" s="19">
        <f>IFERROR(IF(OR(G164="",INDEX(G:G,MATCH(DATE(YEAR($A164)-1,MONTH($A164),DAY($A164)),$A:$A,0))=""),"",G164/INDEX(G:G,MATCH(DATE(YEAR($A164)-1,MONTH($A164),DAY($A164)),$A:$A,0))-1),"")</f>
        <v/>
      </c>
      <c r="M164" s="19">
        <f>IF(OR(E164="",E163=""),"",E164/E163-1)</f>
        <v/>
      </c>
      <c r="N164" s="19">
        <f>IF(OR(F164="",F163=""),"",F164/F163-1)</f>
        <v/>
      </c>
      <c r="O164" s="19">
        <f>IF(OR(G164="",G163=""),"",G164/G163-1)</f>
        <v/>
      </c>
      <c r="P164" s="22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IF(R164="","",P164/R164)</f>
        <v/>
      </c>
      <c r="T164" s="23">
        <f>IF(R164="","",Q164/R164)</f>
        <v/>
      </c>
      <c r="U164" s="24">
        <f>IF(SUMIFS('Daily NSE Equity Options'!$M:$M,'Daily NSE Equity Options'!$A:$A,$A164)=0,"",SUMIFS('Daily NSE Equity Options'!$M:$M,'Daily NSE Equity Options'!$A:$A,$A164))</f>
        <v/>
      </c>
      <c r="V164" s="9">
        <f>IF(SUMIFS('Daily BSE Equity Options'!$M:$M,'Daily BSE Equity Options'!$A:$A,$A164)=0,"",SUMIFS('Daily BSE Equity Options'!$M:$M,'Daily BSE Equity Options'!$A:$A,$A164))</f>
        <v/>
      </c>
      <c r="W164" s="9">
        <f>IF(OR(U164="",V164=""),"",U164+V164)</f>
        <v/>
      </c>
      <c r="X164" s="25">
        <f>IF(W164="","",U164/W164)</f>
        <v/>
      </c>
      <c r="Y164" s="25">
        <f>IF(W164="","",V164/W164)</f>
        <v/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19">
        <f>IF(G165="","",E165/G165)</f>
        <v/>
      </c>
      <c r="I165" s="19">
        <f>IF(G165="","",F165/G165)</f>
        <v/>
      </c>
      <c r="J165" s="26">
        <f>IFERROR(IF(OR(E165="",INDEX(E:E,MATCH(DATE(YEAR($A165)-1,MONTH($A165),DAY($A165)),$A:$A,0))=""),"",E165/INDEX(E:E,MATCH(DATE(YEAR($A165)-1,MONTH($A165),DAY($A165)),$A:$A,0))-1),"")</f>
        <v/>
      </c>
      <c r="K165" s="19">
        <f>IFERROR(IF(OR(F165="",INDEX(F:F,MATCH(DATE(YEAR($A165)-1,MONTH($A165),DAY($A165)),$A:$A,0))=""),"",F165/INDEX(F:F,MATCH(DATE(YEAR($A165)-1,MONTH($A165),DAY($A165)),$A:$A,0))-1),"")</f>
        <v/>
      </c>
      <c r="L165" s="19">
        <f>IFERROR(IF(OR(G165="",INDEX(G:G,MATCH(DATE(YEAR($A165)-1,MONTH($A165),DAY($A165)),$A:$A,0))=""),"",G165/INDEX(G:G,MATCH(DATE(YEAR($A165)-1,MONTH($A165),DAY($A165)),$A:$A,0))-1),"")</f>
        <v/>
      </c>
      <c r="M165" s="19">
        <f>IF(OR(E165="",E164=""),"",E165/E164-1)</f>
        <v/>
      </c>
      <c r="N165" s="19">
        <f>IF(OR(F165="",F164=""),"",F165/F164-1)</f>
        <v/>
      </c>
      <c r="O165" s="19">
        <f>IF(OR(G165="",G164=""),"",G165/G164-1)</f>
        <v/>
      </c>
      <c r="P165" s="22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IF(R165="","",P165/R165)</f>
        <v/>
      </c>
      <c r="T165" s="23">
        <f>IF(R165="","",Q165/R165)</f>
        <v/>
      </c>
      <c r="U165" s="24">
        <f>IF(SUMIFS('Daily NSE Equity Options'!$M:$M,'Daily NSE Equity Options'!$A:$A,$A165)=0,"",SUMIFS('Daily NSE Equity Options'!$M:$M,'Daily NSE Equity Options'!$A:$A,$A165))</f>
        <v/>
      </c>
      <c r="V165" s="9">
        <f>IF(SUMIFS('Daily BSE Equity Options'!$M:$M,'Daily BSE Equity Options'!$A:$A,$A165)=0,"",SUMIFS('Daily BSE Equity Options'!$M:$M,'Daily BSE Equity Options'!$A:$A,$A165))</f>
        <v/>
      </c>
      <c r="W165" s="9">
        <f>IF(OR(U165="",V165=""),"",U165+V165)</f>
        <v/>
      </c>
      <c r="X165" s="25">
        <f>IF(W165="","",U165/W165)</f>
        <v/>
      </c>
      <c r="Y165" s="25">
        <f>IF(W165="","",V165/W165)</f>
        <v/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19">
        <f>IF(G166="","",E166/G166)</f>
        <v/>
      </c>
      <c r="I166" s="19">
        <f>IF(G166="","",F166/G166)</f>
        <v/>
      </c>
      <c r="J166" s="26">
        <f>IFERROR(IF(OR(E166="",INDEX(E:E,MATCH(DATE(YEAR($A166)-1,MONTH($A166),DAY($A166)),$A:$A,0))=""),"",E166/INDEX(E:E,MATCH(DATE(YEAR($A166)-1,MONTH($A166),DAY($A166)),$A:$A,0))-1),"")</f>
        <v/>
      </c>
      <c r="K166" s="19">
        <f>IFERROR(IF(OR(F166="",INDEX(F:F,MATCH(DATE(YEAR($A166)-1,MONTH($A166),DAY($A166)),$A:$A,0))=""),"",F166/INDEX(F:F,MATCH(DATE(YEAR($A166)-1,MONTH($A166),DAY($A166)),$A:$A,0))-1),"")</f>
        <v/>
      </c>
      <c r="L166" s="19">
        <f>IFERROR(IF(OR(G166="",INDEX(G:G,MATCH(DATE(YEAR($A166)-1,MONTH($A166),DAY($A166)),$A:$A,0))=""),"",G166/INDEX(G:G,MATCH(DATE(YEAR($A166)-1,MONTH($A166),DAY($A166)),$A:$A,0))-1),"")</f>
        <v/>
      </c>
      <c r="M166" s="19">
        <f>IF(OR(E166="",E165=""),"",E166/E165-1)</f>
        <v/>
      </c>
      <c r="N166" s="19">
        <f>IF(OR(F166="",F165=""),"",F166/F165-1)</f>
        <v/>
      </c>
      <c r="O166" s="19">
        <f>IF(OR(G166="",G165=""),"",G166/G165-1)</f>
        <v/>
      </c>
      <c r="P166" s="22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IF(R166="","",P166/R166)</f>
        <v/>
      </c>
      <c r="T166" s="23">
        <f>IF(R166="","",Q166/R166)</f>
        <v/>
      </c>
      <c r="U166" s="24">
        <f>IF(SUMIFS('Daily NSE Equity Options'!$M:$M,'Daily NSE Equity Options'!$A:$A,$A166)=0,"",SUMIFS('Daily NSE Equity Options'!$M:$M,'Daily NSE Equity Options'!$A:$A,$A166))</f>
        <v/>
      </c>
      <c r="V166" s="9">
        <f>IF(SUMIFS('Daily BSE Equity Options'!$M:$M,'Daily BSE Equity Options'!$A:$A,$A166)=0,"",SUMIFS('Daily BSE Equity Options'!$M:$M,'Daily BSE Equity Options'!$A:$A,$A166))</f>
        <v/>
      </c>
      <c r="W166" s="9">
        <f>IF(OR(U166="",V166=""),"",U166+V166)</f>
        <v/>
      </c>
      <c r="X166" s="25">
        <f>IF(W166="","",U166/W166)</f>
        <v/>
      </c>
      <c r="Y166" s="25">
        <f>IF(W166="","",V166/W166)</f>
        <v/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19">
        <f>IF(G167="","",E167/G167)</f>
        <v/>
      </c>
      <c r="I167" s="19">
        <f>IF(G167="","",F167/G167)</f>
        <v/>
      </c>
      <c r="J167" s="26">
        <f>IFERROR(IF(OR(E167="",INDEX(E:E,MATCH(DATE(YEAR($A167)-1,MONTH($A167),DAY($A167)),$A:$A,0))=""),"",E167/INDEX(E:E,MATCH(DATE(YEAR($A167)-1,MONTH($A167),DAY($A167)),$A:$A,0))-1),"")</f>
        <v/>
      </c>
      <c r="K167" s="19">
        <f>IFERROR(IF(OR(F167="",INDEX(F:F,MATCH(DATE(YEAR($A167)-1,MONTH($A167),DAY($A167)),$A:$A,0))=""),"",F167/INDEX(F:F,MATCH(DATE(YEAR($A167)-1,MONTH($A167),DAY($A167)),$A:$A,0))-1),"")</f>
        <v/>
      </c>
      <c r="L167" s="19">
        <f>IFERROR(IF(OR(G167="",INDEX(G:G,MATCH(DATE(YEAR($A167)-1,MONTH($A167),DAY($A167)),$A:$A,0))=""),"",G167/INDEX(G:G,MATCH(DATE(YEAR($A167)-1,MONTH($A167),DAY($A167)),$A:$A,0))-1),"")</f>
        <v/>
      </c>
      <c r="M167" s="19">
        <f>IF(OR(E167="",E166=""),"",E167/E166-1)</f>
        <v/>
      </c>
      <c r="N167" s="19">
        <f>IF(OR(F167="",F166=""),"",F167/F166-1)</f>
        <v/>
      </c>
      <c r="O167" s="19">
        <f>IF(OR(G167="",G166=""),"",G167/G166-1)</f>
        <v/>
      </c>
      <c r="P167" s="22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IF(R167="","",P167/R167)</f>
        <v/>
      </c>
      <c r="T167" s="23">
        <f>IF(R167="","",Q167/R167)</f>
        <v/>
      </c>
      <c r="U167" s="24">
        <f>IF(SUMIFS('Daily NSE Equity Options'!$M:$M,'Daily NSE Equity Options'!$A:$A,$A167)=0,"",SUMIFS('Daily NSE Equity Options'!$M:$M,'Daily NSE Equity Options'!$A:$A,$A167))</f>
        <v/>
      </c>
      <c r="V167" s="9">
        <f>IF(SUMIFS('Daily BSE Equity Options'!$M:$M,'Daily BSE Equity Options'!$A:$A,$A167)=0,"",SUMIFS('Daily BSE Equity Options'!$M:$M,'Daily BSE Equity Options'!$A:$A,$A167))</f>
        <v/>
      </c>
      <c r="W167" s="9">
        <f>IF(OR(U167="",V167=""),"",U167+V167)</f>
        <v/>
      </c>
      <c r="X167" s="25">
        <f>IF(W167="","",U167/W167)</f>
        <v/>
      </c>
      <c r="Y167" s="25">
        <f>IF(W167="","",V167/W167)</f>
        <v/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19">
        <f>IF(G168="","",E168/G168)</f>
        <v/>
      </c>
      <c r="I168" s="19">
        <f>IF(G168="","",F168/G168)</f>
        <v/>
      </c>
      <c r="J168" s="26">
        <f>IFERROR(IF(OR(E168="",INDEX(E:E,MATCH(DATE(YEAR($A168)-1,MONTH($A168),DAY($A168)),$A:$A,0))=""),"",E168/INDEX(E:E,MATCH(DATE(YEAR($A168)-1,MONTH($A168),DAY($A168)),$A:$A,0))-1),"")</f>
        <v/>
      </c>
      <c r="K168" s="19">
        <f>IFERROR(IF(OR(F168="",INDEX(F:F,MATCH(DATE(YEAR($A168)-1,MONTH($A168),DAY($A168)),$A:$A,0))=""),"",F168/INDEX(F:F,MATCH(DATE(YEAR($A168)-1,MONTH($A168),DAY($A168)),$A:$A,0))-1),"")</f>
        <v/>
      </c>
      <c r="L168" s="19">
        <f>IFERROR(IF(OR(G168="",INDEX(G:G,MATCH(DATE(YEAR($A168)-1,MONTH($A168),DAY($A168)),$A:$A,0))=""),"",G168/INDEX(G:G,MATCH(DATE(YEAR($A168)-1,MONTH($A168),DAY($A168)),$A:$A,0))-1),"")</f>
        <v/>
      </c>
      <c r="M168" s="19">
        <f>IF(OR(E168="",E167=""),"",E168/E167-1)</f>
        <v/>
      </c>
      <c r="N168" s="19">
        <f>IF(OR(F168="",F167=""),"",F168/F167-1)</f>
        <v/>
      </c>
      <c r="O168" s="19">
        <f>IF(OR(G168="",G167=""),"",G168/G167-1)</f>
        <v/>
      </c>
      <c r="P168" s="22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IF(R168="","",P168/R168)</f>
        <v/>
      </c>
      <c r="T168" s="23">
        <f>IF(R168="","",Q168/R168)</f>
        <v/>
      </c>
      <c r="U168" s="24">
        <f>IF(SUMIFS('Daily NSE Equity Options'!$M:$M,'Daily NSE Equity Options'!$A:$A,$A168)=0,"",SUMIFS('Daily NSE Equity Options'!$M:$M,'Daily NSE Equity Options'!$A:$A,$A168))</f>
        <v/>
      </c>
      <c r="V168" s="9">
        <f>IF(SUMIFS('Daily BSE Equity Options'!$M:$M,'Daily BSE Equity Options'!$A:$A,$A168)=0,"",SUMIFS('Daily BSE Equity Options'!$M:$M,'Daily BSE Equity Options'!$A:$A,$A168))</f>
        <v/>
      </c>
      <c r="W168" s="9">
        <f>IF(OR(U168="",V168=""),"",U168+V168)</f>
        <v/>
      </c>
      <c r="X168" s="25">
        <f>IF(W168="","",U168/W168)</f>
        <v/>
      </c>
      <c r="Y168" s="25">
        <f>IF(W168="","",V168/W168)</f>
        <v/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19">
        <f>IF(G169="","",E169/G169)</f>
        <v/>
      </c>
      <c r="I169" s="19">
        <f>IF(G169="","",F169/G169)</f>
        <v/>
      </c>
      <c r="J169" s="26">
        <f>IFERROR(IF(OR(E169="",INDEX(E:E,MATCH(DATE(YEAR($A169)-1,MONTH($A169),DAY($A169)),$A:$A,0))=""),"",E169/INDEX(E:E,MATCH(DATE(YEAR($A169)-1,MONTH($A169),DAY($A169)),$A:$A,0))-1),"")</f>
        <v/>
      </c>
      <c r="K169" s="19">
        <f>IFERROR(IF(OR(F169="",INDEX(F:F,MATCH(DATE(YEAR($A169)-1,MONTH($A169),DAY($A169)),$A:$A,0))=""),"",F169/INDEX(F:F,MATCH(DATE(YEAR($A169)-1,MONTH($A169),DAY($A169)),$A:$A,0))-1),"")</f>
        <v/>
      </c>
      <c r="L169" s="19">
        <f>IFERROR(IF(OR(G169="",INDEX(G:G,MATCH(DATE(YEAR($A169)-1,MONTH($A169),DAY($A169)),$A:$A,0))=""),"",G169/INDEX(G:G,MATCH(DATE(YEAR($A169)-1,MONTH($A169),DAY($A169)),$A:$A,0))-1),"")</f>
        <v/>
      </c>
      <c r="M169" s="19">
        <f>IF(OR(E169="",E168=""),"",E169/E168-1)</f>
        <v/>
      </c>
      <c r="N169" s="19">
        <f>IF(OR(F169="",F168=""),"",F169/F168-1)</f>
        <v/>
      </c>
      <c r="O169" s="19">
        <f>IF(OR(G169="",G168=""),"",G169/G168-1)</f>
        <v/>
      </c>
      <c r="P169" s="22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IF(R169="","",P169/R169)</f>
        <v/>
      </c>
      <c r="T169" s="23">
        <f>IF(R169="","",Q169/R169)</f>
        <v/>
      </c>
      <c r="U169" s="24">
        <f>IF(SUMIFS('Daily NSE Equity Options'!$M:$M,'Daily NSE Equity Options'!$A:$A,$A169)=0,"",SUMIFS('Daily NSE Equity Options'!$M:$M,'Daily NSE Equity Options'!$A:$A,$A169))</f>
        <v/>
      </c>
      <c r="V169" s="9">
        <f>IF(SUMIFS('Daily BSE Equity Options'!$M:$M,'Daily BSE Equity Options'!$A:$A,$A169)=0,"",SUMIFS('Daily BSE Equity Options'!$M:$M,'Daily BSE Equity Options'!$A:$A,$A169))</f>
        <v/>
      </c>
      <c r="W169" s="9">
        <f>IF(OR(U169="",V169=""),"",U169+V169)</f>
        <v/>
      </c>
      <c r="X169" s="25">
        <f>IF(W169="","",U169/W169)</f>
        <v/>
      </c>
      <c r="Y169" s="25">
        <f>IF(W169="","",V169/W169)</f>
        <v/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19">
        <f>IF(G170="","",E170/G170)</f>
        <v/>
      </c>
      <c r="I170" s="19">
        <f>IF(G170="","",F170/G170)</f>
        <v/>
      </c>
      <c r="J170" s="26">
        <f>IFERROR(IF(OR(E170="",INDEX(E:E,MATCH(DATE(YEAR($A170)-1,MONTH($A170),DAY($A170)),$A:$A,0))=""),"",E170/INDEX(E:E,MATCH(DATE(YEAR($A170)-1,MONTH($A170),DAY($A170)),$A:$A,0))-1),"")</f>
        <v/>
      </c>
      <c r="K170" s="19">
        <f>IFERROR(IF(OR(F170="",INDEX(F:F,MATCH(DATE(YEAR($A170)-1,MONTH($A170),DAY($A170)),$A:$A,0))=""),"",F170/INDEX(F:F,MATCH(DATE(YEAR($A170)-1,MONTH($A170),DAY($A170)),$A:$A,0))-1),"")</f>
        <v/>
      </c>
      <c r="L170" s="19">
        <f>IFERROR(IF(OR(G170="",INDEX(G:G,MATCH(DATE(YEAR($A170)-1,MONTH($A170),DAY($A170)),$A:$A,0))=""),"",G170/INDEX(G:G,MATCH(DATE(YEAR($A170)-1,MONTH($A170),DAY($A170)),$A:$A,0))-1),"")</f>
        <v/>
      </c>
      <c r="M170" s="19">
        <f>IF(OR(E170="",E169=""),"",E170/E169-1)</f>
        <v/>
      </c>
      <c r="N170" s="19">
        <f>IF(OR(F170="",F169=""),"",F170/F169-1)</f>
        <v/>
      </c>
      <c r="O170" s="19">
        <f>IF(OR(G170="",G169=""),"",G170/G169-1)</f>
        <v/>
      </c>
      <c r="P170" s="22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IF(R170="","",P170/R170)</f>
        <v/>
      </c>
      <c r="T170" s="23">
        <f>IF(R170="","",Q170/R170)</f>
        <v/>
      </c>
      <c r="U170" s="24">
        <f>IF(SUMIFS('Daily NSE Equity Options'!$M:$M,'Daily NSE Equity Options'!$A:$A,$A170)=0,"",SUMIFS('Daily NSE Equity Options'!$M:$M,'Daily NSE Equity Options'!$A:$A,$A170))</f>
        <v/>
      </c>
      <c r="V170" s="9">
        <f>IF(SUMIFS('Daily BSE Equity Options'!$M:$M,'Daily BSE Equity Options'!$A:$A,$A170)=0,"",SUMIFS('Daily BSE Equity Options'!$M:$M,'Daily BSE Equity Options'!$A:$A,$A170))</f>
        <v/>
      </c>
      <c r="W170" s="9">
        <f>IF(OR(U170="",V170=""),"",U170+V170)</f>
        <v/>
      </c>
      <c r="X170" s="25">
        <f>IF(W170="","",U170/W170)</f>
        <v/>
      </c>
      <c r="Y170" s="25">
        <f>IF(W170="","",V170/W170)</f>
        <v/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19">
        <f>IF(G171="","",E171/G171)</f>
        <v/>
      </c>
      <c r="I171" s="19">
        <f>IF(G171="","",F171/G171)</f>
        <v/>
      </c>
      <c r="J171" s="26">
        <f>IFERROR(IF(OR(E171="",INDEX(E:E,MATCH(DATE(YEAR($A171)-1,MONTH($A171),DAY($A171)),$A:$A,0))=""),"",E171/INDEX(E:E,MATCH(DATE(YEAR($A171)-1,MONTH($A171),DAY($A171)),$A:$A,0))-1),"")</f>
        <v/>
      </c>
      <c r="K171" s="19">
        <f>IFERROR(IF(OR(F171="",INDEX(F:F,MATCH(DATE(YEAR($A171)-1,MONTH($A171),DAY($A171)),$A:$A,0))=""),"",F171/INDEX(F:F,MATCH(DATE(YEAR($A171)-1,MONTH($A171),DAY($A171)),$A:$A,0))-1),"")</f>
        <v/>
      </c>
      <c r="L171" s="19">
        <f>IFERROR(IF(OR(G171="",INDEX(G:G,MATCH(DATE(YEAR($A171)-1,MONTH($A171),DAY($A171)),$A:$A,0))=""),"",G171/INDEX(G:G,MATCH(DATE(YEAR($A171)-1,MONTH($A171),DAY($A171)),$A:$A,0))-1),"")</f>
        <v/>
      </c>
      <c r="M171" s="19">
        <f>IF(OR(E171="",E170=""),"",E171/E170-1)</f>
        <v/>
      </c>
      <c r="N171" s="19">
        <f>IF(OR(F171="",F170=""),"",F171/F170-1)</f>
        <v/>
      </c>
      <c r="O171" s="19">
        <f>IF(OR(G171="",G170=""),"",G171/G170-1)</f>
        <v/>
      </c>
      <c r="P171" s="22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IF(R171="","",P171/R171)</f>
        <v/>
      </c>
      <c r="T171" s="23">
        <f>IF(R171="","",Q171/R171)</f>
        <v/>
      </c>
      <c r="U171" s="24">
        <f>IF(SUMIFS('Daily NSE Equity Options'!$M:$M,'Daily NSE Equity Options'!$A:$A,$A171)=0,"",SUMIFS('Daily NSE Equity Options'!$M:$M,'Daily NSE Equity Options'!$A:$A,$A171))</f>
        <v/>
      </c>
      <c r="V171" s="9">
        <f>IF(SUMIFS('Daily BSE Equity Options'!$M:$M,'Daily BSE Equity Options'!$A:$A,$A171)=0,"",SUMIFS('Daily BSE Equity Options'!$M:$M,'Daily BSE Equity Options'!$A:$A,$A171))</f>
        <v/>
      </c>
      <c r="W171" s="9">
        <f>IF(OR(U171="",V171=""),"",U171+V171)</f>
        <v/>
      </c>
      <c r="X171" s="25">
        <f>IF(W171="","",U171/W171)</f>
        <v/>
      </c>
      <c r="Y171" s="25">
        <f>IF(W171="","",V171/W171)</f>
        <v/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19">
        <f>IF(G172="","",E172/G172)</f>
        <v/>
      </c>
      <c r="I172" s="19">
        <f>IF(G172="","",F172/G172)</f>
        <v/>
      </c>
      <c r="J172" s="26">
        <f>IFERROR(IF(OR(E172="",INDEX(E:E,MATCH(DATE(YEAR($A172)-1,MONTH($A172),DAY($A172)),$A:$A,0))=""),"",E172/INDEX(E:E,MATCH(DATE(YEAR($A172)-1,MONTH($A172),DAY($A172)),$A:$A,0))-1),"")</f>
        <v/>
      </c>
      <c r="K172" s="19">
        <f>IFERROR(IF(OR(F172="",INDEX(F:F,MATCH(DATE(YEAR($A172)-1,MONTH($A172),DAY($A172)),$A:$A,0))=""),"",F172/INDEX(F:F,MATCH(DATE(YEAR($A172)-1,MONTH($A172),DAY($A172)),$A:$A,0))-1),"")</f>
        <v/>
      </c>
      <c r="L172" s="19">
        <f>IFERROR(IF(OR(G172="",INDEX(G:G,MATCH(DATE(YEAR($A172)-1,MONTH($A172),DAY($A172)),$A:$A,0))=""),"",G172/INDEX(G:G,MATCH(DATE(YEAR($A172)-1,MONTH($A172),DAY($A172)),$A:$A,0))-1),"")</f>
        <v/>
      </c>
      <c r="M172" s="19">
        <f>IF(OR(E172="",E171=""),"",E172/E171-1)</f>
        <v/>
      </c>
      <c r="N172" s="19">
        <f>IF(OR(F172="",F171=""),"",F172/F171-1)</f>
        <v/>
      </c>
      <c r="O172" s="19">
        <f>IF(OR(G172="",G171=""),"",G172/G171-1)</f>
        <v/>
      </c>
      <c r="P172" s="22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IF(R172="","",P172/R172)</f>
        <v/>
      </c>
      <c r="T172" s="23">
        <f>IF(R172="","",Q172/R172)</f>
        <v/>
      </c>
      <c r="U172" s="24">
        <f>IF(SUMIFS('Daily NSE Equity Options'!$M:$M,'Daily NSE Equity Options'!$A:$A,$A172)=0,"",SUMIFS('Daily NSE Equity Options'!$M:$M,'Daily NSE Equity Options'!$A:$A,$A172))</f>
        <v/>
      </c>
      <c r="V172" s="9">
        <f>IF(SUMIFS('Daily BSE Equity Options'!$M:$M,'Daily BSE Equity Options'!$A:$A,$A172)=0,"",SUMIFS('Daily BSE Equity Options'!$M:$M,'Daily BSE Equity Options'!$A:$A,$A172))</f>
        <v/>
      </c>
      <c r="W172" s="9">
        <f>IF(OR(U172="",V172=""),"",U172+V172)</f>
        <v/>
      </c>
      <c r="X172" s="25">
        <f>IF(W172="","",U172/W172)</f>
        <v/>
      </c>
      <c r="Y172" s="25">
        <f>IF(W172="","",V172/W172)</f>
        <v/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19">
        <f>IF(G173="","",E173/G173)</f>
        <v/>
      </c>
      <c r="I173" s="19">
        <f>IF(G173="","",F173/G173)</f>
        <v/>
      </c>
      <c r="J173" s="26">
        <f>IFERROR(IF(OR(E173="",INDEX(E:E,MATCH(DATE(YEAR($A173)-1,MONTH($A173),DAY($A173)),$A:$A,0))=""),"",E173/INDEX(E:E,MATCH(DATE(YEAR($A173)-1,MONTH($A173),DAY($A173)),$A:$A,0))-1),"")</f>
        <v/>
      </c>
      <c r="K173" s="19">
        <f>IFERROR(IF(OR(F173="",INDEX(F:F,MATCH(DATE(YEAR($A173)-1,MONTH($A173),DAY($A173)),$A:$A,0))=""),"",F173/INDEX(F:F,MATCH(DATE(YEAR($A173)-1,MONTH($A173),DAY($A173)),$A:$A,0))-1),"")</f>
        <v/>
      </c>
      <c r="L173" s="19">
        <f>IFERROR(IF(OR(G173="",INDEX(G:G,MATCH(DATE(YEAR($A173)-1,MONTH($A173),DAY($A173)),$A:$A,0))=""),"",G173/INDEX(G:G,MATCH(DATE(YEAR($A173)-1,MONTH($A173),DAY($A173)),$A:$A,0))-1),"")</f>
        <v/>
      </c>
      <c r="M173" s="19">
        <f>IF(OR(E173="",E172=""),"",E173/E172-1)</f>
        <v/>
      </c>
      <c r="N173" s="19">
        <f>IF(OR(F173="",F172=""),"",F173/F172-1)</f>
        <v/>
      </c>
      <c r="O173" s="19">
        <f>IF(OR(G173="",G172=""),"",G173/G172-1)</f>
        <v/>
      </c>
      <c r="P173" s="22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IF(R173="","",P173/R173)</f>
        <v/>
      </c>
      <c r="T173" s="23">
        <f>IF(R173="","",Q173/R173)</f>
        <v/>
      </c>
      <c r="U173" s="24">
        <f>IF(SUMIFS('Daily NSE Equity Options'!$M:$M,'Daily NSE Equity Options'!$A:$A,$A173)=0,"",SUMIFS('Daily NSE Equity Options'!$M:$M,'Daily NSE Equity Options'!$A:$A,$A173))</f>
        <v/>
      </c>
      <c r="V173" s="9">
        <f>IF(SUMIFS('Daily BSE Equity Options'!$M:$M,'Daily BSE Equity Options'!$A:$A,$A173)=0,"",SUMIFS('Daily BSE Equity Options'!$M:$M,'Daily BSE Equity Options'!$A:$A,$A173))</f>
        <v/>
      </c>
      <c r="W173" s="9">
        <f>IF(OR(U173="",V173=""),"",U173+V173)</f>
        <v/>
      </c>
      <c r="X173" s="25">
        <f>IF(W173="","",U173/W173)</f>
        <v/>
      </c>
      <c r="Y173" s="25">
        <f>IF(W173="","",V173/W173)</f>
        <v/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19">
        <f>IF(G174="","",E174/G174)</f>
        <v/>
      </c>
      <c r="I174" s="19">
        <f>IF(G174="","",F174/G174)</f>
        <v/>
      </c>
      <c r="J174" s="26">
        <f>IFERROR(IF(OR(E174="",INDEX(E:E,MATCH(DATE(YEAR($A174)-1,MONTH($A174),DAY($A174)),$A:$A,0))=""),"",E174/INDEX(E:E,MATCH(DATE(YEAR($A174)-1,MONTH($A174),DAY($A174)),$A:$A,0))-1),"")</f>
        <v/>
      </c>
      <c r="K174" s="19">
        <f>IFERROR(IF(OR(F174="",INDEX(F:F,MATCH(DATE(YEAR($A174)-1,MONTH($A174),DAY($A174)),$A:$A,0))=""),"",F174/INDEX(F:F,MATCH(DATE(YEAR($A174)-1,MONTH($A174),DAY($A174)),$A:$A,0))-1),"")</f>
        <v/>
      </c>
      <c r="L174" s="19">
        <f>IFERROR(IF(OR(G174="",INDEX(G:G,MATCH(DATE(YEAR($A174)-1,MONTH($A174),DAY($A174)),$A:$A,0))=""),"",G174/INDEX(G:G,MATCH(DATE(YEAR($A174)-1,MONTH($A174),DAY($A174)),$A:$A,0))-1),"")</f>
        <v/>
      </c>
      <c r="M174" s="19">
        <f>IF(OR(E174="",E173=""),"",E174/E173-1)</f>
        <v/>
      </c>
      <c r="N174" s="19">
        <f>IF(OR(F174="",F173=""),"",F174/F173-1)</f>
        <v/>
      </c>
      <c r="O174" s="19">
        <f>IF(OR(G174="",G173=""),"",G174/G173-1)</f>
        <v/>
      </c>
      <c r="P174" s="22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IF(R174="","",P174/R174)</f>
        <v/>
      </c>
      <c r="T174" s="23">
        <f>IF(R174="","",Q174/R174)</f>
        <v/>
      </c>
      <c r="U174" s="24">
        <f>IF(SUMIFS('Daily NSE Equity Options'!$M:$M,'Daily NSE Equity Options'!$A:$A,$A174)=0,"",SUMIFS('Daily NSE Equity Options'!$M:$M,'Daily NSE Equity Options'!$A:$A,$A174))</f>
        <v/>
      </c>
      <c r="V174" s="9">
        <f>IF(SUMIFS('Daily BSE Equity Options'!$M:$M,'Daily BSE Equity Options'!$A:$A,$A174)=0,"",SUMIFS('Daily BSE Equity Options'!$M:$M,'Daily BSE Equity Options'!$A:$A,$A174))</f>
        <v/>
      </c>
      <c r="W174" s="9">
        <f>IF(OR(U174="",V174=""),"",U174+V174)</f>
        <v/>
      </c>
      <c r="X174" s="25">
        <f>IF(W174="","",U174/W174)</f>
        <v/>
      </c>
      <c r="Y174" s="25">
        <f>IF(W174="","",V174/W174)</f>
        <v/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19">
        <f>IF(G175="","",E175/G175)</f>
        <v/>
      </c>
      <c r="I175" s="19">
        <f>IF(G175="","",F175/G175)</f>
        <v/>
      </c>
      <c r="J175" s="26">
        <f>IFERROR(IF(OR(E175="",INDEX(E:E,MATCH(DATE(YEAR($A175)-1,MONTH($A175),DAY($A175)),$A:$A,0))=""),"",E175/INDEX(E:E,MATCH(DATE(YEAR($A175)-1,MONTH($A175),DAY($A175)),$A:$A,0))-1),"")</f>
        <v/>
      </c>
      <c r="K175" s="19">
        <f>IFERROR(IF(OR(F175="",INDEX(F:F,MATCH(DATE(YEAR($A175)-1,MONTH($A175),DAY($A175)),$A:$A,0))=""),"",F175/INDEX(F:F,MATCH(DATE(YEAR($A175)-1,MONTH($A175),DAY($A175)),$A:$A,0))-1),"")</f>
        <v/>
      </c>
      <c r="L175" s="19">
        <f>IFERROR(IF(OR(G175="",INDEX(G:G,MATCH(DATE(YEAR($A175)-1,MONTH($A175),DAY($A175)),$A:$A,0))=""),"",G175/INDEX(G:G,MATCH(DATE(YEAR($A175)-1,MONTH($A175),DAY($A175)),$A:$A,0))-1),"")</f>
        <v/>
      </c>
      <c r="M175" s="19">
        <f>IF(OR(E175="",E174=""),"",E175/E174-1)</f>
        <v/>
      </c>
      <c r="N175" s="19">
        <f>IF(OR(F175="",F174=""),"",F175/F174-1)</f>
        <v/>
      </c>
      <c r="O175" s="19">
        <f>IF(OR(G175="",G174=""),"",G175/G174-1)</f>
        <v/>
      </c>
      <c r="P175" s="22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IF(R175="","",P175/R175)</f>
        <v/>
      </c>
      <c r="T175" s="23">
        <f>IF(R175="","",Q175/R175)</f>
        <v/>
      </c>
      <c r="U175" s="24">
        <f>IF(SUMIFS('Daily NSE Equity Options'!$M:$M,'Daily NSE Equity Options'!$A:$A,$A175)=0,"",SUMIFS('Daily NSE Equity Options'!$M:$M,'Daily NSE Equity Options'!$A:$A,$A175))</f>
        <v/>
      </c>
      <c r="V175" s="9">
        <f>IF(SUMIFS('Daily BSE Equity Options'!$M:$M,'Daily BSE Equity Options'!$A:$A,$A175)=0,"",SUMIFS('Daily BSE Equity Options'!$M:$M,'Daily BSE Equity Options'!$A:$A,$A175))</f>
        <v/>
      </c>
      <c r="W175" s="9">
        <f>IF(OR(U175="",V175=""),"",U175+V175)</f>
        <v/>
      </c>
      <c r="X175" s="25">
        <f>IF(W175="","",U175/W175)</f>
        <v/>
      </c>
      <c r="Y175" s="25">
        <f>IF(W175="","",V175/W175)</f>
        <v/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19">
        <f>IF(G176="","",E176/G176)</f>
        <v/>
      </c>
      <c r="I176" s="19">
        <f>IF(G176="","",F176/G176)</f>
        <v/>
      </c>
      <c r="J176" s="26">
        <f>IFERROR(IF(OR(E176="",INDEX(E:E,MATCH(DATE(YEAR($A176)-1,MONTH($A176),DAY($A176)),$A:$A,0))=""),"",E176/INDEX(E:E,MATCH(DATE(YEAR($A176)-1,MONTH($A176),DAY($A176)),$A:$A,0))-1),"")</f>
        <v/>
      </c>
      <c r="K176" s="19">
        <f>IFERROR(IF(OR(F176="",INDEX(F:F,MATCH(DATE(YEAR($A176)-1,MONTH($A176),DAY($A176)),$A:$A,0))=""),"",F176/INDEX(F:F,MATCH(DATE(YEAR($A176)-1,MONTH($A176),DAY($A176)),$A:$A,0))-1),"")</f>
        <v/>
      </c>
      <c r="L176" s="19">
        <f>IFERROR(IF(OR(G176="",INDEX(G:G,MATCH(DATE(YEAR($A176)-1,MONTH($A176),DAY($A176)),$A:$A,0))=""),"",G176/INDEX(G:G,MATCH(DATE(YEAR($A176)-1,MONTH($A176),DAY($A176)),$A:$A,0))-1),"")</f>
        <v/>
      </c>
      <c r="M176" s="19">
        <f>IF(OR(E176="",E175=""),"",E176/E175-1)</f>
        <v/>
      </c>
      <c r="N176" s="19">
        <f>IF(OR(F176="",F175=""),"",F176/F175-1)</f>
        <v/>
      </c>
      <c r="O176" s="19">
        <f>IF(OR(G176="",G175=""),"",G176/G175-1)</f>
        <v/>
      </c>
      <c r="P176" s="22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IF(R176="","",P176/R176)</f>
        <v/>
      </c>
      <c r="T176" s="23">
        <f>IF(R176="","",Q176/R176)</f>
        <v/>
      </c>
      <c r="U176" s="24">
        <f>IF(SUMIFS('Daily NSE Equity Options'!$M:$M,'Daily NSE Equity Options'!$A:$A,$A176)=0,"",SUMIFS('Daily NSE Equity Options'!$M:$M,'Daily NSE Equity Options'!$A:$A,$A176))</f>
        <v/>
      </c>
      <c r="V176" s="9">
        <f>IF(SUMIFS('Daily BSE Equity Options'!$M:$M,'Daily BSE Equity Options'!$A:$A,$A176)=0,"",SUMIFS('Daily BSE Equity Options'!$M:$M,'Daily BSE Equity Options'!$A:$A,$A176))</f>
        <v/>
      </c>
      <c r="W176" s="9">
        <f>IF(OR(U176="",V176=""),"",U176+V176)</f>
        <v/>
      </c>
      <c r="X176" s="25">
        <f>IF(W176="","",U176/W176)</f>
        <v/>
      </c>
      <c r="Y176" s="25">
        <f>IF(W176="","",V176/W176)</f>
        <v/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19">
        <f>IF(G177="","",E177/G177)</f>
        <v/>
      </c>
      <c r="I177" s="19">
        <f>IF(G177="","",F177/G177)</f>
        <v/>
      </c>
      <c r="J177" s="26">
        <f>IFERROR(IF(OR(E177="",INDEX(E:E,MATCH(DATE(YEAR($A177)-1,MONTH($A177),DAY($A177)),$A:$A,0))=""),"",E177/INDEX(E:E,MATCH(DATE(YEAR($A177)-1,MONTH($A177),DAY($A177)),$A:$A,0))-1),"")</f>
        <v/>
      </c>
      <c r="K177" s="19">
        <f>IFERROR(IF(OR(F177="",INDEX(F:F,MATCH(DATE(YEAR($A177)-1,MONTH($A177),DAY($A177)),$A:$A,0))=""),"",F177/INDEX(F:F,MATCH(DATE(YEAR($A177)-1,MONTH($A177),DAY($A177)),$A:$A,0))-1),"")</f>
        <v/>
      </c>
      <c r="L177" s="19">
        <f>IFERROR(IF(OR(G177="",INDEX(G:G,MATCH(DATE(YEAR($A177)-1,MONTH($A177),DAY($A177)),$A:$A,0))=""),"",G177/INDEX(G:G,MATCH(DATE(YEAR($A177)-1,MONTH($A177),DAY($A177)),$A:$A,0))-1),"")</f>
        <v/>
      </c>
      <c r="M177" s="19">
        <f>IF(OR(E177="",E176=""),"",E177/E176-1)</f>
        <v/>
      </c>
      <c r="N177" s="19">
        <f>IF(OR(F177="",F176=""),"",F177/F176-1)</f>
        <v/>
      </c>
      <c r="O177" s="19">
        <f>IF(OR(G177="",G176=""),"",G177/G176-1)</f>
        <v/>
      </c>
      <c r="P177" s="22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IF(R177="","",P177/R177)</f>
        <v/>
      </c>
      <c r="T177" s="23">
        <f>IF(R177="","",Q177/R177)</f>
        <v/>
      </c>
      <c r="U177" s="24">
        <f>IF(SUMIFS('Daily NSE Equity Options'!$M:$M,'Daily NSE Equity Options'!$A:$A,$A177)=0,"",SUMIFS('Daily NSE Equity Options'!$M:$M,'Daily NSE Equity Options'!$A:$A,$A177))</f>
        <v/>
      </c>
      <c r="V177" s="9">
        <f>IF(SUMIFS('Daily BSE Equity Options'!$M:$M,'Daily BSE Equity Options'!$A:$A,$A177)=0,"",SUMIFS('Daily BSE Equity Options'!$M:$M,'Daily BSE Equity Options'!$A:$A,$A177))</f>
        <v/>
      </c>
      <c r="W177" s="9">
        <f>IF(OR(U177="",V177=""),"",U177+V177)</f>
        <v/>
      </c>
      <c r="X177" s="25">
        <f>IF(W177="","",U177/W177)</f>
        <v/>
      </c>
      <c r="Y177" s="25">
        <f>IF(W177="","",V177/W177)</f>
        <v/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19">
        <f>IF(G178="","",E178/G178)</f>
        <v/>
      </c>
      <c r="I178" s="19">
        <f>IF(G178="","",F178/G178)</f>
        <v/>
      </c>
      <c r="J178" s="26">
        <f>IFERROR(IF(OR(E178="",INDEX(E:E,MATCH(DATE(YEAR($A178)-1,MONTH($A178),DAY($A178)),$A:$A,0))=""),"",E178/INDEX(E:E,MATCH(DATE(YEAR($A178)-1,MONTH($A178),DAY($A178)),$A:$A,0))-1),"")</f>
        <v/>
      </c>
      <c r="K178" s="19">
        <f>IFERROR(IF(OR(F178="",INDEX(F:F,MATCH(DATE(YEAR($A178)-1,MONTH($A178),DAY($A178)),$A:$A,0))=""),"",F178/INDEX(F:F,MATCH(DATE(YEAR($A178)-1,MONTH($A178),DAY($A178)),$A:$A,0))-1),"")</f>
        <v/>
      </c>
      <c r="L178" s="19">
        <f>IFERROR(IF(OR(G178="",INDEX(G:G,MATCH(DATE(YEAR($A178)-1,MONTH($A178),DAY($A178)),$A:$A,0))=""),"",G178/INDEX(G:G,MATCH(DATE(YEAR($A178)-1,MONTH($A178),DAY($A178)),$A:$A,0))-1),"")</f>
        <v/>
      </c>
      <c r="M178" s="19">
        <f>IF(OR(E178="",E177=""),"",E178/E177-1)</f>
        <v/>
      </c>
      <c r="N178" s="19">
        <f>IF(OR(F178="",F177=""),"",F178/F177-1)</f>
        <v/>
      </c>
      <c r="O178" s="19">
        <f>IF(OR(G178="",G177=""),"",G178/G177-1)</f>
        <v/>
      </c>
      <c r="P178" s="22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IF(R178="","",P178/R178)</f>
        <v/>
      </c>
      <c r="T178" s="23">
        <f>IF(R178="","",Q178/R178)</f>
        <v/>
      </c>
      <c r="U178" s="24">
        <f>IF(SUMIFS('Daily NSE Equity Options'!$M:$M,'Daily NSE Equity Options'!$A:$A,$A178)=0,"",SUMIFS('Daily NSE Equity Options'!$M:$M,'Daily NSE Equity Options'!$A:$A,$A178))</f>
        <v/>
      </c>
      <c r="V178" s="9">
        <f>IF(SUMIFS('Daily BSE Equity Options'!$M:$M,'Daily BSE Equity Options'!$A:$A,$A178)=0,"",SUMIFS('Daily BSE Equity Options'!$M:$M,'Daily BSE Equity Options'!$A:$A,$A178))</f>
        <v/>
      </c>
      <c r="W178" s="9">
        <f>IF(OR(U178="",V178=""),"",U178+V178)</f>
        <v/>
      </c>
      <c r="X178" s="25">
        <f>IF(W178="","",U178/W178)</f>
        <v/>
      </c>
      <c r="Y178" s="25">
        <f>IF(W178="","",V178/W178)</f>
        <v/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19">
        <f>IF(G179="","",E179/G179)</f>
        <v/>
      </c>
      <c r="I179" s="19">
        <f>IF(G179="","",F179/G179)</f>
        <v/>
      </c>
      <c r="J179" s="26">
        <f>IFERROR(IF(OR(E179="",INDEX(E:E,MATCH(DATE(YEAR($A179)-1,MONTH($A179),DAY($A179)),$A:$A,0))=""),"",E179/INDEX(E:E,MATCH(DATE(YEAR($A179)-1,MONTH($A179),DAY($A179)),$A:$A,0))-1),"")</f>
        <v/>
      </c>
      <c r="K179" s="19">
        <f>IFERROR(IF(OR(F179="",INDEX(F:F,MATCH(DATE(YEAR($A179)-1,MONTH($A179),DAY($A179)),$A:$A,0))=""),"",F179/INDEX(F:F,MATCH(DATE(YEAR($A179)-1,MONTH($A179),DAY($A179)),$A:$A,0))-1),"")</f>
        <v/>
      </c>
      <c r="L179" s="19">
        <f>IFERROR(IF(OR(G179="",INDEX(G:G,MATCH(DATE(YEAR($A179)-1,MONTH($A179),DAY($A179)),$A:$A,0))=""),"",G179/INDEX(G:G,MATCH(DATE(YEAR($A179)-1,MONTH($A179),DAY($A179)),$A:$A,0))-1),"")</f>
        <v/>
      </c>
      <c r="M179" s="19">
        <f>IF(OR(E179="",E178=""),"",E179/E178-1)</f>
        <v/>
      </c>
      <c r="N179" s="19">
        <f>IF(OR(F179="",F178=""),"",F179/F178-1)</f>
        <v/>
      </c>
      <c r="O179" s="19">
        <f>IF(OR(G179="",G178=""),"",G179/G178-1)</f>
        <v/>
      </c>
      <c r="P179" s="22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IF(R179="","",P179/R179)</f>
        <v/>
      </c>
      <c r="T179" s="23">
        <f>IF(R179="","",Q179/R179)</f>
        <v/>
      </c>
      <c r="U179" s="24">
        <f>IF(SUMIFS('Daily NSE Equity Options'!$M:$M,'Daily NSE Equity Options'!$A:$A,$A179)=0,"",SUMIFS('Daily NSE Equity Options'!$M:$M,'Daily NSE Equity Options'!$A:$A,$A179))</f>
        <v/>
      </c>
      <c r="V179" s="9">
        <f>IF(SUMIFS('Daily BSE Equity Options'!$M:$M,'Daily BSE Equity Options'!$A:$A,$A179)=0,"",SUMIFS('Daily BSE Equity Options'!$M:$M,'Daily BSE Equity Options'!$A:$A,$A179))</f>
        <v/>
      </c>
      <c r="W179" s="9">
        <f>IF(OR(U179="",V179=""),"",U179+V179)</f>
        <v/>
      </c>
      <c r="X179" s="25">
        <f>IF(W179="","",U179/W179)</f>
        <v/>
      </c>
      <c r="Y179" s="25">
        <f>IF(W179="","",V179/W179)</f>
        <v/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19">
        <f>IF(G180="","",E180/G180)</f>
        <v/>
      </c>
      <c r="I180" s="19">
        <f>IF(G180="","",F180/G180)</f>
        <v/>
      </c>
      <c r="J180" s="26">
        <f>IFERROR(IF(OR(E180="",INDEX(E:E,MATCH(DATE(YEAR($A180)-1,MONTH($A180),DAY($A180)),$A:$A,0))=""),"",E180/INDEX(E:E,MATCH(DATE(YEAR($A180)-1,MONTH($A180),DAY($A180)),$A:$A,0))-1),"")</f>
        <v/>
      </c>
      <c r="K180" s="19">
        <f>IFERROR(IF(OR(F180="",INDEX(F:F,MATCH(DATE(YEAR($A180)-1,MONTH($A180),DAY($A180)),$A:$A,0))=""),"",F180/INDEX(F:F,MATCH(DATE(YEAR($A180)-1,MONTH($A180),DAY($A180)),$A:$A,0))-1),"")</f>
        <v/>
      </c>
      <c r="L180" s="19">
        <f>IFERROR(IF(OR(G180="",INDEX(G:G,MATCH(DATE(YEAR($A180)-1,MONTH($A180),DAY($A180)),$A:$A,0))=""),"",G180/INDEX(G:G,MATCH(DATE(YEAR($A180)-1,MONTH($A180),DAY($A180)),$A:$A,0))-1),"")</f>
        <v/>
      </c>
      <c r="M180" s="19">
        <f>IF(OR(E180="",E179=""),"",E180/E179-1)</f>
        <v/>
      </c>
      <c r="N180" s="19">
        <f>IF(OR(F180="",F179=""),"",F180/F179-1)</f>
        <v/>
      </c>
      <c r="O180" s="19">
        <f>IF(OR(G180="",G179=""),"",G180/G179-1)</f>
        <v/>
      </c>
      <c r="P180" s="22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IF(R180="","",P180/R180)</f>
        <v/>
      </c>
      <c r="T180" s="23">
        <f>IF(R180="","",Q180/R180)</f>
        <v/>
      </c>
      <c r="U180" s="24">
        <f>IF(SUMIFS('Daily NSE Equity Options'!$M:$M,'Daily NSE Equity Options'!$A:$A,$A180)=0,"",SUMIFS('Daily NSE Equity Options'!$M:$M,'Daily NSE Equity Options'!$A:$A,$A180))</f>
        <v/>
      </c>
      <c r="V180" s="9">
        <f>IF(SUMIFS('Daily BSE Equity Options'!$M:$M,'Daily BSE Equity Options'!$A:$A,$A180)=0,"",SUMIFS('Daily BSE Equity Options'!$M:$M,'Daily BSE Equity Options'!$A:$A,$A180))</f>
        <v/>
      </c>
      <c r="W180" s="9">
        <f>IF(OR(U180="",V180=""),"",U180+V180)</f>
        <v/>
      </c>
      <c r="X180" s="25">
        <f>IF(W180="","",U180/W180)</f>
        <v/>
      </c>
      <c r="Y180" s="25">
        <f>IF(W180="","",V180/W180)</f>
        <v/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19">
        <f>IF(G181="","",E181/G181)</f>
        <v/>
      </c>
      <c r="I181" s="19">
        <f>IF(G181="","",F181/G181)</f>
        <v/>
      </c>
      <c r="J181" s="26">
        <f>IFERROR(IF(OR(E181="",INDEX(E:E,MATCH(DATE(YEAR($A181)-1,MONTH($A181),DAY($A181)),$A:$A,0))=""),"",E181/INDEX(E:E,MATCH(DATE(YEAR($A181)-1,MONTH($A181),DAY($A181)),$A:$A,0))-1),"")</f>
        <v/>
      </c>
      <c r="K181" s="19">
        <f>IFERROR(IF(OR(F181="",INDEX(F:F,MATCH(DATE(YEAR($A181)-1,MONTH($A181),DAY($A181)),$A:$A,0))=""),"",F181/INDEX(F:F,MATCH(DATE(YEAR($A181)-1,MONTH($A181),DAY($A181)),$A:$A,0))-1),"")</f>
        <v/>
      </c>
      <c r="L181" s="19">
        <f>IFERROR(IF(OR(G181="",INDEX(G:G,MATCH(DATE(YEAR($A181)-1,MONTH($A181),DAY($A181)),$A:$A,0))=""),"",G181/INDEX(G:G,MATCH(DATE(YEAR($A181)-1,MONTH($A181),DAY($A181)),$A:$A,0))-1),"")</f>
        <v/>
      </c>
      <c r="M181" s="19">
        <f>IF(OR(E181="",E180=""),"",E181/E180-1)</f>
        <v/>
      </c>
      <c r="N181" s="19">
        <f>IF(OR(F181="",F180=""),"",F181/F180-1)</f>
        <v/>
      </c>
      <c r="O181" s="19">
        <f>IF(OR(G181="",G180=""),"",G181/G180-1)</f>
        <v/>
      </c>
      <c r="P181" s="22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IF(R181="","",P181/R181)</f>
        <v/>
      </c>
      <c r="T181" s="23">
        <f>IF(R181="","",Q181/R181)</f>
        <v/>
      </c>
      <c r="U181" s="24">
        <f>IF(SUMIFS('Daily NSE Equity Options'!$M:$M,'Daily NSE Equity Options'!$A:$A,$A181)=0,"",SUMIFS('Daily NSE Equity Options'!$M:$M,'Daily NSE Equity Options'!$A:$A,$A181))</f>
        <v/>
      </c>
      <c r="V181" s="9">
        <f>IF(SUMIFS('Daily BSE Equity Options'!$M:$M,'Daily BSE Equity Options'!$A:$A,$A181)=0,"",SUMIFS('Daily BSE Equity Options'!$M:$M,'Daily BSE Equity Options'!$A:$A,$A181))</f>
        <v/>
      </c>
      <c r="W181" s="9">
        <f>IF(OR(U181="",V181=""),"",U181+V181)</f>
        <v/>
      </c>
      <c r="X181" s="25">
        <f>IF(W181="","",U181/W181)</f>
        <v/>
      </c>
      <c r="Y181" s="25">
        <f>IF(W181="","",V181/W181)</f>
        <v/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19">
        <f>IF(G182="","",E182/G182)</f>
        <v/>
      </c>
      <c r="I182" s="19">
        <f>IF(G182="","",F182/G182)</f>
        <v/>
      </c>
      <c r="J182" s="26">
        <f>IFERROR(IF(OR(E182="",INDEX(E:E,MATCH(DATE(YEAR($A182)-1,MONTH($A182),DAY($A182)),$A:$A,0))=""),"",E182/INDEX(E:E,MATCH(DATE(YEAR($A182)-1,MONTH($A182),DAY($A182)),$A:$A,0))-1),"")</f>
        <v/>
      </c>
      <c r="K182" s="19">
        <f>IFERROR(IF(OR(F182="",INDEX(F:F,MATCH(DATE(YEAR($A182)-1,MONTH($A182),DAY($A182)),$A:$A,0))=""),"",F182/INDEX(F:F,MATCH(DATE(YEAR($A182)-1,MONTH($A182),DAY($A182)),$A:$A,0))-1),"")</f>
        <v/>
      </c>
      <c r="L182" s="19">
        <f>IFERROR(IF(OR(G182="",INDEX(G:G,MATCH(DATE(YEAR($A182)-1,MONTH($A182),DAY($A182)),$A:$A,0))=""),"",G182/INDEX(G:G,MATCH(DATE(YEAR($A182)-1,MONTH($A182),DAY($A182)),$A:$A,0))-1),"")</f>
        <v/>
      </c>
      <c r="M182" s="19">
        <f>IF(OR(E182="",E181=""),"",E182/E181-1)</f>
        <v/>
      </c>
      <c r="N182" s="19">
        <f>IF(OR(F182="",F181=""),"",F182/F181-1)</f>
        <v/>
      </c>
      <c r="O182" s="19">
        <f>IF(OR(G182="",G181=""),"",G182/G181-1)</f>
        <v/>
      </c>
      <c r="P182" s="22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IF(R182="","",P182/R182)</f>
        <v/>
      </c>
      <c r="T182" s="23">
        <f>IF(R182="","",Q182/R182)</f>
        <v/>
      </c>
      <c r="U182" s="24">
        <f>IF(SUMIFS('Daily NSE Equity Options'!$M:$M,'Daily NSE Equity Options'!$A:$A,$A182)=0,"",SUMIFS('Daily NSE Equity Options'!$M:$M,'Daily NSE Equity Options'!$A:$A,$A182))</f>
        <v/>
      </c>
      <c r="V182" s="9">
        <f>IF(SUMIFS('Daily BSE Equity Options'!$M:$M,'Daily BSE Equity Options'!$A:$A,$A182)=0,"",SUMIFS('Daily BSE Equity Options'!$M:$M,'Daily BSE Equity Options'!$A:$A,$A182))</f>
        <v/>
      </c>
      <c r="W182" s="9">
        <f>IF(OR(U182="",V182=""),"",U182+V182)</f>
        <v/>
      </c>
      <c r="X182" s="25">
        <f>IF(W182="","",U182/W182)</f>
        <v/>
      </c>
      <c r="Y182" s="25">
        <f>IF(W182="","",V182/W182)</f>
        <v/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19">
        <f>IF(G183="","",E183/G183)</f>
        <v/>
      </c>
      <c r="I183" s="19">
        <f>IF(G183="","",F183/G183)</f>
        <v/>
      </c>
      <c r="J183" s="26">
        <f>IFERROR(IF(OR(E183="",INDEX(E:E,MATCH(DATE(YEAR($A183)-1,MONTH($A183),DAY($A183)),$A:$A,0))=""),"",E183/INDEX(E:E,MATCH(DATE(YEAR($A183)-1,MONTH($A183),DAY($A183)),$A:$A,0))-1),"")</f>
        <v/>
      </c>
      <c r="K183" s="19">
        <f>IFERROR(IF(OR(F183="",INDEX(F:F,MATCH(DATE(YEAR($A183)-1,MONTH($A183),DAY($A183)),$A:$A,0))=""),"",F183/INDEX(F:F,MATCH(DATE(YEAR($A183)-1,MONTH($A183),DAY($A183)),$A:$A,0))-1),"")</f>
        <v/>
      </c>
      <c r="L183" s="19">
        <f>IFERROR(IF(OR(G183="",INDEX(G:G,MATCH(DATE(YEAR($A183)-1,MONTH($A183),DAY($A183)),$A:$A,0))=""),"",G183/INDEX(G:G,MATCH(DATE(YEAR($A183)-1,MONTH($A183),DAY($A183)),$A:$A,0))-1),"")</f>
        <v/>
      </c>
      <c r="M183" s="19">
        <f>IF(OR(E183="",E182=""),"",E183/E182-1)</f>
        <v/>
      </c>
      <c r="N183" s="19">
        <f>IF(OR(F183="",F182=""),"",F183/F182-1)</f>
        <v/>
      </c>
      <c r="O183" s="19">
        <f>IF(OR(G183="",G182=""),"",G183/G182-1)</f>
        <v/>
      </c>
      <c r="P183" s="22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IF(R183="","",P183/R183)</f>
        <v/>
      </c>
      <c r="T183" s="23">
        <f>IF(R183="","",Q183/R183)</f>
        <v/>
      </c>
      <c r="U183" s="24">
        <f>IF(SUMIFS('Daily NSE Equity Options'!$M:$M,'Daily NSE Equity Options'!$A:$A,$A183)=0,"",SUMIFS('Daily NSE Equity Options'!$M:$M,'Daily NSE Equity Options'!$A:$A,$A183))</f>
        <v/>
      </c>
      <c r="V183" s="9">
        <f>IF(SUMIFS('Daily BSE Equity Options'!$M:$M,'Daily BSE Equity Options'!$A:$A,$A183)=0,"",SUMIFS('Daily BSE Equity Options'!$M:$M,'Daily BSE Equity Options'!$A:$A,$A183))</f>
        <v/>
      </c>
      <c r="W183" s="9">
        <f>IF(OR(U183="",V183=""),"",U183+V183)</f>
        <v/>
      </c>
      <c r="X183" s="25">
        <f>IF(W183="","",U183/W183)</f>
        <v/>
      </c>
      <c r="Y183" s="25">
        <f>IF(W183="","",V183/W183)</f>
        <v/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19">
        <f>IF(G184="","",E184/G184)</f>
        <v/>
      </c>
      <c r="I184" s="19">
        <f>IF(G184="","",F184/G184)</f>
        <v/>
      </c>
      <c r="J184" s="26">
        <f>IFERROR(IF(OR(E184="",INDEX(E:E,MATCH(DATE(YEAR($A184)-1,MONTH($A184),DAY($A184)),$A:$A,0))=""),"",E184/INDEX(E:E,MATCH(DATE(YEAR($A184)-1,MONTH($A184),DAY($A184)),$A:$A,0))-1),"")</f>
        <v/>
      </c>
      <c r="K184" s="19">
        <f>IFERROR(IF(OR(F184="",INDEX(F:F,MATCH(DATE(YEAR($A184)-1,MONTH($A184),DAY($A184)),$A:$A,0))=""),"",F184/INDEX(F:F,MATCH(DATE(YEAR($A184)-1,MONTH($A184),DAY($A184)),$A:$A,0))-1),"")</f>
        <v/>
      </c>
      <c r="L184" s="19">
        <f>IFERROR(IF(OR(G184="",INDEX(G:G,MATCH(DATE(YEAR($A184)-1,MONTH($A184),DAY($A184)),$A:$A,0))=""),"",G184/INDEX(G:G,MATCH(DATE(YEAR($A184)-1,MONTH($A184),DAY($A184)),$A:$A,0))-1),"")</f>
        <v/>
      </c>
      <c r="M184" s="19">
        <f>IF(OR(E184="",E183=""),"",E184/E183-1)</f>
        <v/>
      </c>
      <c r="N184" s="19">
        <f>IF(OR(F184="",F183=""),"",F184/F183-1)</f>
        <v/>
      </c>
      <c r="O184" s="19">
        <f>IF(OR(G184="",G183=""),"",G184/G183-1)</f>
        <v/>
      </c>
      <c r="P184" s="22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IF(R184="","",P184/R184)</f>
        <v/>
      </c>
      <c r="T184" s="23">
        <f>IF(R184="","",Q184/R184)</f>
        <v/>
      </c>
      <c r="U184" s="24">
        <f>IF(SUMIFS('Daily NSE Equity Options'!$M:$M,'Daily NSE Equity Options'!$A:$A,$A184)=0,"",SUMIFS('Daily NSE Equity Options'!$M:$M,'Daily NSE Equity Options'!$A:$A,$A184))</f>
        <v/>
      </c>
      <c r="V184" s="9">
        <f>IF(SUMIFS('Daily BSE Equity Options'!$M:$M,'Daily BSE Equity Options'!$A:$A,$A184)=0,"",SUMIFS('Daily BSE Equity Options'!$M:$M,'Daily BSE Equity Options'!$A:$A,$A184))</f>
        <v/>
      </c>
      <c r="W184" s="9">
        <f>IF(OR(U184="",V184=""),"",U184+V184)</f>
        <v/>
      </c>
      <c r="X184" s="25">
        <f>IF(W184="","",U184/W184)</f>
        <v/>
      </c>
      <c r="Y184" s="25">
        <f>IF(W184="","",V184/W184)</f>
        <v/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19">
        <f>IF(G185="","",E185/G185)</f>
        <v/>
      </c>
      <c r="I185" s="19">
        <f>IF(G185="","",F185/G185)</f>
        <v/>
      </c>
      <c r="J185" s="26">
        <f>IFERROR(IF(OR(E185="",INDEX(E:E,MATCH(DATE(YEAR($A185)-1,MONTH($A185),DAY($A185)),$A:$A,0))=""),"",E185/INDEX(E:E,MATCH(DATE(YEAR($A185)-1,MONTH($A185),DAY($A185)),$A:$A,0))-1),"")</f>
        <v/>
      </c>
      <c r="K185" s="19">
        <f>IFERROR(IF(OR(F185="",INDEX(F:F,MATCH(DATE(YEAR($A185)-1,MONTH($A185),DAY($A185)),$A:$A,0))=""),"",F185/INDEX(F:F,MATCH(DATE(YEAR($A185)-1,MONTH($A185),DAY($A185)),$A:$A,0))-1),"")</f>
        <v/>
      </c>
      <c r="L185" s="19">
        <f>IFERROR(IF(OR(G185="",INDEX(G:G,MATCH(DATE(YEAR($A185)-1,MONTH($A185),DAY($A185)),$A:$A,0))=""),"",G185/INDEX(G:G,MATCH(DATE(YEAR($A185)-1,MONTH($A185),DAY($A185)),$A:$A,0))-1),"")</f>
        <v/>
      </c>
      <c r="M185" s="19">
        <f>IF(OR(E185="",E184=""),"",E185/E184-1)</f>
        <v/>
      </c>
      <c r="N185" s="19">
        <f>IF(OR(F185="",F184=""),"",F185/F184-1)</f>
        <v/>
      </c>
      <c r="O185" s="19">
        <f>IF(OR(G185="",G184=""),"",G185/G184-1)</f>
        <v/>
      </c>
      <c r="P185" s="22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IF(R185="","",P185/R185)</f>
        <v/>
      </c>
      <c r="T185" s="23">
        <f>IF(R185="","",Q185/R185)</f>
        <v/>
      </c>
      <c r="U185" s="24">
        <f>IF(SUMIFS('Daily NSE Equity Options'!$M:$M,'Daily NSE Equity Options'!$A:$A,$A185)=0,"",SUMIFS('Daily NSE Equity Options'!$M:$M,'Daily NSE Equity Options'!$A:$A,$A185))</f>
        <v/>
      </c>
      <c r="V185" s="9">
        <f>IF(SUMIFS('Daily BSE Equity Options'!$M:$M,'Daily BSE Equity Options'!$A:$A,$A185)=0,"",SUMIFS('Daily BSE Equity Options'!$M:$M,'Daily BSE Equity Options'!$A:$A,$A185))</f>
        <v/>
      </c>
      <c r="W185" s="9">
        <f>IF(OR(U185="",V185=""),"",U185+V185)</f>
        <v/>
      </c>
      <c r="X185" s="25">
        <f>IF(W185="","",U185/W185)</f>
        <v/>
      </c>
      <c r="Y185" s="25">
        <f>IF(W185="","",V185/W185)</f>
        <v/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19">
        <f>IF(G186="","",E186/G186)</f>
        <v/>
      </c>
      <c r="I186" s="19">
        <f>IF(G186="","",F186/G186)</f>
        <v/>
      </c>
      <c r="J186" s="26">
        <f>IFERROR(IF(OR(E186="",INDEX(E:E,MATCH(DATE(YEAR($A186)-1,MONTH($A186),DAY($A186)),$A:$A,0))=""),"",E186/INDEX(E:E,MATCH(DATE(YEAR($A186)-1,MONTH($A186),DAY($A186)),$A:$A,0))-1),"")</f>
        <v/>
      </c>
      <c r="K186" s="19">
        <f>IFERROR(IF(OR(F186="",INDEX(F:F,MATCH(DATE(YEAR($A186)-1,MONTH($A186),DAY($A186)),$A:$A,0))=""),"",F186/INDEX(F:F,MATCH(DATE(YEAR($A186)-1,MONTH($A186),DAY($A186)),$A:$A,0))-1),"")</f>
        <v/>
      </c>
      <c r="L186" s="19">
        <f>IFERROR(IF(OR(G186="",INDEX(G:G,MATCH(DATE(YEAR($A186)-1,MONTH($A186),DAY($A186)),$A:$A,0))=""),"",G186/INDEX(G:G,MATCH(DATE(YEAR($A186)-1,MONTH($A186),DAY($A186)),$A:$A,0))-1),"")</f>
        <v/>
      </c>
      <c r="M186" s="19">
        <f>IF(OR(E186="",E185=""),"",E186/E185-1)</f>
        <v/>
      </c>
      <c r="N186" s="19">
        <f>IF(OR(F186="",F185=""),"",F186/F185-1)</f>
        <v/>
      </c>
      <c r="O186" s="19">
        <f>IF(OR(G186="",G185=""),"",G186/G185-1)</f>
        <v/>
      </c>
      <c r="P186" s="22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IF(R186="","",P186/R186)</f>
        <v/>
      </c>
      <c r="T186" s="23">
        <f>IF(R186="","",Q186/R186)</f>
        <v/>
      </c>
      <c r="U186" s="24">
        <f>IF(SUMIFS('Daily NSE Equity Options'!$M:$M,'Daily NSE Equity Options'!$A:$A,$A186)=0,"",SUMIFS('Daily NSE Equity Options'!$M:$M,'Daily NSE Equity Options'!$A:$A,$A186))</f>
        <v/>
      </c>
      <c r="V186" s="9">
        <f>IF(SUMIFS('Daily BSE Equity Options'!$M:$M,'Daily BSE Equity Options'!$A:$A,$A186)=0,"",SUMIFS('Daily BSE Equity Options'!$M:$M,'Daily BSE Equity Options'!$A:$A,$A186))</f>
        <v/>
      </c>
      <c r="W186" s="9">
        <f>IF(OR(U186="",V186=""),"",U186+V186)</f>
        <v/>
      </c>
      <c r="X186" s="25">
        <f>IF(W186="","",U186/W186)</f>
        <v/>
      </c>
      <c r="Y186" s="25">
        <f>IF(W186="","",V186/W186)</f>
        <v/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19">
        <f>IF(G187="","",E187/G187)</f>
        <v/>
      </c>
      <c r="I187" s="19">
        <f>IF(G187="","",F187/G187)</f>
        <v/>
      </c>
      <c r="J187" s="26">
        <f>IFERROR(IF(OR(E187="",INDEX(E:E,MATCH(DATE(YEAR($A187)-1,MONTH($A187),DAY($A187)),$A:$A,0))=""),"",E187/INDEX(E:E,MATCH(DATE(YEAR($A187)-1,MONTH($A187),DAY($A187)),$A:$A,0))-1),"")</f>
        <v/>
      </c>
      <c r="K187" s="19">
        <f>IFERROR(IF(OR(F187="",INDEX(F:F,MATCH(DATE(YEAR($A187)-1,MONTH($A187),DAY($A187)),$A:$A,0))=""),"",F187/INDEX(F:F,MATCH(DATE(YEAR($A187)-1,MONTH($A187),DAY($A187)),$A:$A,0))-1),"")</f>
        <v/>
      </c>
      <c r="L187" s="19">
        <f>IFERROR(IF(OR(G187="",INDEX(G:G,MATCH(DATE(YEAR($A187)-1,MONTH($A187),DAY($A187)),$A:$A,0))=""),"",G187/INDEX(G:G,MATCH(DATE(YEAR($A187)-1,MONTH($A187),DAY($A187)),$A:$A,0))-1),"")</f>
        <v/>
      </c>
      <c r="M187" s="19">
        <f>IF(OR(E187="",E186=""),"",E187/E186-1)</f>
        <v/>
      </c>
      <c r="N187" s="19">
        <f>IF(OR(F187="",F186=""),"",F187/F186-1)</f>
        <v/>
      </c>
      <c r="O187" s="19">
        <f>IF(OR(G187="",G186=""),"",G187/G186-1)</f>
        <v/>
      </c>
      <c r="P187" s="22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IF(R187="","",P187/R187)</f>
        <v/>
      </c>
      <c r="T187" s="23">
        <f>IF(R187="","",Q187/R187)</f>
        <v/>
      </c>
      <c r="U187" s="24">
        <f>IF(SUMIFS('Daily NSE Equity Options'!$M:$M,'Daily NSE Equity Options'!$A:$A,$A187)=0,"",SUMIFS('Daily NSE Equity Options'!$M:$M,'Daily NSE Equity Options'!$A:$A,$A187))</f>
        <v/>
      </c>
      <c r="V187" s="9">
        <f>IF(SUMIFS('Daily BSE Equity Options'!$M:$M,'Daily BSE Equity Options'!$A:$A,$A187)=0,"",SUMIFS('Daily BSE Equity Options'!$M:$M,'Daily BSE Equity Options'!$A:$A,$A187))</f>
        <v/>
      </c>
      <c r="W187" s="9">
        <f>IF(OR(U187="",V187=""),"",U187+V187)</f>
        <v/>
      </c>
      <c r="X187" s="25">
        <f>IF(W187="","",U187/W187)</f>
        <v/>
      </c>
      <c r="Y187" s="25">
        <f>IF(W187="","",V187/W187)</f>
        <v/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19">
        <f>IF(G188="","",E188/G188)</f>
        <v/>
      </c>
      <c r="I188" s="19">
        <f>IF(G188="","",F188/G188)</f>
        <v/>
      </c>
      <c r="J188" s="26">
        <f>IFERROR(IF(OR(E188="",INDEX(E:E,MATCH(DATE(YEAR($A188)-1,MONTH($A188),DAY($A188)),$A:$A,0))=""),"",E188/INDEX(E:E,MATCH(DATE(YEAR($A188)-1,MONTH($A188),DAY($A188)),$A:$A,0))-1),"")</f>
        <v/>
      </c>
      <c r="K188" s="19">
        <f>IFERROR(IF(OR(F188="",INDEX(F:F,MATCH(DATE(YEAR($A188)-1,MONTH($A188),DAY($A188)),$A:$A,0))=""),"",F188/INDEX(F:F,MATCH(DATE(YEAR($A188)-1,MONTH($A188),DAY($A188)),$A:$A,0))-1),"")</f>
        <v/>
      </c>
      <c r="L188" s="19">
        <f>IFERROR(IF(OR(G188="",INDEX(G:G,MATCH(DATE(YEAR($A188)-1,MONTH($A188),DAY($A188)),$A:$A,0))=""),"",G188/INDEX(G:G,MATCH(DATE(YEAR($A188)-1,MONTH($A188),DAY($A188)),$A:$A,0))-1),"")</f>
        <v/>
      </c>
      <c r="M188" s="19">
        <f>IF(OR(E188="",E187=""),"",E188/E187-1)</f>
        <v/>
      </c>
      <c r="N188" s="19">
        <f>IF(OR(F188="",F187=""),"",F188/F187-1)</f>
        <v/>
      </c>
      <c r="O188" s="19">
        <f>IF(OR(G188="",G187=""),"",G188/G187-1)</f>
        <v/>
      </c>
      <c r="P188" s="22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IF(R188="","",P188/R188)</f>
        <v/>
      </c>
      <c r="T188" s="23">
        <f>IF(R188="","",Q188/R188)</f>
        <v/>
      </c>
      <c r="U188" s="24">
        <f>IF(SUMIFS('Daily NSE Equity Options'!$M:$M,'Daily NSE Equity Options'!$A:$A,$A188)=0,"",SUMIFS('Daily NSE Equity Options'!$M:$M,'Daily NSE Equity Options'!$A:$A,$A188))</f>
        <v/>
      </c>
      <c r="V188" s="9">
        <f>IF(SUMIFS('Daily BSE Equity Options'!$M:$M,'Daily BSE Equity Options'!$A:$A,$A188)=0,"",SUMIFS('Daily BSE Equity Options'!$M:$M,'Daily BSE Equity Options'!$A:$A,$A188))</f>
        <v/>
      </c>
      <c r="W188" s="9">
        <f>IF(OR(U188="",V188=""),"",U188+V188)</f>
        <v/>
      </c>
      <c r="X188" s="25">
        <f>IF(W188="","",U188/W188)</f>
        <v/>
      </c>
      <c r="Y188" s="25">
        <f>IF(W188="","",V188/W188)</f>
        <v/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19">
        <f>IF(G189="","",E189/G189)</f>
        <v/>
      </c>
      <c r="I189" s="19">
        <f>IF(G189="","",F189/G189)</f>
        <v/>
      </c>
      <c r="J189" s="26">
        <f>IFERROR(IF(OR(E189="",INDEX(E:E,MATCH(DATE(YEAR($A189)-1,MONTH($A189),DAY($A189)),$A:$A,0))=""),"",E189/INDEX(E:E,MATCH(DATE(YEAR($A189)-1,MONTH($A189),DAY($A189)),$A:$A,0))-1),"")</f>
        <v/>
      </c>
      <c r="K189" s="19">
        <f>IFERROR(IF(OR(F189="",INDEX(F:F,MATCH(DATE(YEAR($A189)-1,MONTH($A189),DAY($A189)),$A:$A,0))=""),"",F189/INDEX(F:F,MATCH(DATE(YEAR($A189)-1,MONTH($A189),DAY($A189)),$A:$A,0))-1),"")</f>
        <v/>
      </c>
      <c r="L189" s="19">
        <f>IFERROR(IF(OR(G189="",INDEX(G:G,MATCH(DATE(YEAR($A189)-1,MONTH($A189),DAY($A189)),$A:$A,0))=""),"",G189/INDEX(G:G,MATCH(DATE(YEAR($A189)-1,MONTH($A189),DAY($A189)),$A:$A,0))-1),"")</f>
        <v/>
      </c>
      <c r="M189" s="19">
        <f>IF(OR(E189="",E188=""),"",E189/E188-1)</f>
        <v/>
      </c>
      <c r="N189" s="19">
        <f>IF(OR(F189="",F188=""),"",F189/F188-1)</f>
        <v/>
      </c>
      <c r="O189" s="19">
        <f>IF(OR(G189="",G188=""),"",G189/G188-1)</f>
        <v/>
      </c>
      <c r="P189" s="22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IF(R189="","",P189/R189)</f>
        <v/>
      </c>
      <c r="T189" s="23">
        <f>IF(R189="","",Q189/R189)</f>
        <v/>
      </c>
      <c r="U189" s="24">
        <f>IF(SUMIFS('Daily NSE Equity Options'!$M:$M,'Daily NSE Equity Options'!$A:$A,$A189)=0,"",SUMIFS('Daily NSE Equity Options'!$M:$M,'Daily NSE Equity Options'!$A:$A,$A189))</f>
        <v/>
      </c>
      <c r="V189" s="9">
        <f>IF(SUMIFS('Daily BSE Equity Options'!$M:$M,'Daily BSE Equity Options'!$A:$A,$A189)=0,"",SUMIFS('Daily BSE Equity Options'!$M:$M,'Daily BSE Equity Options'!$A:$A,$A189))</f>
        <v/>
      </c>
      <c r="W189" s="9">
        <f>IF(OR(U189="",V189=""),"",U189+V189)</f>
        <v/>
      </c>
      <c r="X189" s="25">
        <f>IF(W189="","",U189/W189)</f>
        <v/>
      </c>
      <c r="Y189" s="25">
        <f>IF(W189="","",V189/W189)</f>
        <v/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19">
        <f>IF(G190="","",E190/G190)</f>
        <v/>
      </c>
      <c r="I190" s="19">
        <f>IF(G190="","",F190/G190)</f>
        <v/>
      </c>
      <c r="J190" s="26">
        <f>IFERROR(IF(OR(E190="",INDEX(E:E,MATCH(DATE(YEAR($A190)-1,MONTH($A190),DAY($A190)),$A:$A,0))=""),"",E190/INDEX(E:E,MATCH(DATE(YEAR($A190)-1,MONTH($A190),DAY($A190)),$A:$A,0))-1),"")</f>
        <v/>
      </c>
      <c r="K190" s="19">
        <f>IFERROR(IF(OR(F190="",INDEX(F:F,MATCH(DATE(YEAR($A190)-1,MONTH($A190),DAY($A190)),$A:$A,0))=""),"",F190/INDEX(F:F,MATCH(DATE(YEAR($A190)-1,MONTH($A190),DAY($A190)),$A:$A,0))-1),"")</f>
        <v/>
      </c>
      <c r="L190" s="19">
        <f>IFERROR(IF(OR(G190="",INDEX(G:G,MATCH(DATE(YEAR($A190)-1,MONTH($A190),DAY($A190)),$A:$A,0))=""),"",G190/INDEX(G:G,MATCH(DATE(YEAR($A190)-1,MONTH($A190),DAY($A190)),$A:$A,0))-1),"")</f>
        <v/>
      </c>
      <c r="M190" s="19">
        <f>IF(OR(E190="",E189=""),"",E190/E189-1)</f>
        <v/>
      </c>
      <c r="N190" s="19">
        <f>IF(OR(F190="",F189=""),"",F190/F189-1)</f>
        <v/>
      </c>
      <c r="O190" s="19">
        <f>IF(OR(G190="",G189=""),"",G190/G189-1)</f>
        <v/>
      </c>
      <c r="P190" s="22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IF(R190="","",P190/R190)</f>
        <v/>
      </c>
      <c r="T190" s="23">
        <f>IF(R190="","",Q190/R190)</f>
        <v/>
      </c>
      <c r="U190" s="24">
        <f>IF(SUMIFS('Daily NSE Equity Options'!$M:$M,'Daily NSE Equity Options'!$A:$A,$A190)=0,"",SUMIFS('Daily NSE Equity Options'!$M:$M,'Daily NSE Equity Options'!$A:$A,$A190))</f>
        <v/>
      </c>
      <c r="V190" s="9">
        <f>IF(SUMIFS('Daily BSE Equity Options'!$M:$M,'Daily BSE Equity Options'!$A:$A,$A190)=0,"",SUMIFS('Daily BSE Equity Options'!$M:$M,'Daily BSE Equity Options'!$A:$A,$A190))</f>
        <v/>
      </c>
      <c r="W190" s="9">
        <f>IF(OR(U190="",V190=""),"",U190+V190)</f>
        <v/>
      </c>
      <c r="X190" s="25">
        <f>IF(W190="","",U190/W190)</f>
        <v/>
      </c>
      <c r="Y190" s="25">
        <f>IF(W190="","",V190/W190)</f>
        <v/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19">
        <f>IF(G191="","",E191/G191)</f>
        <v/>
      </c>
      <c r="I191" s="19">
        <f>IF(G191="","",F191/G191)</f>
        <v/>
      </c>
      <c r="J191" s="26">
        <f>IFERROR(IF(OR(E191="",INDEX(E:E,MATCH(DATE(YEAR($A191)-1,MONTH($A191),DAY($A191)),$A:$A,0))=""),"",E191/INDEX(E:E,MATCH(DATE(YEAR($A191)-1,MONTH($A191),DAY($A191)),$A:$A,0))-1),"")</f>
        <v/>
      </c>
      <c r="K191" s="19">
        <f>IFERROR(IF(OR(F191="",INDEX(F:F,MATCH(DATE(YEAR($A191)-1,MONTH($A191),DAY($A191)),$A:$A,0))=""),"",F191/INDEX(F:F,MATCH(DATE(YEAR($A191)-1,MONTH($A191),DAY($A191)),$A:$A,0))-1),"")</f>
        <v/>
      </c>
      <c r="L191" s="19">
        <f>IFERROR(IF(OR(G191="",INDEX(G:G,MATCH(DATE(YEAR($A191)-1,MONTH($A191),DAY($A191)),$A:$A,0))=""),"",G191/INDEX(G:G,MATCH(DATE(YEAR($A191)-1,MONTH($A191),DAY($A191)),$A:$A,0))-1),"")</f>
        <v/>
      </c>
      <c r="M191" s="19">
        <f>IF(OR(E191="",E190=""),"",E191/E190-1)</f>
        <v/>
      </c>
      <c r="N191" s="19">
        <f>IF(OR(F191="",F190=""),"",F191/F190-1)</f>
        <v/>
      </c>
      <c r="O191" s="19">
        <f>IF(OR(G191="",G190=""),"",G191/G190-1)</f>
        <v/>
      </c>
      <c r="P191" s="22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IF(R191="","",P191/R191)</f>
        <v/>
      </c>
      <c r="T191" s="23">
        <f>IF(R191="","",Q191/R191)</f>
        <v/>
      </c>
      <c r="U191" s="24">
        <f>IF(SUMIFS('Daily NSE Equity Options'!$M:$M,'Daily NSE Equity Options'!$A:$A,$A191)=0,"",SUMIFS('Daily NSE Equity Options'!$M:$M,'Daily NSE Equity Options'!$A:$A,$A191))</f>
        <v/>
      </c>
      <c r="V191" s="9">
        <f>IF(SUMIFS('Daily BSE Equity Options'!$M:$M,'Daily BSE Equity Options'!$A:$A,$A191)=0,"",SUMIFS('Daily BSE Equity Options'!$M:$M,'Daily BSE Equity Options'!$A:$A,$A191))</f>
        <v/>
      </c>
      <c r="W191" s="9">
        <f>IF(OR(U191="",V191=""),"",U191+V191)</f>
        <v/>
      </c>
      <c r="X191" s="25">
        <f>IF(W191="","",U191/W191)</f>
        <v/>
      </c>
      <c r="Y191" s="25">
        <f>IF(W191="","",V191/W191)</f>
        <v/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19">
        <f>IF(G192="","",E192/G192)</f>
        <v/>
      </c>
      <c r="I192" s="19">
        <f>IF(G192="","",F192/G192)</f>
        <v/>
      </c>
      <c r="J192" s="26">
        <f>IFERROR(IF(OR(E192="",INDEX(E:E,MATCH(DATE(YEAR($A192)-1,MONTH($A192),DAY($A192)),$A:$A,0))=""),"",E192/INDEX(E:E,MATCH(DATE(YEAR($A192)-1,MONTH($A192),DAY($A192)),$A:$A,0))-1),"")</f>
        <v/>
      </c>
      <c r="K192" s="19">
        <f>IFERROR(IF(OR(F192="",INDEX(F:F,MATCH(DATE(YEAR($A192)-1,MONTH($A192),DAY($A192)),$A:$A,0))=""),"",F192/INDEX(F:F,MATCH(DATE(YEAR($A192)-1,MONTH($A192),DAY($A192)),$A:$A,0))-1),"")</f>
        <v/>
      </c>
      <c r="L192" s="19">
        <f>IFERROR(IF(OR(G192="",INDEX(G:G,MATCH(DATE(YEAR($A192)-1,MONTH($A192),DAY($A192)),$A:$A,0))=""),"",G192/INDEX(G:G,MATCH(DATE(YEAR($A192)-1,MONTH($A192),DAY($A192)),$A:$A,0))-1),"")</f>
        <v/>
      </c>
      <c r="M192" s="19">
        <f>IF(OR(E192="",E191=""),"",E192/E191-1)</f>
        <v/>
      </c>
      <c r="N192" s="19">
        <f>IF(OR(F192="",F191=""),"",F192/F191-1)</f>
        <v/>
      </c>
      <c r="O192" s="19">
        <f>IF(OR(G192="",G191=""),"",G192/G191-1)</f>
        <v/>
      </c>
      <c r="P192" s="22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IF(R192="","",P192/R192)</f>
        <v/>
      </c>
      <c r="T192" s="23">
        <f>IF(R192="","",Q192/R192)</f>
        <v/>
      </c>
      <c r="U192" s="24">
        <f>IF(SUMIFS('Daily NSE Equity Options'!$M:$M,'Daily NSE Equity Options'!$A:$A,$A192)=0,"",SUMIFS('Daily NSE Equity Options'!$M:$M,'Daily NSE Equity Options'!$A:$A,$A192))</f>
        <v/>
      </c>
      <c r="V192" s="9">
        <f>IF(SUMIFS('Daily BSE Equity Options'!$M:$M,'Daily BSE Equity Options'!$A:$A,$A192)=0,"",SUMIFS('Daily BSE Equity Options'!$M:$M,'Daily BSE Equity Options'!$A:$A,$A192))</f>
        <v/>
      </c>
      <c r="W192" s="9">
        <f>IF(OR(U192="",V192=""),"",U192+V192)</f>
        <v/>
      </c>
      <c r="X192" s="25">
        <f>IF(W192="","",U192/W192)</f>
        <v/>
      </c>
      <c r="Y192" s="25">
        <f>IF(W192="","",V192/W192)</f>
        <v/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19">
        <f>IF(G193="","",E193/G193)</f>
        <v/>
      </c>
      <c r="I193" s="19">
        <f>IF(G193="","",F193/G193)</f>
        <v/>
      </c>
      <c r="J193" s="26">
        <f>IFERROR(IF(OR(E193="",INDEX(E:E,MATCH(DATE(YEAR($A193)-1,MONTH($A193),DAY($A193)),$A:$A,0))=""),"",E193/INDEX(E:E,MATCH(DATE(YEAR($A193)-1,MONTH($A193),DAY($A193)),$A:$A,0))-1),"")</f>
        <v/>
      </c>
      <c r="K193" s="19">
        <f>IFERROR(IF(OR(F193="",INDEX(F:F,MATCH(DATE(YEAR($A193)-1,MONTH($A193),DAY($A193)),$A:$A,0))=""),"",F193/INDEX(F:F,MATCH(DATE(YEAR($A193)-1,MONTH($A193),DAY($A193)),$A:$A,0))-1),"")</f>
        <v/>
      </c>
      <c r="L193" s="19">
        <f>IFERROR(IF(OR(G193="",INDEX(G:G,MATCH(DATE(YEAR($A193)-1,MONTH($A193),DAY($A193)),$A:$A,0))=""),"",G193/INDEX(G:G,MATCH(DATE(YEAR($A193)-1,MONTH($A193),DAY($A193)),$A:$A,0))-1),"")</f>
        <v/>
      </c>
      <c r="M193" s="19">
        <f>IF(OR(E193="",E192=""),"",E193/E192-1)</f>
        <v/>
      </c>
      <c r="N193" s="19">
        <f>IF(OR(F193="",F192=""),"",F193/F192-1)</f>
        <v/>
      </c>
      <c r="O193" s="19">
        <f>IF(OR(G193="",G192=""),"",G193/G192-1)</f>
        <v/>
      </c>
      <c r="P193" s="22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IF(R193="","",P193/R193)</f>
        <v/>
      </c>
      <c r="T193" s="23">
        <f>IF(R193="","",Q193/R193)</f>
        <v/>
      </c>
      <c r="U193" s="24">
        <f>IF(SUMIFS('Daily NSE Equity Options'!$M:$M,'Daily NSE Equity Options'!$A:$A,$A193)=0,"",SUMIFS('Daily NSE Equity Options'!$M:$M,'Daily NSE Equity Options'!$A:$A,$A193))</f>
        <v/>
      </c>
      <c r="V193" s="9">
        <f>IF(SUMIFS('Daily BSE Equity Options'!$M:$M,'Daily BSE Equity Options'!$A:$A,$A193)=0,"",SUMIFS('Daily BSE Equity Options'!$M:$M,'Daily BSE Equity Options'!$A:$A,$A193))</f>
        <v/>
      </c>
      <c r="W193" s="9">
        <f>IF(OR(U193="",V193=""),"",U193+V193)</f>
        <v/>
      </c>
      <c r="X193" s="25">
        <f>IF(W193="","",U193/W193)</f>
        <v/>
      </c>
      <c r="Y193" s="25">
        <f>IF(W193="","",V193/W193)</f>
        <v/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19">
        <f>IF(G194="","",E194/G194)</f>
        <v/>
      </c>
      <c r="I194" s="19">
        <f>IF(G194="","",F194/G194)</f>
        <v/>
      </c>
      <c r="J194" s="26">
        <f>IFERROR(IF(OR(E194="",INDEX(E:E,MATCH(DATE(YEAR($A194)-1,MONTH($A194),DAY($A194)),$A:$A,0))=""),"",E194/INDEX(E:E,MATCH(DATE(YEAR($A194)-1,MONTH($A194),DAY($A194)),$A:$A,0))-1),"")</f>
        <v/>
      </c>
      <c r="K194" s="19">
        <f>IFERROR(IF(OR(F194="",INDEX(F:F,MATCH(DATE(YEAR($A194)-1,MONTH($A194),DAY($A194)),$A:$A,0))=""),"",F194/INDEX(F:F,MATCH(DATE(YEAR($A194)-1,MONTH($A194),DAY($A194)),$A:$A,0))-1),"")</f>
        <v/>
      </c>
      <c r="L194" s="19">
        <f>IFERROR(IF(OR(G194="",INDEX(G:G,MATCH(DATE(YEAR($A194)-1,MONTH($A194),DAY($A194)),$A:$A,0))=""),"",G194/INDEX(G:G,MATCH(DATE(YEAR($A194)-1,MONTH($A194),DAY($A194)),$A:$A,0))-1),"")</f>
        <v/>
      </c>
      <c r="M194" s="19">
        <f>IF(OR(E194="",E193=""),"",E194/E193-1)</f>
        <v/>
      </c>
      <c r="N194" s="19">
        <f>IF(OR(F194="",F193=""),"",F194/F193-1)</f>
        <v/>
      </c>
      <c r="O194" s="19">
        <f>IF(OR(G194="",G193=""),"",G194/G193-1)</f>
        <v/>
      </c>
      <c r="P194" s="22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IF(R194="","",P194/R194)</f>
        <v/>
      </c>
      <c r="T194" s="23">
        <f>IF(R194="","",Q194/R194)</f>
        <v/>
      </c>
      <c r="U194" s="24">
        <f>IF(SUMIFS('Daily NSE Equity Options'!$M:$M,'Daily NSE Equity Options'!$A:$A,$A194)=0,"",SUMIFS('Daily NSE Equity Options'!$M:$M,'Daily NSE Equity Options'!$A:$A,$A194))</f>
        <v/>
      </c>
      <c r="V194" s="9">
        <f>IF(SUMIFS('Daily BSE Equity Options'!$M:$M,'Daily BSE Equity Options'!$A:$A,$A194)=0,"",SUMIFS('Daily BSE Equity Options'!$M:$M,'Daily BSE Equity Options'!$A:$A,$A194))</f>
        <v/>
      </c>
      <c r="W194" s="9">
        <f>IF(OR(U194="",V194=""),"",U194+V194)</f>
        <v/>
      </c>
      <c r="X194" s="25">
        <f>IF(W194="","",U194/W194)</f>
        <v/>
      </c>
      <c r="Y194" s="25">
        <f>IF(W194="","",V194/W194)</f>
        <v/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19">
        <f>IF(G195="","",E195/G195)</f>
        <v/>
      </c>
      <c r="I195" s="19">
        <f>IF(G195="","",F195/G195)</f>
        <v/>
      </c>
      <c r="J195" s="26">
        <f>IFERROR(IF(OR(E195="",INDEX(E:E,MATCH(DATE(YEAR($A195)-1,MONTH($A195),DAY($A195)),$A:$A,0))=""),"",E195/INDEX(E:E,MATCH(DATE(YEAR($A195)-1,MONTH($A195),DAY($A195)),$A:$A,0))-1),"")</f>
        <v/>
      </c>
      <c r="K195" s="19">
        <f>IFERROR(IF(OR(F195="",INDEX(F:F,MATCH(DATE(YEAR($A195)-1,MONTH($A195),DAY($A195)),$A:$A,0))=""),"",F195/INDEX(F:F,MATCH(DATE(YEAR($A195)-1,MONTH($A195),DAY($A195)),$A:$A,0))-1),"")</f>
        <v/>
      </c>
      <c r="L195" s="19">
        <f>IFERROR(IF(OR(G195="",INDEX(G:G,MATCH(DATE(YEAR($A195)-1,MONTH($A195),DAY($A195)),$A:$A,0))=""),"",G195/INDEX(G:G,MATCH(DATE(YEAR($A195)-1,MONTH($A195),DAY($A195)),$A:$A,0))-1),"")</f>
        <v/>
      </c>
      <c r="M195" s="19">
        <f>IF(OR(E195="",E194=""),"",E195/E194-1)</f>
        <v/>
      </c>
      <c r="N195" s="19">
        <f>IF(OR(F195="",F194=""),"",F195/F194-1)</f>
        <v/>
      </c>
      <c r="O195" s="19">
        <f>IF(OR(G195="",G194=""),"",G195/G194-1)</f>
        <v/>
      </c>
      <c r="P195" s="22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IF(R195="","",P195/R195)</f>
        <v/>
      </c>
      <c r="T195" s="23">
        <f>IF(R195="","",Q195/R195)</f>
        <v/>
      </c>
      <c r="U195" s="24">
        <f>IF(SUMIFS('Daily NSE Equity Options'!$M:$M,'Daily NSE Equity Options'!$A:$A,$A195)=0,"",SUMIFS('Daily NSE Equity Options'!$M:$M,'Daily NSE Equity Options'!$A:$A,$A195))</f>
        <v/>
      </c>
      <c r="V195" s="9">
        <f>IF(SUMIFS('Daily BSE Equity Options'!$M:$M,'Daily BSE Equity Options'!$A:$A,$A195)=0,"",SUMIFS('Daily BSE Equity Options'!$M:$M,'Daily BSE Equity Options'!$A:$A,$A195))</f>
        <v/>
      </c>
      <c r="W195" s="9">
        <f>IF(OR(U195="",V195=""),"",U195+V195)</f>
        <v/>
      </c>
      <c r="X195" s="25">
        <f>IF(W195="","",U195/W195)</f>
        <v/>
      </c>
      <c r="Y195" s="25">
        <f>IF(W195="","",V195/W195)</f>
        <v/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19">
        <f>IF(G196="","",E196/G196)</f>
        <v/>
      </c>
      <c r="I196" s="19">
        <f>IF(G196="","",F196/G196)</f>
        <v/>
      </c>
      <c r="J196" s="26">
        <f>IFERROR(IF(OR(E196="",INDEX(E:E,MATCH(DATE(YEAR($A196)-1,MONTH($A196),DAY($A196)),$A:$A,0))=""),"",E196/INDEX(E:E,MATCH(DATE(YEAR($A196)-1,MONTH($A196),DAY($A196)),$A:$A,0))-1),"")</f>
        <v/>
      </c>
      <c r="K196" s="19">
        <f>IFERROR(IF(OR(F196="",INDEX(F:F,MATCH(DATE(YEAR($A196)-1,MONTH($A196),DAY($A196)),$A:$A,0))=""),"",F196/INDEX(F:F,MATCH(DATE(YEAR($A196)-1,MONTH($A196),DAY($A196)),$A:$A,0))-1),"")</f>
        <v/>
      </c>
      <c r="L196" s="19">
        <f>IFERROR(IF(OR(G196="",INDEX(G:G,MATCH(DATE(YEAR($A196)-1,MONTH($A196),DAY($A196)),$A:$A,0))=""),"",G196/INDEX(G:G,MATCH(DATE(YEAR($A196)-1,MONTH($A196),DAY($A196)),$A:$A,0))-1),"")</f>
        <v/>
      </c>
      <c r="M196" s="19">
        <f>IF(OR(E196="",E195=""),"",E196/E195-1)</f>
        <v/>
      </c>
      <c r="N196" s="19">
        <f>IF(OR(F196="",F195=""),"",F196/F195-1)</f>
        <v/>
      </c>
      <c r="O196" s="19">
        <f>IF(OR(G196="",G195=""),"",G196/G195-1)</f>
        <v/>
      </c>
      <c r="P196" s="22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IF(R196="","",P196/R196)</f>
        <v/>
      </c>
      <c r="T196" s="23">
        <f>IF(R196="","",Q196/R196)</f>
        <v/>
      </c>
      <c r="U196" s="24">
        <f>IF(SUMIFS('Daily NSE Equity Options'!$M:$M,'Daily NSE Equity Options'!$A:$A,$A196)=0,"",SUMIFS('Daily NSE Equity Options'!$M:$M,'Daily NSE Equity Options'!$A:$A,$A196))</f>
        <v/>
      </c>
      <c r="V196" s="9">
        <f>IF(SUMIFS('Daily BSE Equity Options'!$M:$M,'Daily BSE Equity Options'!$A:$A,$A196)=0,"",SUMIFS('Daily BSE Equity Options'!$M:$M,'Daily BSE Equity Options'!$A:$A,$A196))</f>
        <v/>
      </c>
      <c r="W196" s="9">
        <f>IF(OR(U196="",V196=""),"",U196+V196)</f>
        <v/>
      </c>
      <c r="X196" s="25">
        <f>IF(W196="","",U196/W196)</f>
        <v/>
      </c>
      <c r="Y196" s="25">
        <f>IF(W196="","",V196/W196)</f>
        <v/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19">
        <f>IF(G197="","",E197/G197)</f>
        <v/>
      </c>
      <c r="I197" s="19">
        <f>IF(G197="","",F197/G197)</f>
        <v/>
      </c>
      <c r="J197" s="26">
        <f>IFERROR(IF(OR(E197="",INDEX(E:E,MATCH(DATE(YEAR($A197)-1,MONTH($A197),DAY($A197)),$A:$A,0))=""),"",E197/INDEX(E:E,MATCH(DATE(YEAR($A197)-1,MONTH($A197),DAY($A197)),$A:$A,0))-1),"")</f>
        <v/>
      </c>
      <c r="K197" s="19">
        <f>IFERROR(IF(OR(F197="",INDEX(F:F,MATCH(DATE(YEAR($A197)-1,MONTH($A197),DAY($A197)),$A:$A,0))=""),"",F197/INDEX(F:F,MATCH(DATE(YEAR($A197)-1,MONTH($A197),DAY($A197)),$A:$A,0))-1),"")</f>
        <v/>
      </c>
      <c r="L197" s="19">
        <f>IFERROR(IF(OR(G197="",INDEX(G:G,MATCH(DATE(YEAR($A197)-1,MONTH($A197),DAY($A197)),$A:$A,0))=""),"",G197/INDEX(G:G,MATCH(DATE(YEAR($A197)-1,MONTH($A197),DAY($A197)),$A:$A,0))-1),"")</f>
        <v/>
      </c>
      <c r="M197" s="19">
        <f>IF(OR(E197="",E196=""),"",E197/E196-1)</f>
        <v/>
      </c>
      <c r="N197" s="19">
        <f>IF(OR(F197="",F196=""),"",F197/F196-1)</f>
        <v/>
      </c>
      <c r="O197" s="19">
        <f>IF(OR(G197="",G196=""),"",G197/G196-1)</f>
        <v/>
      </c>
      <c r="P197" s="22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IF(R197="","",P197/R197)</f>
        <v/>
      </c>
      <c r="T197" s="23">
        <f>IF(R197="","",Q197/R197)</f>
        <v/>
      </c>
      <c r="U197" s="24">
        <f>IF(SUMIFS('Daily NSE Equity Options'!$M:$M,'Daily NSE Equity Options'!$A:$A,$A197)=0,"",SUMIFS('Daily NSE Equity Options'!$M:$M,'Daily NSE Equity Options'!$A:$A,$A197))</f>
        <v/>
      </c>
      <c r="V197" s="9">
        <f>IF(SUMIFS('Daily BSE Equity Options'!$M:$M,'Daily BSE Equity Options'!$A:$A,$A197)=0,"",SUMIFS('Daily BSE Equity Options'!$M:$M,'Daily BSE Equity Options'!$A:$A,$A197))</f>
        <v/>
      </c>
      <c r="W197" s="9">
        <f>IF(OR(U197="",V197=""),"",U197+V197)</f>
        <v/>
      </c>
      <c r="X197" s="25">
        <f>IF(W197="","",U197/W197)</f>
        <v/>
      </c>
      <c r="Y197" s="25">
        <f>IF(W197="","",V197/W197)</f>
        <v/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19">
        <f>IF(G198="","",E198/G198)</f>
        <v/>
      </c>
      <c r="I198" s="19">
        <f>IF(G198="","",F198/G198)</f>
        <v/>
      </c>
      <c r="J198" s="26">
        <f>IFERROR(IF(OR(E198="",INDEX(E:E,MATCH(DATE(YEAR($A198)-1,MONTH($A198),DAY($A198)),$A:$A,0))=""),"",E198/INDEX(E:E,MATCH(DATE(YEAR($A198)-1,MONTH($A198),DAY($A198)),$A:$A,0))-1),"")</f>
        <v/>
      </c>
      <c r="K198" s="19">
        <f>IFERROR(IF(OR(F198="",INDEX(F:F,MATCH(DATE(YEAR($A198)-1,MONTH($A198),DAY($A198)),$A:$A,0))=""),"",F198/INDEX(F:F,MATCH(DATE(YEAR($A198)-1,MONTH($A198),DAY($A198)),$A:$A,0))-1),"")</f>
        <v/>
      </c>
      <c r="L198" s="19">
        <f>IFERROR(IF(OR(G198="",INDEX(G:G,MATCH(DATE(YEAR($A198)-1,MONTH($A198),DAY($A198)),$A:$A,0))=""),"",G198/INDEX(G:G,MATCH(DATE(YEAR($A198)-1,MONTH($A198),DAY($A198)),$A:$A,0))-1),"")</f>
        <v/>
      </c>
      <c r="M198" s="19">
        <f>IF(OR(E198="",E197=""),"",E198/E197-1)</f>
        <v/>
      </c>
      <c r="N198" s="19">
        <f>IF(OR(F198="",F197=""),"",F198/F197-1)</f>
        <v/>
      </c>
      <c r="O198" s="19">
        <f>IF(OR(G198="",G197=""),"",G198/G197-1)</f>
        <v/>
      </c>
      <c r="P198" s="22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IF(R198="","",P198/R198)</f>
        <v/>
      </c>
      <c r="T198" s="23">
        <f>IF(R198="","",Q198/R198)</f>
        <v/>
      </c>
      <c r="U198" s="24">
        <f>IF(SUMIFS('Daily NSE Equity Options'!$M:$M,'Daily NSE Equity Options'!$A:$A,$A198)=0,"",SUMIFS('Daily NSE Equity Options'!$M:$M,'Daily NSE Equity Options'!$A:$A,$A198))</f>
        <v/>
      </c>
      <c r="V198" s="9">
        <f>IF(SUMIFS('Daily BSE Equity Options'!$M:$M,'Daily BSE Equity Options'!$A:$A,$A198)=0,"",SUMIFS('Daily BSE Equity Options'!$M:$M,'Daily BSE Equity Options'!$A:$A,$A198))</f>
        <v/>
      </c>
      <c r="W198" s="9">
        <f>IF(OR(U198="",V198=""),"",U198+V198)</f>
        <v/>
      </c>
      <c r="X198" s="25">
        <f>IF(W198="","",U198/W198)</f>
        <v/>
      </c>
      <c r="Y198" s="25">
        <f>IF(W198="","",V198/W198)</f>
        <v/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19">
        <f>IF(G199="","",E199/G199)</f>
        <v/>
      </c>
      <c r="I199" s="19">
        <f>IF(G199="","",F199/G199)</f>
        <v/>
      </c>
      <c r="J199" s="26">
        <f>IFERROR(IF(OR(E199="",INDEX(E:E,MATCH(DATE(YEAR($A199)-1,MONTH($A199),DAY($A199)),$A:$A,0))=""),"",E199/INDEX(E:E,MATCH(DATE(YEAR($A199)-1,MONTH($A199),DAY($A199)),$A:$A,0))-1),"")</f>
        <v/>
      </c>
      <c r="K199" s="19">
        <f>IFERROR(IF(OR(F199="",INDEX(F:F,MATCH(DATE(YEAR($A199)-1,MONTH($A199),DAY($A199)),$A:$A,0))=""),"",F199/INDEX(F:F,MATCH(DATE(YEAR($A199)-1,MONTH($A199),DAY($A199)),$A:$A,0))-1),"")</f>
        <v/>
      </c>
      <c r="L199" s="19">
        <f>IFERROR(IF(OR(G199="",INDEX(G:G,MATCH(DATE(YEAR($A199)-1,MONTH($A199),DAY($A199)),$A:$A,0))=""),"",G199/INDEX(G:G,MATCH(DATE(YEAR($A199)-1,MONTH($A199),DAY($A199)),$A:$A,0))-1),"")</f>
        <v/>
      </c>
      <c r="M199" s="19">
        <f>IF(OR(E199="",E198=""),"",E199/E198-1)</f>
        <v/>
      </c>
      <c r="N199" s="19">
        <f>IF(OR(F199="",F198=""),"",F199/F198-1)</f>
        <v/>
      </c>
      <c r="O199" s="19">
        <f>IF(OR(G199="",G198=""),"",G199/G198-1)</f>
        <v/>
      </c>
      <c r="P199" s="22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IF(R199="","",P199/R199)</f>
        <v/>
      </c>
      <c r="T199" s="23">
        <f>IF(R199="","",Q199/R199)</f>
        <v/>
      </c>
      <c r="U199" s="24">
        <f>IF(SUMIFS('Daily NSE Equity Options'!$M:$M,'Daily NSE Equity Options'!$A:$A,$A199)=0,"",SUMIFS('Daily NSE Equity Options'!$M:$M,'Daily NSE Equity Options'!$A:$A,$A199))</f>
        <v/>
      </c>
      <c r="V199" s="9">
        <f>IF(SUMIFS('Daily BSE Equity Options'!$M:$M,'Daily BSE Equity Options'!$A:$A,$A199)=0,"",SUMIFS('Daily BSE Equity Options'!$M:$M,'Daily BSE Equity Options'!$A:$A,$A199))</f>
        <v/>
      </c>
      <c r="W199" s="9">
        <f>IF(OR(U199="",V199=""),"",U199+V199)</f>
        <v/>
      </c>
      <c r="X199" s="25">
        <f>IF(W199="","",U199/W199)</f>
        <v/>
      </c>
      <c r="Y199" s="25">
        <f>IF(W199="","",V199/W199)</f>
        <v/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19">
        <f>IF(G200="","",E200/G200)</f>
        <v/>
      </c>
      <c r="I200" s="19">
        <f>IF(G200="","",F200/G200)</f>
        <v/>
      </c>
      <c r="J200" s="26">
        <f>IFERROR(IF(OR(E200="",INDEX(E:E,MATCH(DATE(YEAR($A200)-1,MONTH($A200),DAY($A200)),$A:$A,0))=""),"",E200/INDEX(E:E,MATCH(DATE(YEAR($A200)-1,MONTH($A200),DAY($A200)),$A:$A,0))-1),"")</f>
        <v/>
      </c>
      <c r="K200" s="19">
        <f>IFERROR(IF(OR(F200="",INDEX(F:F,MATCH(DATE(YEAR($A200)-1,MONTH($A200),DAY($A200)),$A:$A,0))=""),"",F200/INDEX(F:F,MATCH(DATE(YEAR($A200)-1,MONTH($A200),DAY($A200)),$A:$A,0))-1),"")</f>
        <v/>
      </c>
      <c r="L200" s="19">
        <f>IFERROR(IF(OR(G200="",INDEX(G:G,MATCH(DATE(YEAR($A200)-1,MONTH($A200),DAY($A200)),$A:$A,0))=""),"",G200/INDEX(G:G,MATCH(DATE(YEAR($A200)-1,MONTH($A200),DAY($A200)),$A:$A,0))-1),"")</f>
        <v/>
      </c>
      <c r="M200" s="19">
        <f>IF(OR(E200="",E199=""),"",E200/E199-1)</f>
        <v/>
      </c>
      <c r="N200" s="19">
        <f>IF(OR(F200="",F199=""),"",F200/F199-1)</f>
        <v/>
      </c>
      <c r="O200" s="19">
        <f>IF(OR(G200="",G199=""),"",G200/G199-1)</f>
        <v/>
      </c>
      <c r="P200" s="22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IF(R200="","",P200/R200)</f>
        <v/>
      </c>
      <c r="T200" s="23">
        <f>IF(R200="","",Q200/R200)</f>
        <v/>
      </c>
      <c r="U200" s="24">
        <f>IF(SUMIFS('Daily NSE Equity Options'!$M:$M,'Daily NSE Equity Options'!$A:$A,$A200)=0,"",SUMIFS('Daily NSE Equity Options'!$M:$M,'Daily NSE Equity Options'!$A:$A,$A200))</f>
        <v/>
      </c>
      <c r="V200" s="9">
        <f>IF(SUMIFS('Daily BSE Equity Options'!$M:$M,'Daily BSE Equity Options'!$A:$A,$A200)=0,"",SUMIFS('Daily BSE Equity Options'!$M:$M,'Daily BSE Equity Options'!$A:$A,$A200))</f>
        <v/>
      </c>
      <c r="W200" s="9">
        <f>IF(OR(U200="",V200=""),"",U200+V200)</f>
        <v/>
      </c>
      <c r="X200" s="25">
        <f>IF(W200="","",U200/W200)</f>
        <v/>
      </c>
      <c r="Y200" s="25">
        <f>IF(W200="","",V200/W200)</f>
        <v/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19">
        <f>IF(G201="","",E201/G201)</f>
        <v/>
      </c>
      <c r="I201" s="19">
        <f>IF(G201="","",F201/G201)</f>
        <v/>
      </c>
      <c r="J201" s="26">
        <f>IFERROR(IF(OR(E201="",INDEX(E:E,MATCH(DATE(YEAR($A201)-1,MONTH($A201),DAY($A201)),$A:$A,0))=""),"",E201/INDEX(E:E,MATCH(DATE(YEAR($A201)-1,MONTH($A201),DAY($A201)),$A:$A,0))-1),"")</f>
        <v/>
      </c>
      <c r="K201" s="19">
        <f>IFERROR(IF(OR(F201="",INDEX(F:F,MATCH(DATE(YEAR($A201)-1,MONTH($A201),DAY($A201)),$A:$A,0))=""),"",F201/INDEX(F:F,MATCH(DATE(YEAR($A201)-1,MONTH($A201),DAY($A201)),$A:$A,0))-1),"")</f>
        <v/>
      </c>
      <c r="L201" s="19">
        <f>IFERROR(IF(OR(G201="",INDEX(G:G,MATCH(DATE(YEAR($A201)-1,MONTH($A201),DAY($A201)),$A:$A,0))=""),"",G201/INDEX(G:G,MATCH(DATE(YEAR($A201)-1,MONTH($A201),DAY($A201)),$A:$A,0))-1),"")</f>
        <v/>
      </c>
      <c r="M201" s="19">
        <f>IF(OR(E201="",E200=""),"",E201/E200-1)</f>
        <v/>
      </c>
      <c r="N201" s="19">
        <f>IF(OR(F201="",F200=""),"",F201/F200-1)</f>
        <v/>
      </c>
      <c r="O201" s="19">
        <f>IF(OR(G201="",G200=""),"",G201/G200-1)</f>
        <v/>
      </c>
      <c r="P201" s="22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IF(R201="","",P201/R201)</f>
        <v/>
      </c>
      <c r="T201" s="23">
        <f>IF(R201="","",Q201/R201)</f>
        <v/>
      </c>
      <c r="U201" s="24">
        <f>IF(SUMIFS('Daily NSE Equity Options'!$M:$M,'Daily NSE Equity Options'!$A:$A,$A201)=0,"",SUMIFS('Daily NSE Equity Options'!$M:$M,'Daily NSE Equity Options'!$A:$A,$A201))</f>
        <v/>
      </c>
      <c r="V201" s="9">
        <f>IF(SUMIFS('Daily BSE Equity Options'!$M:$M,'Daily BSE Equity Options'!$A:$A,$A201)=0,"",SUMIFS('Daily BSE Equity Options'!$M:$M,'Daily BSE Equity Options'!$A:$A,$A201))</f>
        <v/>
      </c>
      <c r="W201" s="9">
        <f>IF(OR(U201="",V201=""),"",U201+V201)</f>
        <v/>
      </c>
      <c r="X201" s="25">
        <f>IF(W201="","",U201/W201)</f>
        <v/>
      </c>
      <c r="Y201" s="25">
        <f>IF(W201="","",V201/W201)</f>
        <v/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19">
        <f>IF(G202="","",E202/G202)</f>
        <v/>
      </c>
      <c r="I202" s="19">
        <f>IF(G202="","",F202/G202)</f>
        <v/>
      </c>
      <c r="J202" s="26">
        <f>IFERROR(IF(OR(E202="",INDEX(E:E,MATCH(DATE(YEAR($A202)-1,MONTH($A202),DAY($A202)),$A:$A,0))=""),"",E202/INDEX(E:E,MATCH(DATE(YEAR($A202)-1,MONTH($A202),DAY($A202)),$A:$A,0))-1),"")</f>
        <v/>
      </c>
      <c r="K202" s="19">
        <f>IFERROR(IF(OR(F202="",INDEX(F:F,MATCH(DATE(YEAR($A202)-1,MONTH($A202),DAY($A202)),$A:$A,0))=""),"",F202/INDEX(F:F,MATCH(DATE(YEAR($A202)-1,MONTH($A202),DAY($A202)),$A:$A,0))-1),"")</f>
        <v/>
      </c>
      <c r="L202" s="19">
        <f>IFERROR(IF(OR(G202="",INDEX(G:G,MATCH(DATE(YEAR($A202)-1,MONTH($A202),DAY($A202)),$A:$A,0))=""),"",G202/INDEX(G:G,MATCH(DATE(YEAR($A202)-1,MONTH($A202),DAY($A202)),$A:$A,0))-1),"")</f>
        <v/>
      </c>
      <c r="M202" s="19">
        <f>IF(OR(E202="",E201=""),"",E202/E201-1)</f>
        <v/>
      </c>
      <c r="N202" s="19">
        <f>IF(OR(F202="",F201=""),"",F202/F201-1)</f>
        <v/>
      </c>
      <c r="O202" s="19">
        <f>IF(OR(G202="",G201=""),"",G202/G201-1)</f>
        <v/>
      </c>
      <c r="P202" s="22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IF(R202="","",P202/R202)</f>
        <v/>
      </c>
      <c r="T202" s="23">
        <f>IF(R202="","",Q202/R202)</f>
        <v/>
      </c>
      <c r="U202" s="24">
        <f>IF(SUMIFS('Daily NSE Equity Options'!$M:$M,'Daily NSE Equity Options'!$A:$A,$A202)=0,"",SUMIFS('Daily NSE Equity Options'!$M:$M,'Daily NSE Equity Options'!$A:$A,$A202))</f>
        <v/>
      </c>
      <c r="V202" s="9">
        <f>IF(SUMIFS('Daily BSE Equity Options'!$M:$M,'Daily BSE Equity Options'!$A:$A,$A202)=0,"",SUMIFS('Daily BSE Equity Options'!$M:$M,'Daily BSE Equity Options'!$A:$A,$A202))</f>
        <v/>
      </c>
      <c r="W202" s="9">
        <f>IF(OR(U202="",V202=""),"",U202+V202)</f>
        <v/>
      </c>
      <c r="X202" s="25">
        <f>IF(W202="","",U202/W202)</f>
        <v/>
      </c>
      <c r="Y202" s="25">
        <f>IF(W202="","",V202/W202)</f>
        <v/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19">
        <f>IF(G203="","",E203/G203)</f>
        <v/>
      </c>
      <c r="I203" s="19">
        <f>IF(G203="","",F203/G203)</f>
        <v/>
      </c>
      <c r="J203" s="26">
        <f>IFERROR(IF(OR(E203="",INDEX(E:E,MATCH(DATE(YEAR($A203)-1,MONTH($A203),DAY($A203)),$A:$A,0))=""),"",E203/INDEX(E:E,MATCH(DATE(YEAR($A203)-1,MONTH($A203),DAY($A203)),$A:$A,0))-1),"")</f>
        <v/>
      </c>
      <c r="K203" s="19">
        <f>IFERROR(IF(OR(F203="",INDEX(F:F,MATCH(DATE(YEAR($A203)-1,MONTH($A203),DAY($A203)),$A:$A,0))=""),"",F203/INDEX(F:F,MATCH(DATE(YEAR($A203)-1,MONTH($A203),DAY($A203)),$A:$A,0))-1),"")</f>
        <v/>
      </c>
      <c r="L203" s="19">
        <f>IFERROR(IF(OR(G203="",INDEX(G:G,MATCH(DATE(YEAR($A203)-1,MONTH($A203),DAY($A203)),$A:$A,0))=""),"",G203/INDEX(G:G,MATCH(DATE(YEAR($A203)-1,MONTH($A203),DAY($A203)),$A:$A,0))-1),"")</f>
        <v/>
      </c>
      <c r="M203" s="19">
        <f>IF(OR(E203="",E202=""),"",E203/E202-1)</f>
        <v/>
      </c>
      <c r="N203" s="19">
        <f>IF(OR(F203="",F202=""),"",F203/F202-1)</f>
        <v/>
      </c>
      <c r="O203" s="19">
        <f>IF(OR(G203="",G202=""),"",G203/G202-1)</f>
        <v/>
      </c>
      <c r="P203" s="22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IF(R203="","",P203/R203)</f>
        <v/>
      </c>
      <c r="T203" s="23">
        <f>IF(R203="","",Q203/R203)</f>
        <v/>
      </c>
      <c r="U203" s="24">
        <f>IF(SUMIFS('Daily NSE Equity Options'!$M:$M,'Daily NSE Equity Options'!$A:$A,$A203)=0,"",SUMIFS('Daily NSE Equity Options'!$M:$M,'Daily NSE Equity Options'!$A:$A,$A203))</f>
        <v/>
      </c>
      <c r="V203" s="9">
        <f>IF(SUMIFS('Daily BSE Equity Options'!$M:$M,'Daily BSE Equity Options'!$A:$A,$A203)=0,"",SUMIFS('Daily BSE Equity Options'!$M:$M,'Daily BSE Equity Options'!$A:$A,$A203))</f>
        <v/>
      </c>
      <c r="W203" s="9">
        <f>IF(OR(U203="",V203=""),"",U203+V203)</f>
        <v/>
      </c>
      <c r="X203" s="25">
        <f>IF(W203="","",U203/W203)</f>
        <v/>
      </c>
      <c r="Y203" s="25">
        <f>IF(W203="","",V203/W203)</f>
        <v/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19">
        <f>IF(G204="","",E204/G204)</f>
        <v/>
      </c>
      <c r="I204" s="19">
        <f>IF(G204="","",F204/G204)</f>
        <v/>
      </c>
      <c r="J204" s="26">
        <f>IFERROR(IF(OR(E204="",INDEX(E:E,MATCH(DATE(YEAR($A204)-1,MONTH($A204),DAY($A204)),$A:$A,0))=""),"",E204/INDEX(E:E,MATCH(DATE(YEAR($A204)-1,MONTH($A204),DAY($A204)),$A:$A,0))-1),"")</f>
        <v/>
      </c>
      <c r="K204" s="19">
        <f>IFERROR(IF(OR(F204="",INDEX(F:F,MATCH(DATE(YEAR($A204)-1,MONTH($A204),DAY($A204)),$A:$A,0))=""),"",F204/INDEX(F:F,MATCH(DATE(YEAR($A204)-1,MONTH($A204),DAY($A204)),$A:$A,0))-1),"")</f>
        <v/>
      </c>
      <c r="L204" s="19">
        <f>IFERROR(IF(OR(G204="",INDEX(G:G,MATCH(DATE(YEAR($A204)-1,MONTH($A204),DAY($A204)),$A:$A,0))=""),"",G204/INDEX(G:G,MATCH(DATE(YEAR($A204)-1,MONTH($A204),DAY($A204)),$A:$A,0))-1),"")</f>
        <v/>
      </c>
      <c r="M204" s="19">
        <f>IF(OR(E204="",E203=""),"",E204/E203-1)</f>
        <v/>
      </c>
      <c r="N204" s="19">
        <f>IF(OR(F204="",F203=""),"",F204/F203-1)</f>
        <v/>
      </c>
      <c r="O204" s="19">
        <f>IF(OR(G204="",G203=""),"",G204/G203-1)</f>
        <v/>
      </c>
      <c r="P204" s="22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IF(R204="","",P204/R204)</f>
        <v/>
      </c>
      <c r="T204" s="23">
        <f>IF(R204="","",Q204/R204)</f>
        <v/>
      </c>
      <c r="U204" s="24">
        <f>IF(SUMIFS('Daily NSE Equity Options'!$M:$M,'Daily NSE Equity Options'!$A:$A,$A204)=0,"",SUMIFS('Daily NSE Equity Options'!$M:$M,'Daily NSE Equity Options'!$A:$A,$A204))</f>
        <v/>
      </c>
      <c r="V204" s="9">
        <f>IF(SUMIFS('Daily BSE Equity Options'!$M:$M,'Daily BSE Equity Options'!$A:$A,$A204)=0,"",SUMIFS('Daily BSE Equity Options'!$M:$M,'Daily BSE Equity Options'!$A:$A,$A204))</f>
        <v/>
      </c>
      <c r="W204" s="9">
        <f>IF(OR(U204="",V204=""),"",U204+V204)</f>
        <v/>
      </c>
      <c r="X204" s="25">
        <f>IF(W204="","",U204/W204)</f>
        <v/>
      </c>
      <c r="Y204" s="25">
        <f>IF(W204="","",V204/W204)</f>
        <v/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19">
        <f>IF(G205="","",E205/G205)</f>
        <v/>
      </c>
      <c r="I205" s="19">
        <f>IF(G205="","",F205/G205)</f>
        <v/>
      </c>
      <c r="J205" s="26">
        <f>IFERROR(IF(OR(E205="",INDEX(E:E,MATCH(DATE(YEAR($A205)-1,MONTH($A205),DAY($A205)),$A:$A,0))=""),"",E205/INDEX(E:E,MATCH(DATE(YEAR($A205)-1,MONTH($A205),DAY($A205)),$A:$A,0))-1),"")</f>
        <v/>
      </c>
      <c r="K205" s="19">
        <f>IFERROR(IF(OR(F205="",INDEX(F:F,MATCH(DATE(YEAR($A205)-1,MONTH($A205),DAY($A205)),$A:$A,0))=""),"",F205/INDEX(F:F,MATCH(DATE(YEAR($A205)-1,MONTH($A205),DAY($A205)),$A:$A,0))-1),"")</f>
        <v/>
      </c>
      <c r="L205" s="19">
        <f>IFERROR(IF(OR(G205="",INDEX(G:G,MATCH(DATE(YEAR($A205)-1,MONTH($A205),DAY($A205)),$A:$A,0))=""),"",G205/INDEX(G:G,MATCH(DATE(YEAR($A205)-1,MONTH($A205),DAY($A205)),$A:$A,0))-1),"")</f>
        <v/>
      </c>
      <c r="M205" s="19">
        <f>IF(OR(E205="",E204=""),"",E205/E204-1)</f>
        <v/>
      </c>
      <c r="N205" s="19">
        <f>IF(OR(F205="",F204=""),"",F205/F204-1)</f>
        <v/>
      </c>
      <c r="O205" s="19">
        <f>IF(OR(G205="",G204=""),"",G205/G204-1)</f>
        <v/>
      </c>
      <c r="P205" s="22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IF(R205="","",P205/R205)</f>
        <v/>
      </c>
      <c r="T205" s="23">
        <f>IF(R205="","",Q205/R205)</f>
        <v/>
      </c>
      <c r="U205" s="24">
        <f>IF(SUMIFS('Daily NSE Equity Options'!$M:$M,'Daily NSE Equity Options'!$A:$A,$A205)=0,"",SUMIFS('Daily NSE Equity Options'!$M:$M,'Daily NSE Equity Options'!$A:$A,$A205))</f>
        <v/>
      </c>
      <c r="V205" s="9">
        <f>IF(SUMIFS('Daily BSE Equity Options'!$M:$M,'Daily BSE Equity Options'!$A:$A,$A205)=0,"",SUMIFS('Daily BSE Equity Options'!$M:$M,'Daily BSE Equity Options'!$A:$A,$A205))</f>
        <v/>
      </c>
      <c r="W205" s="9">
        <f>IF(OR(U205="",V205=""),"",U205+V205)</f>
        <v/>
      </c>
      <c r="X205" s="25">
        <f>IF(W205="","",U205/W205)</f>
        <v/>
      </c>
      <c r="Y205" s="25">
        <f>IF(W205="","",V205/W205)</f>
        <v/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19">
        <f>IF(G206="","",E206/G206)</f>
        <v/>
      </c>
      <c r="I206" s="19">
        <f>IF(G206="","",F206/G206)</f>
        <v/>
      </c>
      <c r="J206" s="26">
        <f>IFERROR(IF(OR(E206="",INDEX(E:E,MATCH(DATE(YEAR($A206)-1,MONTH($A206),DAY($A206)),$A:$A,0))=""),"",E206/INDEX(E:E,MATCH(DATE(YEAR($A206)-1,MONTH($A206),DAY($A206)),$A:$A,0))-1),"")</f>
        <v/>
      </c>
      <c r="K206" s="19">
        <f>IFERROR(IF(OR(F206="",INDEX(F:F,MATCH(DATE(YEAR($A206)-1,MONTH($A206),DAY($A206)),$A:$A,0))=""),"",F206/INDEX(F:F,MATCH(DATE(YEAR($A206)-1,MONTH($A206),DAY($A206)),$A:$A,0))-1),"")</f>
        <v/>
      </c>
      <c r="L206" s="19">
        <f>IFERROR(IF(OR(G206="",INDEX(G:G,MATCH(DATE(YEAR($A206)-1,MONTH($A206),DAY($A206)),$A:$A,0))=""),"",G206/INDEX(G:G,MATCH(DATE(YEAR($A206)-1,MONTH($A206),DAY($A206)),$A:$A,0))-1),"")</f>
        <v/>
      </c>
      <c r="M206" s="19">
        <f>IF(OR(E206="",E205=""),"",E206/E205-1)</f>
        <v/>
      </c>
      <c r="N206" s="19">
        <f>IF(OR(F206="",F205=""),"",F206/F205-1)</f>
        <v/>
      </c>
      <c r="O206" s="19">
        <f>IF(OR(G206="",G205=""),"",G206/G205-1)</f>
        <v/>
      </c>
      <c r="P206" s="22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IF(R206="","",P206/R206)</f>
        <v/>
      </c>
      <c r="T206" s="23">
        <f>IF(R206="","",Q206/R206)</f>
        <v/>
      </c>
      <c r="U206" s="24">
        <f>IF(SUMIFS('Daily NSE Equity Options'!$M:$M,'Daily NSE Equity Options'!$A:$A,$A206)=0,"",SUMIFS('Daily NSE Equity Options'!$M:$M,'Daily NSE Equity Options'!$A:$A,$A206))</f>
        <v/>
      </c>
      <c r="V206" s="9">
        <f>IF(SUMIFS('Daily BSE Equity Options'!$M:$M,'Daily BSE Equity Options'!$A:$A,$A206)=0,"",SUMIFS('Daily BSE Equity Options'!$M:$M,'Daily BSE Equity Options'!$A:$A,$A206))</f>
        <v/>
      </c>
      <c r="W206" s="9">
        <f>IF(OR(U206="",V206=""),"",U206+V206)</f>
        <v/>
      </c>
      <c r="X206" s="25">
        <f>IF(W206="","",U206/W206)</f>
        <v/>
      </c>
      <c r="Y206" s="25">
        <f>IF(W206="","",V206/W206)</f>
        <v/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19">
        <f>IF(G207="","",E207/G207)</f>
        <v/>
      </c>
      <c r="I207" s="19">
        <f>IF(G207="","",F207/G207)</f>
        <v/>
      </c>
      <c r="J207" s="26">
        <f>IFERROR(IF(OR(E207="",INDEX(E:E,MATCH(DATE(YEAR($A207)-1,MONTH($A207),DAY($A207)),$A:$A,0))=""),"",E207/INDEX(E:E,MATCH(DATE(YEAR($A207)-1,MONTH($A207),DAY($A207)),$A:$A,0))-1),"")</f>
        <v/>
      </c>
      <c r="K207" s="19">
        <f>IFERROR(IF(OR(F207="",INDEX(F:F,MATCH(DATE(YEAR($A207)-1,MONTH($A207),DAY($A207)),$A:$A,0))=""),"",F207/INDEX(F:F,MATCH(DATE(YEAR($A207)-1,MONTH($A207),DAY($A207)),$A:$A,0))-1),"")</f>
        <v/>
      </c>
      <c r="L207" s="19">
        <f>IFERROR(IF(OR(G207="",INDEX(G:G,MATCH(DATE(YEAR($A207)-1,MONTH($A207),DAY($A207)),$A:$A,0))=""),"",G207/INDEX(G:G,MATCH(DATE(YEAR($A207)-1,MONTH($A207),DAY($A207)),$A:$A,0))-1),"")</f>
        <v/>
      </c>
      <c r="M207" s="19">
        <f>IF(OR(E207="",E206=""),"",E207/E206-1)</f>
        <v/>
      </c>
      <c r="N207" s="19">
        <f>IF(OR(F207="",F206=""),"",F207/F206-1)</f>
        <v/>
      </c>
      <c r="O207" s="19">
        <f>IF(OR(G207="",G206=""),"",G207/G206-1)</f>
        <v/>
      </c>
      <c r="P207" s="22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IF(R207="","",P207/R207)</f>
        <v/>
      </c>
      <c r="T207" s="23">
        <f>IF(R207="","",Q207/R207)</f>
        <v/>
      </c>
      <c r="U207" s="24">
        <f>IF(SUMIFS('Daily NSE Equity Options'!$M:$M,'Daily NSE Equity Options'!$A:$A,$A207)=0,"",SUMIFS('Daily NSE Equity Options'!$M:$M,'Daily NSE Equity Options'!$A:$A,$A207))</f>
        <v/>
      </c>
      <c r="V207" s="9">
        <f>IF(SUMIFS('Daily BSE Equity Options'!$M:$M,'Daily BSE Equity Options'!$A:$A,$A207)=0,"",SUMIFS('Daily BSE Equity Options'!$M:$M,'Daily BSE Equity Options'!$A:$A,$A207))</f>
        <v/>
      </c>
      <c r="W207" s="9">
        <f>IF(OR(U207="",V207=""),"",U207+V207)</f>
        <v/>
      </c>
      <c r="X207" s="25">
        <f>IF(W207="","",U207/W207)</f>
        <v/>
      </c>
      <c r="Y207" s="25">
        <f>IF(W207="","",V207/W207)</f>
        <v/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19">
        <f>IF(G208="","",E208/G208)</f>
        <v/>
      </c>
      <c r="I208" s="19">
        <f>IF(G208="","",F208/G208)</f>
        <v/>
      </c>
      <c r="J208" s="26">
        <f>IFERROR(IF(OR(E208="",INDEX(E:E,MATCH(DATE(YEAR($A208)-1,MONTH($A208),DAY($A208)),$A:$A,0))=""),"",E208/INDEX(E:E,MATCH(DATE(YEAR($A208)-1,MONTH($A208),DAY($A208)),$A:$A,0))-1),"")</f>
        <v/>
      </c>
      <c r="K208" s="19">
        <f>IFERROR(IF(OR(F208="",INDEX(F:F,MATCH(DATE(YEAR($A208)-1,MONTH($A208),DAY($A208)),$A:$A,0))=""),"",F208/INDEX(F:F,MATCH(DATE(YEAR($A208)-1,MONTH($A208),DAY($A208)),$A:$A,0))-1),"")</f>
        <v/>
      </c>
      <c r="L208" s="19">
        <f>IFERROR(IF(OR(G208="",INDEX(G:G,MATCH(DATE(YEAR($A208)-1,MONTH($A208),DAY($A208)),$A:$A,0))=""),"",G208/INDEX(G:G,MATCH(DATE(YEAR($A208)-1,MONTH($A208),DAY($A208)),$A:$A,0))-1),"")</f>
        <v/>
      </c>
      <c r="M208" s="19">
        <f>IF(OR(E208="",E207=""),"",E208/E207-1)</f>
        <v/>
      </c>
      <c r="N208" s="19">
        <f>IF(OR(F208="",F207=""),"",F208/F207-1)</f>
        <v/>
      </c>
      <c r="O208" s="19">
        <f>IF(OR(G208="",G207=""),"",G208/G207-1)</f>
        <v/>
      </c>
      <c r="P208" s="22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IF(R208="","",P208/R208)</f>
        <v/>
      </c>
      <c r="T208" s="23">
        <f>IF(R208="","",Q208/R208)</f>
        <v/>
      </c>
      <c r="U208" s="24">
        <f>IF(SUMIFS('Daily NSE Equity Options'!$M:$M,'Daily NSE Equity Options'!$A:$A,$A208)=0,"",SUMIFS('Daily NSE Equity Options'!$M:$M,'Daily NSE Equity Options'!$A:$A,$A208))</f>
        <v/>
      </c>
      <c r="V208" s="9">
        <f>IF(SUMIFS('Daily BSE Equity Options'!$M:$M,'Daily BSE Equity Options'!$A:$A,$A208)=0,"",SUMIFS('Daily BSE Equity Options'!$M:$M,'Daily BSE Equity Options'!$A:$A,$A208))</f>
        <v/>
      </c>
      <c r="W208" s="9">
        <f>IF(OR(U208="",V208=""),"",U208+V208)</f>
        <v/>
      </c>
      <c r="X208" s="25">
        <f>IF(W208="","",U208/W208)</f>
        <v/>
      </c>
      <c r="Y208" s="25">
        <f>IF(W208="","",V208/W208)</f>
        <v/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19">
        <f>IF(G209="","",E209/G209)</f>
        <v/>
      </c>
      <c r="I209" s="19">
        <f>IF(G209="","",F209/G209)</f>
        <v/>
      </c>
      <c r="J209" s="26">
        <f>IFERROR(IF(OR(E209="",INDEX(E:E,MATCH(DATE(YEAR($A209)-1,MONTH($A209),DAY($A209)),$A:$A,0))=""),"",E209/INDEX(E:E,MATCH(DATE(YEAR($A209)-1,MONTH($A209),DAY($A209)),$A:$A,0))-1),"")</f>
        <v/>
      </c>
      <c r="K209" s="19">
        <f>IFERROR(IF(OR(F209="",INDEX(F:F,MATCH(DATE(YEAR($A209)-1,MONTH($A209),DAY($A209)),$A:$A,0))=""),"",F209/INDEX(F:F,MATCH(DATE(YEAR($A209)-1,MONTH($A209),DAY($A209)),$A:$A,0))-1),"")</f>
        <v/>
      </c>
      <c r="L209" s="19">
        <f>IFERROR(IF(OR(G209="",INDEX(G:G,MATCH(DATE(YEAR($A209)-1,MONTH($A209),DAY($A209)),$A:$A,0))=""),"",G209/INDEX(G:G,MATCH(DATE(YEAR($A209)-1,MONTH($A209),DAY($A209)),$A:$A,0))-1),"")</f>
        <v/>
      </c>
      <c r="M209" s="19">
        <f>IF(OR(E209="",E208=""),"",E209/E208-1)</f>
        <v/>
      </c>
      <c r="N209" s="19">
        <f>IF(OR(F209="",F208=""),"",F209/F208-1)</f>
        <v/>
      </c>
      <c r="O209" s="19">
        <f>IF(OR(G209="",G208=""),"",G209/G208-1)</f>
        <v/>
      </c>
      <c r="P209" s="22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IF(R209="","",P209/R209)</f>
        <v/>
      </c>
      <c r="T209" s="23">
        <f>IF(R209="","",Q209/R209)</f>
        <v/>
      </c>
      <c r="U209" s="24">
        <f>IF(SUMIFS('Daily NSE Equity Options'!$M:$M,'Daily NSE Equity Options'!$A:$A,$A209)=0,"",SUMIFS('Daily NSE Equity Options'!$M:$M,'Daily NSE Equity Options'!$A:$A,$A209))</f>
        <v/>
      </c>
      <c r="V209" s="9">
        <f>IF(SUMIFS('Daily BSE Equity Options'!$M:$M,'Daily BSE Equity Options'!$A:$A,$A209)=0,"",SUMIFS('Daily BSE Equity Options'!$M:$M,'Daily BSE Equity Options'!$A:$A,$A209))</f>
        <v/>
      </c>
      <c r="W209" s="9">
        <f>IF(OR(U209="",V209=""),"",U209+V209)</f>
        <v/>
      </c>
      <c r="X209" s="25">
        <f>IF(W209="","",U209/W209)</f>
        <v/>
      </c>
      <c r="Y209" s="25">
        <f>IF(W209="","",V209/W209)</f>
        <v/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19">
        <f>IF(G210="","",E210/G210)</f>
        <v/>
      </c>
      <c r="I210" s="19">
        <f>IF(G210="","",F210/G210)</f>
        <v/>
      </c>
      <c r="J210" s="26">
        <f>IFERROR(IF(OR(E210="",INDEX(E:E,MATCH(DATE(YEAR($A210)-1,MONTH($A210),DAY($A210)),$A:$A,0))=""),"",E210/INDEX(E:E,MATCH(DATE(YEAR($A210)-1,MONTH($A210),DAY($A210)),$A:$A,0))-1),"")</f>
        <v/>
      </c>
      <c r="K210" s="19">
        <f>IFERROR(IF(OR(F210="",INDEX(F:F,MATCH(DATE(YEAR($A210)-1,MONTH($A210),DAY($A210)),$A:$A,0))=""),"",F210/INDEX(F:F,MATCH(DATE(YEAR($A210)-1,MONTH($A210),DAY($A210)),$A:$A,0))-1),"")</f>
        <v/>
      </c>
      <c r="L210" s="19">
        <f>IFERROR(IF(OR(G210="",INDEX(G:G,MATCH(DATE(YEAR($A210)-1,MONTH($A210),DAY($A210)),$A:$A,0))=""),"",G210/INDEX(G:G,MATCH(DATE(YEAR($A210)-1,MONTH($A210),DAY($A210)),$A:$A,0))-1),"")</f>
        <v/>
      </c>
      <c r="M210" s="19">
        <f>IF(OR(E210="",E209=""),"",E210/E209-1)</f>
        <v/>
      </c>
      <c r="N210" s="19">
        <f>IF(OR(F210="",F209=""),"",F210/F209-1)</f>
        <v/>
      </c>
      <c r="O210" s="19">
        <f>IF(OR(G210="",G209=""),"",G210/G209-1)</f>
        <v/>
      </c>
      <c r="P210" s="22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IF(R210="","",P210/R210)</f>
        <v/>
      </c>
      <c r="T210" s="23">
        <f>IF(R210="","",Q210/R210)</f>
        <v/>
      </c>
      <c r="U210" s="24">
        <f>IF(SUMIFS('Daily NSE Equity Options'!$M:$M,'Daily NSE Equity Options'!$A:$A,$A210)=0,"",SUMIFS('Daily NSE Equity Options'!$M:$M,'Daily NSE Equity Options'!$A:$A,$A210))</f>
        <v/>
      </c>
      <c r="V210" s="9">
        <f>IF(SUMIFS('Daily BSE Equity Options'!$M:$M,'Daily BSE Equity Options'!$A:$A,$A210)=0,"",SUMIFS('Daily BSE Equity Options'!$M:$M,'Daily BSE Equity Options'!$A:$A,$A210))</f>
        <v/>
      </c>
      <c r="W210" s="9">
        <f>IF(OR(U210="",V210=""),"",U210+V210)</f>
        <v/>
      </c>
      <c r="X210" s="25">
        <f>IF(W210="","",U210/W210)</f>
        <v/>
      </c>
      <c r="Y210" s="25">
        <f>IF(W210="","",V210/W210)</f>
        <v/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19">
        <f>IF(G211="","",E211/G211)</f>
        <v/>
      </c>
      <c r="I211" s="19">
        <f>IF(G211="","",F211/G211)</f>
        <v/>
      </c>
      <c r="J211" s="26">
        <f>IFERROR(IF(OR(E211="",INDEX(E:E,MATCH(DATE(YEAR($A211)-1,MONTH($A211),DAY($A211)),$A:$A,0))=""),"",E211/INDEX(E:E,MATCH(DATE(YEAR($A211)-1,MONTH($A211),DAY($A211)),$A:$A,0))-1),"")</f>
        <v/>
      </c>
      <c r="K211" s="19">
        <f>IFERROR(IF(OR(F211="",INDEX(F:F,MATCH(DATE(YEAR($A211)-1,MONTH($A211),DAY($A211)),$A:$A,0))=""),"",F211/INDEX(F:F,MATCH(DATE(YEAR($A211)-1,MONTH($A211),DAY($A211)),$A:$A,0))-1),"")</f>
        <v/>
      </c>
      <c r="L211" s="19">
        <f>IFERROR(IF(OR(G211="",INDEX(G:G,MATCH(DATE(YEAR($A211)-1,MONTH($A211),DAY($A211)),$A:$A,0))=""),"",G211/INDEX(G:G,MATCH(DATE(YEAR($A211)-1,MONTH($A211),DAY($A211)),$A:$A,0))-1),"")</f>
        <v/>
      </c>
      <c r="M211" s="19">
        <f>IF(OR(E211="",E210=""),"",E211/E210-1)</f>
        <v/>
      </c>
      <c r="N211" s="19">
        <f>IF(OR(F211="",F210=""),"",F211/F210-1)</f>
        <v/>
      </c>
      <c r="O211" s="19">
        <f>IF(OR(G211="",G210=""),"",G211/G210-1)</f>
        <v/>
      </c>
      <c r="P211" s="22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IF(R211="","",P211/R211)</f>
        <v/>
      </c>
      <c r="T211" s="23">
        <f>IF(R211="","",Q211/R211)</f>
        <v/>
      </c>
      <c r="U211" s="24">
        <f>IF(SUMIFS('Daily NSE Equity Options'!$M:$M,'Daily NSE Equity Options'!$A:$A,$A211)=0,"",SUMIFS('Daily NSE Equity Options'!$M:$M,'Daily NSE Equity Options'!$A:$A,$A211))</f>
        <v/>
      </c>
      <c r="V211" s="9">
        <f>IF(SUMIFS('Daily BSE Equity Options'!$M:$M,'Daily BSE Equity Options'!$A:$A,$A211)=0,"",SUMIFS('Daily BSE Equity Options'!$M:$M,'Daily BSE Equity Options'!$A:$A,$A211))</f>
        <v/>
      </c>
      <c r="W211" s="9">
        <f>IF(OR(U211="",V211=""),"",U211+V211)</f>
        <v/>
      </c>
      <c r="X211" s="25">
        <f>IF(W211="","",U211/W211)</f>
        <v/>
      </c>
      <c r="Y211" s="25">
        <f>IF(W211="","",V211/W211)</f>
        <v/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19">
        <f>IF(G212="","",E212/G212)</f>
        <v/>
      </c>
      <c r="I212" s="19">
        <f>IF(G212="","",F212/G212)</f>
        <v/>
      </c>
      <c r="J212" s="26">
        <f>IFERROR(IF(OR(E212="",INDEX(E:E,MATCH(DATE(YEAR($A212)-1,MONTH($A212),DAY($A212)),$A:$A,0))=""),"",E212/INDEX(E:E,MATCH(DATE(YEAR($A212)-1,MONTH($A212),DAY($A212)),$A:$A,0))-1),"")</f>
        <v/>
      </c>
      <c r="K212" s="19">
        <f>IFERROR(IF(OR(F212="",INDEX(F:F,MATCH(DATE(YEAR($A212)-1,MONTH($A212),DAY($A212)),$A:$A,0))=""),"",F212/INDEX(F:F,MATCH(DATE(YEAR($A212)-1,MONTH($A212),DAY($A212)),$A:$A,0))-1),"")</f>
        <v/>
      </c>
      <c r="L212" s="19">
        <f>IFERROR(IF(OR(G212="",INDEX(G:G,MATCH(DATE(YEAR($A212)-1,MONTH($A212),DAY($A212)),$A:$A,0))=""),"",G212/INDEX(G:G,MATCH(DATE(YEAR($A212)-1,MONTH($A212),DAY($A212)),$A:$A,0))-1),"")</f>
        <v/>
      </c>
      <c r="M212" s="19">
        <f>IF(OR(E212="",E211=""),"",E212/E211-1)</f>
        <v/>
      </c>
      <c r="N212" s="19">
        <f>IF(OR(F212="",F211=""),"",F212/F211-1)</f>
        <v/>
      </c>
      <c r="O212" s="19">
        <f>IF(OR(G212="",G211=""),"",G212/G211-1)</f>
        <v/>
      </c>
      <c r="P212" s="22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IF(R212="","",P212/R212)</f>
        <v/>
      </c>
      <c r="T212" s="23">
        <f>IF(R212="","",Q212/R212)</f>
        <v/>
      </c>
      <c r="U212" s="24">
        <f>IF(SUMIFS('Daily NSE Equity Options'!$M:$M,'Daily NSE Equity Options'!$A:$A,$A212)=0,"",SUMIFS('Daily NSE Equity Options'!$M:$M,'Daily NSE Equity Options'!$A:$A,$A212))</f>
        <v/>
      </c>
      <c r="V212" s="9">
        <f>IF(SUMIFS('Daily BSE Equity Options'!$M:$M,'Daily BSE Equity Options'!$A:$A,$A212)=0,"",SUMIFS('Daily BSE Equity Options'!$M:$M,'Daily BSE Equity Options'!$A:$A,$A212))</f>
        <v/>
      </c>
      <c r="W212" s="9">
        <f>IF(OR(U212="",V212=""),"",U212+V212)</f>
        <v/>
      </c>
      <c r="X212" s="25">
        <f>IF(W212="","",U212/W212)</f>
        <v/>
      </c>
      <c r="Y212" s="25">
        <f>IF(W212="","",V212/W212)</f>
        <v/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19">
        <f>IF(G213="","",E213/G213)</f>
        <v/>
      </c>
      <c r="I213" s="19">
        <f>IF(G213="","",F213/G213)</f>
        <v/>
      </c>
      <c r="J213" s="26">
        <f>IFERROR(IF(OR(E213="",INDEX(E:E,MATCH(DATE(YEAR($A213)-1,MONTH($A213),DAY($A213)),$A:$A,0))=""),"",E213/INDEX(E:E,MATCH(DATE(YEAR($A213)-1,MONTH($A213),DAY($A213)),$A:$A,0))-1),"")</f>
        <v/>
      </c>
      <c r="K213" s="19">
        <f>IFERROR(IF(OR(F213="",INDEX(F:F,MATCH(DATE(YEAR($A213)-1,MONTH($A213),DAY($A213)),$A:$A,0))=""),"",F213/INDEX(F:F,MATCH(DATE(YEAR($A213)-1,MONTH($A213),DAY($A213)),$A:$A,0))-1),"")</f>
        <v/>
      </c>
      <c r="L213" s="19">
        <f>IFERROR(IF(OR(G213="",INDEX(G:G,MATCH(DATE(YEAR($A213)-1,MONTH($A213),DAY($A213)),$A:$A,0))=""),"",G213/INDEX(G:G,MATCH(DATE(YEAR($A213)-1,MONTH($A213),DAY($A213)),$A:$A,0))-1),"")</f>
        <v/>
      </c>
      <c r="M213" s="19">
        <f>IF(OR(E213="",E212=""),"",E213/E212-1)</f>
        <v/>
      </c>
      <c r="N213" s="19">
        <f>IF(OR(F213="",F212=""),"",F213/F212-1)</f>
        <v/>
      </c>
      <c r="O213" s="19">
        <f>IF(OR(G213="",G212=""),"",G213/G212-1)</f>
        <v/>
      </c>
      <c r="P213" s="22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IF(R213="","",P213/R213)</f>
        <v/>
      </c>
      <c r="T213" s="23">
        <f>IF(R213="","",Q213/R213)</f>
        <v/>
      </c>
      <c r="U213" s="24">
        <f>IF(SUMIFS('Daily NSE Equity Options'!$M:$M,'Daily NSE Equity Options'!$A:$A,$A213)=0,"",SUMIFS('Daily NSE Equity Options'!$M:$M,'Daily NSE Equity Options'!$A:$A,$A213))</f>
        <v/>
      </c>
      <c r="V213" s="9">
        <f>IF(SUMIFS('Daily BSE Equity Options'!$M:$M,'Daily BSE Equity Options'!$A:$A,$A213)=0,"",SUMIFS('Daily BSE Equity Options'!$M:$M,'Daily BSE Equity Options'!$A:$A,$A213))</f>
        <v/>
      </c>
      <c r="W213" s="9">
        <f>IF(OR(U213="",V213=""),"",U213+V213)</f>
        <v/>
      </c>
      <c r="X213" s="25">
        <f>IF(W213="","",U213/W213)</f>
        <v/>
      </c>
      <c r="Y213" s="25">
        <f>IF(W213="","",V213/W213)</f>
        <v/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19">
        <f>IF(G214="","",E214/G214)</f>
        <v/>
      </c>
      <c r="I214" s="19">
        <f>IF(G214="","",F214/G214)</f>
        <v/>
      </c>
      <c r="J214" s="26">
        <f>IFERROR(IF(OR(E214="",INDEX(E:E,MATCH(DATE(YEAR($A214)-1,MONTH($A214),DAY($A214)),$A:$A,0))=""),"",E214/INDEX(E:E,MATCH(DATE(YEAR($A214)-1,MONTH($A214),DAY($A214)),$A:$A,0))-1),"")</f>
        <v/>
      </c>
      <c r="K214" s="19">
        <f>IFERROR(IF(OR(F214="",INDEX(F:F,MATCH(DATE(YEAR($A214)-1,MONTH($A214),DAY($A214)),$A:$A,0))=""),"",F214/INDEX(F:F,MATCH(DATE(YEAR($A214)-1,MONTH($A214),DAY($A214)),$A:$A,0))-1),"")</f>
        <v/>
      </c>
      <c r="L214" s="19">
        <f>IFERROR(IF(OR(G214="",INDEX(G:G,MATCH(DATE(YEAR($A214)-1,MONTH($A214),DAY($A214)),$A:$A,0))=""),"",G214/INDEX(G:G,MATCH(DATE(YEAR($A214)-1,MONTH($A214),DAY($A214)),$A:$A,0))-1),"")</f>
        <v/>
      </c>
      <c r="M214" s="19">
        <f>IF(OR(E214="",E213=""),"",E214/E213-1)</f>
        <v/>
      </c>
      <c r="N214" s="19">
        <f>IF(OR(F214="",F213=""),"",F214/F213-1)</f>
        <v/>
      </c>
      <c r="O214" s="19">
        <f>IF(OR(G214="",G213=""),"",G214/G213-1)</f>
        <v/>
      </c>
      <c r="P214" s="22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IF(R214="","",P214/R214)</f>
        <v/>
      </c>
      <c r="T214" s="23">
        <f>IF(R214="","",Q214/R214)</f>
        <v/>
      </c>
      <c r="U214" s="24">
        <f>IF(SUMIFS('Daily NSE Equity Options'!$M:$M,'Daily NSE Equity Options'!$A:$A,$A214)=0,"",SUMIFS('Daily NSE Equity Options'!$M:$M,'Daily NSE Equity Options'!$A:$A,$A214))</f>
        <v/>
      </c>
      <c r="V214" s="9">
        <f>IF(SUMIFS('Daily BSE Equity Options'!$M:$M,'Daily BSE Equity Options'!$A:$A,$A214)=0,"",SUMIFS('Daily BSE Equity Options'!$M:$M,'Daily BSE Equity Options'!$A:$A,$A214))</f>
        <v/>
      </c>
      <c r="W214" s="9">
        <f>IF(OR(U214="",V214=""),"",U214+V214)</f>
        <v/>
      </c>
      <c r="X214" s="25">
        <f>IF(W214="","",U214/W214)</f>
        <v/>
      </c>
      <c r="Y214" s="25">
        <f>IF(W214="","",V214/W214)</f>
        <v/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19">
        <f>IF(G215="","",E215/G215)</f>
        <v/>
      </c>
      <c r="I215" s="19">
        <f>IF(G215="","",F215/G215)</f>
        <v/>
      </c>
      <c r="J215" s="26">
        <f>IFERROR(IF(OR(E215="",INDEX(E:E,MATCH(DATE(YEAR($A215)-1,MONTH($A215),DAY($A215)),$A:$A,0))=""),"",E215/INDEX(E:E,MATCH(DATE(YEAR($A215)-1,MONTH($A215),DAY($A215)),$A:$A,0))-1),"")</f>
        <v/>
      </c>
      <c r="K215" s="19">
        <f>IFERROR(IF(OR(F215="",INDEX(F:F,MATCH(DATE(YEAR($A215)-1,MONTH($A215),DAY($A215)),$A:$A,0))=""),"",F215/INDEX(F:F,MATCH(DATE(YEAR($A215)-1,MONTH($A215),DAY($A215)),$A:$A,0))-1),"")</f>
        <v/>
      </c>
      <c r="L215" s="19">
        <f>IFERROR(IF(OR(G215="",INDEX(G:G,MATCH(DATE(YEAR($A215)-1,MONTH($A215),DAY($A215)),$A:$A,0))=""),"",G215/INDEX(G:G,MATCH(DATE(YEAR($A215)-1,MONTH($A215),DAY($A215)),$A:$A,0))-1),"")</f>
        <v/>
      </c>
      <c r="M215" s="19">
        <f>IF(OR(E215="",E214=""),"",E215/E214-1)</f>
        <v/>
      </c>
      <c r="N215" s="19">
        <f>IF(OR(F215="",F214=""),"",F215/F214-1)</f>
        <v/>
      </c>
      <c r="O215" s="19">
        <f>IF(OR(G215="",G214=""),"",G215/G214-1)</f>
        <v/>
      </c>
      <c r="P215" s="22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IF(R215="","",P215/R215)</f>
        <v/>
      </c>
      <c r="T215" s="23">
        <f>IF(R215="","",Q215/R215)</f>
        <v/>
      </c>
      <c r="U215" s="24">
        <f>IF(SUMIFS('Daily NSE Equity Options'!$M:$M,'Daily NSE Equity Options'!$A:$A,$A215)=0,"",SUMIFS('Daily NSE Equity Options'!$M:$M,'Daily NSE Equity Options'!$A:$A,$A215))</f>
        <v/>
      </c>
      <c r="V215" s="9">
        <f>IF(SUMIFS('Daily BSE Equity Options'!$M:$M,'Daily BSE Equity Options'!$A:$A,$A215)=0,"",SUMIFS('Daily BSE Equity Options'!$M:$M,'Daily BSE Equity Options'!$A:$A,$A215))</f>
        <v/>
      </c>
      <c r="W215" s="9">
        <f>IF(OR(U215="",V215=""),"",U215+V215)</f>
        <v/>
      </c>
      <c r="X215" s="25">
        <f>IF(W215="","",U215/W215)</f>
        <v/>
      </c>
      <c r="Y215" s="25">
        <f>IF(W215="","",V215/W215)</f>
        <v/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19">
        <f>IF(G216="","",E216/G216)</f>
        <v/>
      </c>
      <c r="I216" s="19">
        <f>IF(G216="","",F216/G216)</f>
        <v/>
      </c>
      <c r="J216" s="26">
        <f>IFERROR(IF(OR(E216="",INDEX(E:E,MATCH(DATE(YEAR($A216)-1,MONTH($A216),DAY($A216)),$A:$A,0))=""),"",E216/INDEX(E:E,MATCH(DATE(YEAR($A216)-1,MONTH($A216),DAY($A216)),$A:$A,0))-1),"")</f>
        <v/>
      </c>
      <c r="K216" s="19">
        <f>IFERROR(IF(OR(F216="",INDEX(F:F,MATCH(DATE(YEAR($A216)-1,MONTH($A216),DAY($A216)),$A:$A,0))=""),"",F216/INDEX(F:F,MATCH(DATE(YEAR($A216)-1,MONTH($A216),DAY($A216)),$A:$A,0))-1),"")</f>
        <v/>
      </c>
      <c r="L216" s="19">
        <f>IFERROR(IF(OR(G216="",INDEX(G:G,MATCH(DATE(YEAR($A216)-1,MONTH($A216),DAY($A216)),$A:$A,0))=""),"",G216/INDEX(G:G,MATCH(DATE(YEAR($A216)-1,MONTH($A216),DAY($A216)),$A:$A,0))-1),"")</f>
        <v/>
      </c>
      <c r="M216" s="19">
        <f>IF(OR(E216="",E215=""),"",E216/E215-1)</f>
        <v/>
      </c>
      <c r="N216" s="19">
        <f>IF(OR(F216="",F215=""),"",F216/F215-1)</f>
        <v/>
      </c>
      <c r="O216" s="19">
        <f>IF(OR(G216="",G215=""),"",G216/G215-1)</f>
        <v/>
      </c>
      <c r="P216" s="22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IF(R216="","",P216/R216)</f>
        <v/>
      </c>
      <c r="T216" s="23">
        <f>IF(R216="","",Q216/R216)</f>
        <v/>
      </c>
      <c r="U216" s="24">
        <f>IF(SUMIFS('Daily NSE Equity Options'!$M:$M,'Daily NSE Equity Options'!$A:$A,$A216)=0,"",SUMIFS('Daily NSE Equity Options'!$M:$M,'Daily NSE Equity Options'!$A:$A,$A216))</f>
        <v/>
      </c>
      <c r="V216" s="9">
        <f>IF(SUMIFS('Daily BSE Equity Options'!$M:$M,'Daily BSE Equity Options'!$A:$A,$A216)=0,"",SUMIFS('Daily BSE Equity Options'!$M:$M,'Daily BSE Equity Options'!$A:$A,$A216))</f>
        <v/>
      </c>
      <c r="W216" s="9">
        <f>IF(OR(U216="",V216=""),"",U216+V216)</f>
        <v/>
      </c>
      <c r="X216" s="25">
        <f>IF(W216="","",U216/W216)</f>
        <v/>
      </c>
      <c r="Y216" s="25">
        <f>IF(W216="","",V216/W216)</f>
        <v/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19">
        <f>IF(G217="","",E217/G217)</f>
        <v/>
      </c>
      <c r="I217" s="19">
        <f>IF(G217="","",F217/G217)</f>
        <v/>
      </c>
      <c r="J217" s="26">
        <f>IFERROR(IF(OR(E217="",INDEX(E:E,MATCH(DATE(YEAR($A217)-1,MONTH($A217),DAY($A217)),$A:$A,0))=""),"",E217/INDEX(E:E,MATCH(DATE(YEAR($A217)-1,MONTH($A217),DAY($A217)),$A:$A,0))-1),"")</f>
        <v/>
      </c>
      <c r="K217" s="19">
        <f>IFERROR(IF(OR(F217="",INDEX(F:F,MATCH(DATE(YEAR($A217)-1,MONTH($A217),DAY($A217)),$A:$A,0))=""),"",F217/INDEX(F:F,MATCH(DATE(YEAR($A217)-1,MONTH($A217),DAY($A217)),$A:$A,0))-1),"")</f>
        <v/>
      </c>
      <c r="L217" s="19">
        <f>IFERROR(IF(OR(G217="",INDEX(G:G,MATCH(DATE(YEAR($A217)-1,MONTH($A217),DAY($A217)),$A:$A,0))=""),"",G217/INDEX(G:G,MATCH(DATE(YEAR($A217)-1,MONTH($A217),DAY($A217)),$A:$A,0))-1),"")</f>
        <v/>
      </c>
      <c r="M217" s="19">
        <f>IF(OR(E217="",E216=""),"",E217/E216-1)</f>
        <v/>
      </c>
      <c r="N217" s="19">
        <f>IF(OR(F217="",F216=""),"",F217/F216-1)</f>
        <v/>
      </c>
      <c r="O217" s="19">
        <f>IF(OR(G217="",G216=""),"",G217/G216-1)</f>
        <v/>
      </c>
      <c r="P217" s="22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IF(R217="","",P217/R217)</f>
        <v/>
      </c>
      <c r="T217" s="23">
        <f>IF(R217="","",Q217/R217)</f>
        <v/>
      </c>
      <c r="U217" s="24">
        <f>IF(SUMIFS('Daily NSE Equity Options'!$M:$M,'Daily NSE Equity Options'!$A:$A,$A217)=0,"",SUMIFS('Daily NSE Equity Options'!$M:$M,'Daily NSE Equity Options'!$A:$A,$A217))</f>
        <v/>
      </c>
      <c r="V217" s="9">
        <f>IF(SUMIFS('Daily BSE Equity Options'!$M:$M,'Daily BSE Equity Options'!$A:$A,$A217)=0,"",SUMIFS('Daily BSE Equity Options'!$M:$M,'Daily BSE Equity Options'!$A:$A,$A217))</f>
        <v/>
      </c>
      <c r="W217" s="9">
        <f>IF(OR(U217="",V217=""),"",U217+V217)</f>
        <v/>
      </c>
      <c r="X217" s="25">
        <f>IF(W217="","",U217/W217)</f>
        <v/>
      </c>
      <c r="Y217" s="25">
        <f>IF(W217="","",V217/W217)</f>
        <v/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19">
        <f>IF(G218="","",E218/G218)</f>
        <v/>
      </c>
      <c r="I218" s="19">
        <f>IF(G218="","",F218/G218)</f>
        <v/>
      </c>
      <c r="J218" s="26">
        <f>IFERROR(IF(OR(E218="",INDEX(E:E,MATCH(DATE(YEAR($A218)-1,MONTH($A218),DAY($A218)),$A:$A,0))=""),"",E218/INDEX(E:E,MATCH(DATE(YEAR($A218)-1,MONTH($A218),DAY($A218)),$A:$A,0))-1),"")</f>
        <v/>
      </c>
      <c r="K218" s="19">
        <f>IFERROR(IF(OR(F218="",INDEX(F:F,MATCH(DATE(YEAR($A218)-1,MONTH($A218),DAY($A218)),$A:$A,0))=""),"",F218/INDEX(F:F,MATCH(DATE(YEAR($A218)-1,MONTH($A218),DAY($A218)),$A:$A,0))-1),"")</f>
        <v/>
      </c>
      <c r="L218" s="19">
        <f>IFERROR(IF(OR(G218="",INDEX(G:G,MATCH(DATE(YEAR($A218)-1,MONTH($A218),DAY($A218)),$A:$A,0))=""),"",G218/INDEX(G:G,MATCH(DATE(YEAR($A218)-1,MONTH($A218),DAY($A218)),$A:$A,0))-1),"")</f>
        <v/>
      </c>
      <c r="M218" s="19">
        <f>IF(OR(E218="",E217=""),"",E218/E217-1)</f>
        <v/>
      </c>
      <c r="N218" s="19">
        <f>IF(OR(F218="",F217=""),"",F218/F217-1)</f>
        <v/>
      </c>
      <c r="O218" s="19">
        <f>IF(OR(G218="",G217=""),"",G218/G217-1)</f>
        <v/>
      </c>
      <c r="P218" s="22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IF(R218="","",P218/R218)</f>
        <v/>
      </c>
      <c r="T218" s="23">
        <f>IF(R218="","",Q218/R218)</f>
        <v/>
      </c>
      <c r="U218" s="24">
        <f>IF(SUMIFS('Daily NSE Equity Options'!$M:$M,'Daily NSE Equity Options'!$A:$A,$A218)=0,"",SUMIFS('Daily NSE Equity Options'!$M:$M,'Daily NSE Equity Options'!$A:$A,$A218))</f>
        <v/>
      </c>
      <c r="V218" s="9">
        <f>IF(SUMIFS('Daily BSE Equity Options'!$M:$M,'Daily BSE Equity Options'!$A:$A,$A218)=0,"",SUMIFS('Daily BSE Equity Options'!$M:$M,'Daily BSE Equity Options'!$A:$A,$A218))</f>
        <v/>
      </c>
      <c r="W218" s="9">
        <f>IF(OR(U218="",V218=""),"",U218+V218)</f>
        <v/>
      </c>
      <c r="X218" s="25">
        <f>IF(W218="","",U218/W218)</f>
        <v/>
      </c>
      <c r="Y218" s="25">
        <f>IF(W218="","",V218/W218)</f>
        <v/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19">
        <f>IF(G219="","",E219/G219)</f>
        <v/>
      </c>
      <c r="I219" s="19">
        <f>IF(G219="","",F219/G219)</f>
        <v/>
      </c>
      <c r="J219" s="26">
        <f>IFERROR(IF(OR(E219="",INDEX(E:E,MATCH(DATE(YEAR($A219)-1,MONTH($A219),DAY($A219)),$A:$A,0))=""),"",E219/INDEX(E:E,MATCH(DATE(YEAR($A219)-1,MONTH($A219),DAY($A219)),$A:$A,0))-1),"")</f>
        <v/>
      </c>
      <c r="K219" s="19">
        <f>IFERROR(IF(OR(F219="",INDEX(F:F,MATCH(DATE(YEAR($A219)-1,MONTH($A219),DAY($A219)),$A:$A,0))=""),"",F219/INDEX(F:F,MATCH(DATE(YEAR($A219)-1,MONTH($A219),DAY($A219)),$A:$A,0))-1),"")</f>
        <v/>
      </c>
      <c r="L219" s="19">
        <f>IFERROR(IF(OR(G219="",INDEX(G:G,MATCH(DATE(YEAR($A219)-1,MONTH($A219),DAY($A219)),$A:$A,0))=""),"",G219/INDEX(G:G,MATCH(DATE(YEAR($A219)-1,MONTH($A219),DAY($A219)),$A:$A,0))-1),"")</f>
        <v/>
      </c>
      <c r="M219" s="19">
        <f>IF(OR(E219="",E218=""),"",E219/E218-1)</f>
        <v/>
      </c>
      <c r="N219" s="19">
        <f>IF(OR(F219="",F218=""),"",F219/F218-1)</f>
        <v/>
      </c>
      <c r="O219" s="19">
        <f>IF(OR(G219="",G218=""),"",G219/G218-1)</f>
        <v/>
      </c>
      <c r="P219" s="22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IF(R219="","",P219/R219)</f>
        <v/>
      </c>
      <c r="T219" s="23">
        <f>IF(R219="","",Q219/R219)</f>
        <v/>
      </c>
      <c r="U219" s="24">
        <f>IF(SUMIFS('Daily NSE Equity Options'!$M:$M,'Daily NSE Equity Options'!$A:$A,$A219)=0,"",SUMIFS('Daily NSE Equity Options'!$M:$M,'Daily NSE Equity Options'!$A:$A,$A219))</f>
        <v/>
      </c>
      <c r="V219" s="9">
        <f>IF(SUMIFS('Daily BSE Equity Options'!$M:$M,'Daily BSE Equity Options'!$A:$A,$A219)=0,"",SUMIFS('Daily BSE Equity Options'!$M:$M,'Daily BSE Equity Options'!$A:$A,$A219))</f>
        <v/>
      </c>
      <c r="W219" s="9">
        <f>IF(OR(U219="",V219=""),"",U219+V219)</f>
        <v/>
      </c>
      <c r="X219" s="25">
        <f>IF(W219="","",U219/W219)</f>
        <v/>
      </c>
      <c r="Y219" s="25">
        <f>IF(W219="","",V219/W219)</f>
        <v/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19">
        <f>IF(G220="","",E220/G220)</f>
        <v/>
      </c>
      <c r="I220" s="19">
        <f>IF(G220="","",F220/G220)</f>
        <v/>
      </c>
      <c r="J220" s="26">
        <f>IFERROR(IF(OR(E220="",INDEX(E:E,MATCH(DATE(YEAR($A220)-1,MONTH($A220),DAY($A220)),$A:$A,0))=""),"",E220/INDEX(E:E,MATCH(DATE(YEAR($A220)-1,MONTH($A220),DAY($A220)),$A:$A,0))-1),"")</f>
        <v/>
      </c>
      <c r="K220" s="19">
        <f>IFERROR(IF(OR(F220="",INDEX(F:F,MATCH(DATE(YEAR($A220)-1,MONTH($A220),DAY($A220)),$A:$A,0))=""),"",F220/INDEX(F:F,MATCH(DATE(YEAR($A220)-1,MONTH($A220),DAY($A220)),$A:$A,0))-1),"")</f>
        <v/>
      </c>
      <c r="L220" s="19">
        <f>IFERROR(IF(OR(G220="",INDEX(G:G,MATCH(DATE(YEAR($A220)-1,MONTH($A220),DAY($A220)),$A:$A,0))=""),"",G220/INDEX(G:G,MATCH(DATE(YEAR($A220)-1,MONTH($A220),DAY($A220)),$A:$A,0))-1),"")</f>
        <v/>
      </c>
      <c r="M220" s="19">
        <f>IF(OR(E220="",E219=""),"",E220/E219-1)</f>
        <v/>
      </c>
      <c r="N220" s="19">
        <f>IF(OR(F220="",F219=""),"",F220/F219-1)</f>
        <v/>
      </c>
      <c r="O220" s="19">
        <f>IF(OR(G220="",G219=""),"",G220/G219-1)</f>
        <v/>
      </c>
      <c r="P220" s="22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IF(R220="","",P220/R220)</f>
        <v/>
      </c>
      <c r="T220" s="23">
        <f>IF(R220="","",Q220/R220)</f>
        <v/>
      </c>
      <c r="U220" s="24">
        <f>IF(SUMIFS('Daily NSE Equity Options'!$M:$M,'Daily NSE Equity Options'!$A:$A,$A220)=0,"",SUMIFS('Daily NSE Equity Options'!$M:$M,'Daily NSE Equity Options'!$A:$A,$A220))</f>
        <v/>
      </c>
      <c r="V220" s="9">
        <f>IF(SUMIFS('Daily BSE Equity Options'!$M:$M,'Daily BSE Equity Options'!$A:$A,$A220)=0,"",SUMIFS('Daily BSE Equity Options'!$M:$M,'Daily BSE Equity Options'!$A:$A,$A220))</f>
        <v/>
      </c>
      <c r="W220" s="9">
        <f>IF(OR(U220="",V220=""),"",U220+V220)</f>
        <v/>
      </c>
      <c r="X220" s="25">
        <f>IF(W220="","",U220/W220)</f>
        <v/>
      </c>
      <c r="Y220" s="25">
        <f>IF(W220="","",V220/W220)</f>
        <v/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19">
        <f>IF(G221="","",E221/G221)</f>
        <v/>
      </c>
      <c r="I221" s="19">
        <f>IF(G221="","",F221/G221)</f>
        <v/>
      </c>
      <c r="J221" s="26">
        <f>IFERROR(IF(OR(E221="",INDEX(E:E,MATCH(DATE(YEAR($A221)-1,MONTH($A221),DAY($A221)),$A:$A,0))=""),"",E221/INDEX(E:E,MATCH(DATE(YEAR($A221)-1,MONTH($A221),DAY($A221)),$A:$A,0))-1),"")</f>
        <v/>
      </c>
      <c r="K221" s="19">
        <f>IFERROR(IF(OR(F221="",INDEX(F:F,MATCH(DATE(YEAR($A221)-1,MONTH($A221),DAY($A221)),$A:$A,0))=""),"",F221/INDEX(F:F,MATCH(DATE(YEAR($A221)-1,MONTH($A221),DAY($A221)),$A:$A,0))-1),"")</f>
        <v/>
      </c>
      <c r="L221" s="19">
        <f>IFERROR(IF(OR(G221="",INDEX(G:G,MATCH(DATE(YEAR($A221)-1,MONTH($A221),DAY($A221)),$A:$A,0))=""),"",G221/INDEX(G:G,MATCH(DATE(YEAR($A221)-1,MONTH($A221),DAY($A221)),$A:$A,0))-1),"")</f>
        <v/>
      </c>
      <c r="M221" s="19">
        <f>IF(OR(E221="",E220=""),"",E221/E220-1)</f>
        <v/>
      </c>
      <c r="N221" s="19">
        <f>IF(OR(F221="",F220=""),"",F221/F220-1)</f>
        <v/>
      </c>
      <c r="O221" s="19">
        <f>IF(OR(G221="",G220=""),"",G221/G220-1)</f>
        <v/>
      </c>
      <c r="P221" s="22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IF(R221="","",P221/R221)</f>
        <v/>
      </c>
      <c r="T221" s="23">
        <f>IF(R221="","",Q221/R221)</f>
        <v/>
      </c>
      <c r="U221" s="24">
        <f>IF(SUMIFS('Daily NSE Equity Options'!$M:$M,'Daily NSE Equity Options'!$A:$A,$A221)=0,"",SUMIFS('Daily NSE Equity Options'!$M:$M,'Daily NSE Equity Options'!$A:$A,$A221))</f>
        <v/>
      </c>
      <c r="V221" s="9">
        <f>IF(SUMIFS('Daily BSE Equity Options'!$M:$M,'Daily BSE Equity Options'!$A:$A,$A221)=0,"",SUMIFS('Daily BSE Equity Options'!$M:$M,'Daily BSE Equity Options'!$A:$A,$A221))</f>
        <v/>
      </c>
      <c r="W221" s="9">
        <f>IF(OR(U221="",V221=""),"",U221+V221)</f>
        <v/>
      </c>
      <c r="X221" s="25">
        <f>IF(W221="","",U221/W221)</f>
        <v/>
      </c>
      <c r="Y221" s="25">
        <f>IF(W221="","",V221/W221)</f>
        <v/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19">
        <f>IF(G222="","",E222/G222)</f>
        <v/>
      </c>
      <c r="I222" s="19">
        <f>IF(G222="","",F222/G222)</f>
        <v/>
      </c>
      <c r="J222" s="26">
        <f>IFERROR(IF(OR(E222="",INDEX(E:E,MATCH(DATE(YEAR($A222)-1,MONTH($A222),DAY($A222)),$A:$A,0))=""),"",E222/INDEX(E:E,MATCH(DATE(YEAR($A222)-1,MONTH($A222),DAY($A222)),$A:$A,0))-1),"")</f>
        <v/>
      </c>
      <c r="K222" s="19">
        <f>IFERROR(IF(OR(F222="",INDEX(F:F,MATCH(DATE(YEAR($A222)-1,MONTH($A222),DAY($A222)),$A:$A,0))=""),"",F222/INDEX(F:F,MATCH(DATE(YEAR($A222)-1,MONTH($A222),DAY($A222)),$A:$A,0))-1),"")</f>
        <v/>
      </c>
      <c r="L222" s="19">
        <f>IFERROR(IF(OR(G222="",INDEX(G:G,MATCH(DATE(YEAR($A222)-1,MONTH($A222),DAY($A222)),$A:$A,0))=""),"",G222/INDEX(G:G,MATCH(DATE(YEAR($A222)-1,MONTH($A222),DAY($A222)),$A:$A,0))-1),"")</f>
        <v/>
      </c>
      <c r="M222" s="19">
        <f>IF(OR(E222="",E221=""),"",E222/E221-1)</f>
        <v/>
      </c>
      <c r="N222" s="19">
        <f>IF(OR(F222="",F221=""),"",F222/F221-1)</f>
        <v/>
      </c>
      <c r="O222" s="19">
        <f>IF(OR(G222="",G221=""),"",G222/G221-1)</f>
        <v/>
      </c>
      <c r="P222" s="22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IF(R222="","",P222/R222)</f>
        <v/>
      </c>
      <c r="T222" s="23">
        <f>IF(R222="","",Q222/R222)</f>
        <v/>
      </c>
      <c r="U222" s="24">
        <f>IF(SUMIFS('Daily NSE Equity Options'!$M:$M,'Daily NSE Equity Options'!$A:$A,$A222)=0,"",SUMIFS('Daily NSE Equity Options'!$M:$M,'Daily NSE Equity Options'!$A:$A,$A222))</f>
        <v/>
      </c>
      <c r="V222" s="9">
        <f>IF(SUMIFS('Daily BSE Equity Options'!$M:$M,'Daily BSE Equity Options'!$A:$A,$A222)=0,"",SUMIFS('Daily BSE Equity Options'!$M:$M,'Daily BSE Equity Options'!$A:$A,$A222))</f>
        <v/>
      </c>
      <c r="W222" s="9">
        <f>IF(OR(U222="",V222=""),"",U222+V222)</f>
        <v/>
      </c>
      <c r="X222" s="25">
        <f>IF(W222="","",U222/W222)</f>
        <v/>
      </c>
      <c r="Y222" s="25">
        <f>IF(W222="","",V222/W222)</f>
        <v/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19">
        <f>IF(G223="","",E223/G223)</f>
        <v/>
      </c>
      <c r="I223" s="19">
        <f>IF(G223="","",F223/G223)</f>
        <v/>
      </c>
      <c r="J223" s="26">
        <f>IFERROR(IF(OR(E223="",INDEX(E:E,MATCH(DATE(YEAR($A223)-1,MONTH($A223),DAY($A223)),$A:$A,0))=""),"",E223/INDEX(E:E,MATCH(DATE(YEAR($A223)-1,MONTH($A223),DAY($A223)),$A:$A,0))-1),"")</f>
        <v/>
      </c>
      <c r="K223" s="19">
        <f>IFERROR(IF(OR(F223="",INDEX(F:F,MATCH(DATE(YEAR($A223)-1,MONTH($A223),DAY($A223)),$A:$A,0))=""),"",F223/INDEX(F:F,MATCH(DATE(YEAR($A223)-1,MONTH($A223),DAY($A223)),$A:$A,0))-1),"")</f>
        <v/>
      </c>
      <c r="L223" s="19">
        <f>IFERROR(IF(OR(G223="",INDEX(G:G,MATCH(DATE(YEAR($A223)-1,MONTH($A223),DAY($A223)),$A:$A,0))=""),"",G223/INDEX(G:G,MATCH(DATE(YEAR($A223)-1,MONTH($A223),DAY($A223)),$A:$A,0))-1),"")</f>
        <v/>
      </c>
      <c r="M223" s="19">
        <f>IF(OR(E223="",E222=""),"",E223/E222-1)</f>
        <v/>
      </c>
      <c r="N223" s="19">
        <f>IF(OR(F223="",F222=""),"",F223/F222-1)</f>
        <v/>
      </c>
      <c r="O223" s="19">
        <f>IF(OR(G223="",G222=""),"",G223/G222-1)</f>
        <v/>
      </c>
      <c r="P223" s="22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IF(R223="","",P223/R223)</f>
        <v/>
      </c>
      <c r="T223" s="23">
        <f>IF(R223="","",Q223/R223)</f>
        <v/>
      </c>
      <c r="U223" s="24">
        <f>IF(SUMIFS('Daily NSE Equity Options'!$M:$M,'Daily NSE Equity Options'!$A:$A,$A223)=0,"",SUMIFS('Daily NSE Equity Options'!$M:$M,'Daily NSE Equity Options'!$A:$A,$A223))</f>
        <v/>
      </c>
      <c r="V223" s="9">
        <f>IF(SUMIFS('Daily BSE Equity Options'!$M:$M,'Daily BSE Equity Options'!$A:$A,$A223)=0,"",SUMIFS('Daily BSE Equity Options'!$M:$M,'Daily BSE Equity Options'!$A:$A,$A223))</f>
        <v/>
      </c>
      <c r="W223" s="9">
        <f>IF(OR(U223="",V223=""),"",U223+V223)</f>
        <v/>
      </c>
      <c r="X223" s="25">
        <f>IF(W223="","",U223/W223)</f>
        <v/>
      </c>
      <c r="Y223" s="25">
        <f>IF(W223="","",V223/W223)</f>
        <v/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19">
        <f>IF(G224="","",E224/G224)</f>
        <v/>
      </c>
      <c r="I224" s="19">
        <f>IF(G224="","",F224/G224)</f>
        <v/>
      </c>
      <c r="J224" s="26">
        <f>IFERROR(IF(OR(E224="",INDEX(E:E,MATCH(DATE(YEAR($A224)-1,MONTH($A224),DAY($A224)),$A:$A,0))=""),"",E224/INDEX(E:E,MATCH(DATE(YEAR($A224)-1,MONTH($A224),DAY($A224)),$A:$A,0))-1),"")</f>
        <v/>
      </c>
      <c r="K224" s="19">
        <f>IFERROR(IF(OR(F224="",INDEX(F:F,MATCH(DATE(YEAR($A224)-1,MONTH($A224),DAY($A224)),$A:$A,0))=""),"",F224/INDEX(F:F,MATCH(DATE(YEAR($A224)-1,MONTH($A224),DAY($A224)),$A:$A,0))-1),"")</f>
        <v/>
      </c>
      <c r="L224" s="19">
        <f>IFERROR(IF(OR(G224="",INDEX(G:G,MATCH(DATE(YEAR($A224)-1,MONTH($A224),DAY($A224)),$A:$A,0))=""),"",G224/INDEX(G:G,MATCH(DATE(YEAR($A224)-1,MONTH($A224),DAY($A224)),$A:$A,0))-1),"")</f>
        <v/>
      </c>
      <c r="M224" s="19">
        <f>IF(OR(E224="",E223=""),"",E224/E223-1)</f>
        <v/>
      </c>
      <c r="N224" s="19">
        <f>IF(OR(F224="",F223=""),"",F224/F223-1)</f>
        <v/>
      </c>
      <c r="O224" s="19">
        <f>IF(OR(G224="",G223=""),"",G224/G223-1)</f>
        <v/>
      </c>
      <c r="P224" s="22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IF(R224="","",P224/R224)</f>
        <v/>
      </c>
      <c r="T224" s="23">
        <f>IF(R224="","",Q224/R224)</f>
        <v/>
      </c>
      <c r="U224" s="24">
        <f>IF(SUMIFS('Daily NSE Equity Options'!$M:$M,'Daily NSE Equity Options'!$A:$A,$A224)=0,"",SUMIFS('Daily NSE Equity Options'!$M:$M,'Daily NSE Equity Options'!$A:$A,$A224))</f>
        <v/>
      </c>
      <c r="V224" s="9">
        <f>IF(SUMIFS('Daily BSE Equity Options'!$M:$M,'Daily BSE Equity Options'!$A:$A,$A224)=0,"",SUMIFS('Daily BSE Equity Options'!$M:$M,'Daily BSE Equity Options'!$A:$A,$A224))</f>
        <v/>
      </c>
      <c r="W224" s="9">
        <f>IF(OR(U224="",V224=""),"",U224+V224)</f>
        <v/>
      </c>
      <c r="X224" s="25">
        <f>IF(W224="","",U224/W224)</f>
        <v/>
      </c>
      <c r="Y224" s="25">
        <f>IF(W224="","",V224/W224)</f>
        <v/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19">
        <f>IF(G225="","",E225/G225)</f>
        <v/>
      </c>
      <c r="I225" s="19">
        <f>IF(G225="","",F225/G225)</f>
        <v/>
      </c>
      <c r="J225" s="26">
        <f>IFERROR(IF(OR(E225="",INDEX(E:E,MATCH(DATE(YEAR($A225)-1,MONTH($A225),DAY($A225)),$A:$A,0))=""),"",E225/INDEX(E:E,MATCH(DATE(YEAR($A225)-1,MONTH($A225),DAY($A225)),$A:$A,0))-1),"")</f>
        <v/>
      </c>
      <c r="K225" s="19">
        <f>IFERROR(IF(OR(F225="",INDEX(F:F,MATCH(DATE(YEAR($A225)-1,MONTH($A225),DAY($A225)),$A:$A,0))=""),"",F225/INDEX(F:F,MATCH(DATE(YEAR($A225)-1,MONTH($A225),DAY($A225)),$A:$A,0))-1),"")</f>
        <v/>
      </c>
      <c r="L225" s="19">
        <f>IFERROR(IF(OR(G225="",INDEX(G:G,MATCH(DATE(YEAR($A225)-1,MONTH($A225),DAY($A225)),$A:$A,0))=""),"",G225/INDEX(G:G,MATCH(DATE(YEAR($A225)-1,MONTH($A225),DAY($A225)),$A:$A,0))-1),"")</f>
        <v/>
      </c>
      <c r="M225" s="19">
        <f>IF(OR(E225="",E224=""),"",E225/E224-1)</f>
        <v/>
      </c>
      <c r="N225" s="19">
        <f>IF(OR(F225="",F224=""),"",F225/F224-1)</f>
        <v/>
      </c>
      <c r="O225" s="19">
        <f>IF(OR(G225="",G224=""),"",G225/G224-1)</f>
        <v/>
      </c>
      <c r="P225" s="22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IF(R225="","",P225/R225)</f>
        <v/>
      </c>
      <c r="T225" s="23">
        <f>IF(R225="","",Q225/R225)</f>
        <v/>
      </c>
      <c r="U225" s="24">
        <f>IF(SUMIFS('Daily NSE Equity Options'!$M:$M,'Daily NSE Equity Options'!$A:$A,$A225)=0,"",SUMIFS('Daily NSE Equity Options'!$M:$M,'Daily NSE Equity Options'!$A:$A,$A225))</f>
        <v/>
      </c>
      <c r="V225" s="9">
        <f>IF(SUMIFS('Daily BSE Equity Options'!$M:$M,'Daily BSE Equity Options'!$A:$A,$A225)=0,"",SUMIFS('Daily BSE Equity Options'!$M:$M,'Daily BSE Equity Options'!$A:$A,$A225))</f>
        <v/>
      </c>
      <c r="W225" s="9">
        <f>IF(OR(U225="",V225=""),"",U225+V225)</f>
        <v/>
      </c>
      <c r="X225" s="25">
        <f>IF(W225="","",U225/W225)</f>
        <v/>
      </c>
      <c r="Y225" s="25">
        <f>IF(W225="","",V225/W225)</f>
        <v/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19">
        <f>IF(G226="","",E226/G226)</f>
        <v/>
      </c>
      <c r="I226" s="19">
        <f>IF(G226="","",F226/G226)</f>
        <v/>
      </c>
      <c r="J226" s="26">
        <f>IFERROR(IF(OR(E226="",INDEX(E:E,MATCH(DATE(YEAR($A226)-1,MONTH($A226),DAY($A226)),$A:$A,0))=""),"",E226/INDEX(E:E,MATCH(DATE(YEAR($A226)-1,MONTH($A226),DAY($A226)),$A:$A,0))-1),"")</f>
        <v/>
      </c>
      <c r="K226" s="19">
        <f>IFERROR(IF(OR(F226="",INDEX(F:F,MATCH(DATE(YEAR($A226)-1,MONTH($A226),DAY($A226)),$A:$A,0))=""),"",F226/INDEX(F:F,MATCH(DATE(YEAR($A226)-1,MONTH($A226),DAY($A226)),$A:$A,0))-1),"")</f>
        <v/>
      </c>
      <c r="L226" s="19">
        <f>IFERROR(IF(OR(G226="",INDEX(G:G,MATCH(DATE(YEAR($A226)-1,MONTH($A226),DAY($A226)),$A:$A,0))=""),"",G226/INDEX(G:G,MATCH(DATE(YEAR($A226)-1,MONTH($A226),DAY($A226)),$A:$A,0))-1),"")</f>
        <v/>
      </c>
      <c r="M226" s="19">
        <f>IF(OR(E226="",E225=""),"",E226/E225-1)</f>
        <v/>
      </c>
      <c r="N226" s="19">
        <f>IF(OR(F226="",F225=""),"",F226/F225-1)</f>
        <v/>
      </c>
      <c r="O226" s="19">
        <f>IF(OR(G226="",G225=""),"",G226/G225-1)</f>
        <v/>
      </c>
      <c r="P226" s="22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IF(R226="","",P226/R226)</f>
        <v/>
      </c>
      <c r="T226" s="23">
        <f>IF(R226="","",Q226/R226)</f>
        <v/>
      </c>
      <c r="U226" s="24">
        <f>IF(SUMIFS('Daily NSE Equity Options'!$M:$M,'Daily NSE Equity Options'!$A:$A,$A226)=0,"",SUMIFS('Daily NSE Equity Options'!$M:$M,'Daily NSE Equity Options'!$A:$A,$A226))</f>
        <v/>
      </c>
      <c r="V226" s="9">
        <f>IF(SUMIFS('Daily BSE Equity Options'!$M:$M,'Daily BSE Equity Options'!$A:$A,$A226)=0,"",SUMIFS('Daily BSE Equity Options'!$M:$M,'Daily BSE Equity Options'!$A:$A,$A226))</f>
        <v/>
      </c>
      <c r="W226" s="9">
        <f>IF(OR(U226="",V226=""),"",U226+V226)</f>
        <v/>
      </c>
      <c r="X226" s="25">
        <f>IF(W226="","",U226/W226)</f>
        <v/>
      </c>
      <c r="Y226" s="25">
        <f>IF(W226="","",V226/W226)</f>
        <v/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19">
        <f>IF(G227="","",E227/G227)</f>
        <v/>
      </c>
      <c r="I227" s="19">
        <f>IF(G227="","",F227/G227)</f>
        <v/>
      </c>
      <c r="J227" s="26">
        <f>IFERROR(IF(OR(E227="",INDEX(E:E,MATCH(DATE(YEAR($A227)-1,MONTH($A227),DAY($A227)),$A:$A,0))=""),"",E227/INDEX(E:E,MATCH(DATE(YEAR($A227)-1,MONTH($A227),DAY($A227)),$A:$A,0))-1),"")</f>
        <v/>
      </c>
      <c r="K227" s="19">
        <f>IFERROR(IF(OR(F227="",INDEX(F:F,MATCH(DATE(YEAR($A227)-1,MONTH($A227),DAY($A227)),$A:$A,0))=""),"",F227/INDEX(F:F,MATCH(DATE(YEAR($A227)-1,MONTH($A227),DAY($A227)),$A:$A,0))-1),"")</f>
        <v/>
      </c>
      <c r="L227" s="19">
        <f>IFERROR(IF(OR(G227="",INDEX(G:G,MATCH(DATE(YEAR($A227)-1,MONTH($A227),DAY($A227)),$A:$A,0))=""),"",G227/INDEX(G:G,MATCH(DATE(YEAR($A227)-1,MONTH($A227),DAY($A227)),$A:$A,0))-1),"")</f>
        <v/>
      </c>
      <c r="M227" s="19">
        <f>IF(OR(E227="",E226=""),"",E227/E226-1)</f>
        <v/>
      </c>
      <c r="N227" s="19">
        <f>IF(OR(F227="",F226=""),"",F227/F226-1)</f>
        <v/>
      </c>
      <c r="O227" s="19">
        <f>IF(OR(G227="",G226=""),"",G227/G226-1)</f>
        <v/>
      </c>
      <c r="P227" s="22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IF(R227="","",P227/R227)</f>
        <v/>
      </c>
      <c r="T227" s="23">
        <f>IF(R227="","",Q227/R227)</f>
        <v/>
      </c>
      <c r="U227" s="24">
        <f>IF(SUMIFS('Daily NSE Equity Options'!$M:$M,'Daily NSE Equity Options'!$A:$A,$A227)=0,"",SUMIFS('Daily NSE Equity Options'!$M:$M,'Daily NSE Equity Options'!$A:$A,$A227))</f>
        <v/>
      </c>
      <c r="V227" s="9">
        <f>IF(SUMIFS('Daily BSE Equity Options'!$M:$M,'Daily BSE Equity Options'!$A:$A,$A227)=0,"",SUMIFS('Daily BSE Equity Options'!$M:$M,'Daily BSE Equity Options'!$A:$A,$A227))</f>
        <v/>
      </c>
      <c r="W227" s="9">
        <f>IF(OR(U227="",V227=""),"",U227+V227)</f>
        <v/>
      </c>
      <c r="X227" s="25">
        <f>IF(W227="","",U227/W227)</f>
        <v/>
      </c>
      <c r="Y227" s="25">
        <f>IF(W227="","",V227/W227)</f>
        <v/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19">
        <f>IF(G228="","",E228/G228)</f>
        <v/>
      </c>
      <c r="I228" s="19">
        <f>IF(G228="","",F228/G228)</f>
        <v/>
      </c>
      <c r="J228" s="26">
        <f>IFERROR(IF(OR(E228="",INDEX(E:E,MATCH(DATE(YEAR($A228)-1,MONTH($A228),DAY($A228)),$A:$A,0))=""),"",E228/INDEX(E:E,MATCH(DATE(YEAR($A228)-1,MONTH($A228),DAY($A228)),$A:$A,0))-1),"")</f>
        <v/>
      </c>
      <c r="K228" s="19">
        <f>IFERROR(IF(OR(F228="",INDEX(F:F,MATCH(DATE(YEAR($A228)-1,MONTH($A228),DAY($A228)),$A:$A,0))=""),"",F228/INDEX(F:F,MATCH(DATE(YEAR($A228)-1,MONTH($A228),DAY($A228)),$A:$A,0))-1),"")</f>
        <v/>
      </c>
      <c r="L228" s="19">
        <f>IFERROR(IF(OR(G228="",INDEX(G:G,MATCH(DATE(YEAR($A228)-1,MONTH($A228),DAY($A228)),$A:$A,0))=""),"",G228/INDEX(G:G,MATCH(DATE(YEAR($A228)-1,MONTH($A228),DAY($A228)),$A:$A,0))-1),"")</f>
        <v/>
      </c>
      <c r="M228" s="19">
        <f>IF(OR(E228="",E227=""),"",E228/E227-1)</f>
        <v/>
      </c>
      <c r="N228" s="19">
        <f>IF(OR(F228="",F227=""),"",F228/F227-1)</f>
        <v/>
      </c>
      <c r="O228" s="19">
        <f>IF(OR(G228="",G227=""),"",G228/G227-1)</f>
        <v/>
      </c>
      <c r="P228" s="22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IF(R228="","",P228/R228)</f>
        <v/>
      </c>
      <c r="T228" s="23">
        <f>IF(R228="","",Q228/R228)</f>
        <v/>
      </c>
      <c r="U228" s="24">
        <f>IF(SUMIFS('Daily NSE Equity Options'!$M:$M,'Daily NSE Equity Options'!$A:$A,$A228)=0,"",SUMIFS('Daily NSE Equity Options'!$M:$M,'Daily NSE Equity Options'!$A:$A,$A228))</f>
        <v/>
      </c>
      <c r="V228" s="9">
        <f>IF(SUMIFS('Daily BSE Equity Options'!$M:$M,'Daily BSE Equity Options'!$A:$A,$A228)=0,"",SUMIFS('Daily BSE Equity Options'!$M:$M,'Daily BSE Equity Options'!$A:$A,$A228))</f>
        <v/>
      </c>
      <c r="W228" s="9">
        <f>IF(OR(U228="",V228=""),"",U228+V228)</f>
        <v/>
      </c>
      <c r="X228" s="25">
        <f>IF(W228="","",U228/W228)</f>
        <v/>
      </c>
      <c r="Y228" s="25">
        <f>IF(W228="","",V228/W228)</f>
        <v/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19">
        <f>IF(G229="","",E229/G229)</f>
        <v/>
      </c>
      <c r="I229" s="19">
        <f>IF(G229="","",F229/G229)</f>
        <v/>
      </c>
      <c r="J229" s="26">
        <f>IFERROR(IF(OR(E229="",INDEX(E:E,MATCH(DATE(YEAR($A229)-1,MONTH($A229),DAY($A229)),$A:$A,0))=""),"",E229/INDEX(E:E,MATCH(DATE(YEAR($A229)-1,MONTH($A229),DAY($A229)),$A:$A,0))-1),"")</f>
        <v/>
      </c>
      <c r="K229" s="19">
        <f>IFERROR(IF(OR(F229="",INDEX(F:F,MATCH(DATE(YEAR($A229)-1,MONTH($A229),DAY($A229)),$A:$A,0))=""),"",F229/INDEX(F:F,MATCH(DATE(YEAR($A229)-1,MONTH($A229),DAY($A229)),$A:$A,0))-1),"")</f>
        <v/>
      </c>
      <c r="L229" s="19">
        <f>IFERROR(IF(OR(G229="",INDEX(G:G,MATCH(DATE(YEAR($A229)-1,MONTH($A229),DAY($A229)),$A:$A,0))=""),"",G229/INDEX(G:G,MATCH(DATE(YEAR($A229)-1,MONTH($A229),DAY($A229)),$A:$A,0))-1),"")</f>
        <v/>
      </c>
      <c r="M229" s="19">
        <f>IF(OR(E229="",E228=""),"",E229/E228-1)</f>
        <v/>
      </c>
      <c r="N229" s="19">
        <f>IF(OR(F229="",F228=""),"",F229/F228-1)</f>
        <v/>
      </c>
      <c r="O229" s="19">
        <f>IF(OR(G229="",G228=""),"",G229/G228-1)</f>
        <v/>
      </c>
      <c r="P229" s="22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IF(R229="","",P229/R229)</f>
        <v/>
      </c>
      <c r="T229" s="23">
        <f>IF(R229="","",Q229/R229)</f>
        <v/>
      </c>
      <c r="U229" s="24">
        <f>IF(SUMIFS('Daily NSE Equity Options'!$M:$M,'Daily NSE Equity Options'!$A:$A,$A229)=0,"",SUMIFS('Daily NSE Equity Options'!$M:$M,'Daily NSE Equity Options'!$A:$A,$A229))</f>
        <v/>
      </c>
      <c r="V229" s="9">
        <f>IF(SUMIFS('Daily BSE Equity Options'!$M:$M,'Daily BSE Equity Options'!$A:$A,$A229)=0,"",SUMIFS('Daily BSE Equity Options'!$M:$M,'Daily BSE Equity Options'!$A:$A,$A229))</f>
        <v/>
      </c>
      <c r="W229" s="9">
        <f>IF(OR(U229="",V229=""),"",U229+V229)</f>
        <v/>
      </c>
      <c r="X229" s="25">
        <f>IF(W229="","",U229/W229)</f>
        <v/>
      </c>
      <c r="Y229" s="25">
        <f>IF(W229="","",V229/W229)</f>
        <v/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19">
        <f>IF(G230="","",E230/G230)</f>
        <v/>
      </c>
      <c r="I230" s="19">
        <f>IF(G230="","",F230/G230)</f>
        <v/>
      </c>
      <c r="J230" s="26">
        <f>IFERROR(IF(OR(E230="",INDEX(E:E,MATCH(DATE(YEAR($A230)-1,MONTH($A230),DAY($A230)),$A:$A,0))=""),"",E230/INDEX(E:E,MATCH(DATE(YEAR($A230)-1,MONTH($A230),DAY($A230)),$A:$A,0))-1),"")</f>
        <v/>
      </c>
      <c r="K230" s="19">
        <f>IFERROR(IF(OR(F230="",INDEX(F:F,MATCH(DATE(YEAR($A230)-1,MONTH($A230),DAY($A230)),$A:$A,0))=""),"",F230/INDEX(F:F,MATCH(DATE(YEAR($A230)-1,MONTH($A230),DAY($A230)),$A:$A,0))-1),"")</f>
        <v/>
      </c>
      <c r="L230" s="19">
        <f>IFERROR(IF(OR(G230="",INDEX(G:G,MATCH(DATE(YEAR($A230)-1,MONTH($A230),DAY($A230)),$A:$A,0))=""),"",G230/INDEX(G:G,MATCH(DATE(YEAR($A230)-1,MONTH($A230),DAY($A230)),$A:$A,0))-1),"")</f>
        <v/>
      </c>
      <c r="M230" s="19">
        <f>IF(OR(E230="",E229=""),"",E230/E229-1)</f>
        <v/>
      </c>
      <c r="N230" s="19">
        <f>IF(OR(F230="",F229=""),"",F230/F229-1)</f>
        <v/>
      </c>
      <c r="O230" s="19">
        <f>IF(OR(G230="",G229=""),"",G230/G229-1)</f>
        <v/>
      </c>
      <c r="P230" s="22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IF(R230="","",P230/R230)</f>
        <v/>
      </c>
      <c r="T230" s="23">
        <f>IF(R230="","",Q230/R230)</f>
        <v/>
      </c>
      <c r="U230" s="24">
        <f>IF(SUMIFS('Daily NSE Equity Options'!$M:$M,'Daily NSE Equity Options'!$A:$A,$A230)=0,"",SUMIFS('Daily NSE Equity Options'!$M:$M,'Daily NSE Equity Options'!$A:$A,$A230))</f>
        <v/>
      </c>
      <c r="V230" s="9">
        <f>IF(SUMIFS('Daily BSE Equity Options'!$M:$M,'Daily BSE Equity Options'!$A:$A,$A230)=0,"",SUMIFS('Daily BSE Equity Options'!$M:$M,'Daily BSE Equity Options'!$A:$A,$A230))</f>
        <v/>
      </c>
      <c r="W230" s="9">
        <f>IF(OR(U230="",V230=""),"",U230+V230)</f>
        <v/>
      </c>
      <c r="X230" s="25">
        <f>IF(W230="","",U230/W230)</f>
        <v/>
      </c>
      <c r="Y230" s="25">
        <f>IF(W230="","",V230/W230)</f>
        <v/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19">
        <f>IF(G231="","",E231/G231)</f>
        <v/>
      </c>
      <c r="I231" s="19">
        <f>IF(G231="","",F231/G231)</f>
        <v/>
      </c>
      <c r="J231" s="26">
        <f>IFERROR(IF(OR(E231="",INDEX(E:E,MATCH(DATE(YEAR($A231)-1,MONTH($A231),DAY($A231)),$A:$A,0))=""),"",E231/INDEX(E:E,MATCH(DATE(YEAR($A231)-1,MONTH($A231),DAY($A231)),$A:$A,0))-1),"")</f>
        <v/>
      </c>
      <c r="K231" s="19">
        <f>IFERROR(IF(OR(F231="",INDEX(F:F,MATCH(DATE(YEAR($A231)-1,MONTH($A231),DAY($A231)),$A:$A,0))=""),"",F231/INDEX(F:F,MATCH(DATE(YEAR($A231)-1,MONTH($A231),DAY($A231)),$A:$A,0))-1),"")</f>
        <v/>
      </c>
      <c r="L231" s="19">
        <f>IFERROR(IF(OR(G231="",INDEX(G:G,MATCH(DATE(YEAR($A231)-1,MONTH($A231),DAY($A231)),$A:$A,0))=""),"",G231/INDEX(G:G,MATCH(DATE(YEAR($A231)-1,MONTH($A231),DAY($A231)),$A:$A,0))-1),"")</f>
        <v/>
      </c>
      <c r="M231" s="19">
        <f>IF(OR(E231="",E230=""),"",E231/E230-1)</f>
        <v/>
      </c>
      <c r="N231" s="19">
        <f>IF(OR(F231="",F230=""),"",F231/F230-1)</f>
        <v/>
      </c>
      <c r="O231" s="19">
        <f>IF(OR(G231="",G230=""),"",G231/G230-1)</f>
        <v/>
      </c>
      <c r="P231" s="22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IF(R231="","",P231/R231)</f>
        <v/>
      </c>
      <c r="T231" s="23">
        <f>IF(R231="","",Q231/R231)</f>
        <v/>
      </c>
      <c r="U231" s="24">
        <f>IF(SUMIFS('Daily NSE Equity Options'!$M:$M,'Daily NSE Equity Options'!$A:$A,$A231)=0,"",SUMIFS('Daily NSE Equity Options'!$M:$M,'Daily NSE Equity Options'!$A:$A,$A231))</f>
        <v/>
      </c>
      <c r="V231" s="9">
        <f>IF(SUMIFS('Daily BSE Equity Options'!$M:$M,'Daily BSE Equity Options'!$A:$A,$A231)=0,"",SUMIFS('Daily BSE Equity Options'!$M:$M,'Daily BSE Equity Options'!$A:$A,$A231))</f>
        <v/>
      </c>
      <c r="W231" s="9">
        <f>IF(OR(U231="",V231=""),"",U231+V231)</f>
        <v/>
      </c>
      <c r="X231" s="25">
        <f>IF(W231="","",U231/W231)</f>
        <v/>
      </c>
      <c r="Y231" s="25">
        <f>IF(W231="","",V231/W231)</f>
        <v/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19">
        <f>IF(G232="","",E232/G232)</f>
        <v/>
      </c>
      <c r="I232" s="19">
        <f>IF(G232="","",F232/G232)</f>
        <v/>
      </c>
      <c r="J232" s="26">
        <f>IFERROR(IF(OR(E232="",INDEX(E:E,MATCH(DATE(YEAR($A232)-1,MONTH($A232),DAY($A232)),$A:$A,0))=""),"",E232/INDEX(E:E,MATCH(DATE(YEAR($A232)-1,MONTH($A232),DAY($A232)),$A:$A,0))-1),"")</f>
        <v/>
      </c>
      <c r="K232" s="19">
        <f>IFERROR(IF(OR(F232="",INDEX(F:F,MATCH(DATE(YEAR($A232)-1,MONTH($A232),DAY($A232)),$A:$A,0))=""),"",F232/INDEX(F:F,MATCH(DATE(YEAR($A232)-1,MONTH($A232),DAY($A232)),$A:$A,0))-1),"")</f>
        <v/>
      </c>
      <c r="L232" s="19">
        <f>IFERROR(IF(OR(G232="",INDEX(G:G,MATCH(DATE(YEAR($A232)-1,MONTH($A232),DAY($A232)),$A:$A,0))=""),"",G232/INDEX(G:G,MATCH(DATE(YEAR($A232)-1,MONTH($A232),DAY($A232)),$A:$A,0))-1),"")</f>
        <v/>
      </c>
      <c r="M232" s="19">
        <f>IF(OR(E232="",E231=""),"",E232/E231-1)</f>
        <v/>
      </c>
      <c r="N232" s="19">
        <f>IF(OR(F232="",F231=""),"",F232/F231-1)</f>
        <v/>
      </c>
      <c r="O232" s="19">
        <f>IF(OR(G232="",G231=""),"",G232/G231-1)</f>
        <v/>
      </c>
      <c r="P232" s="22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IF(R232="","",P232/R232)</f>
        <v/>
      </c>
      <c r="T232" s="23">
        <f>IF(R232="","",Q232/R232)</f>
        <v/>
      </c>
      <c r="U232" s="24">
        <f>IF(SUMIFS('Daily NSE Equity Options'!$M:$M,'Daily NSE Equity Options'!$A:$A,$A232)=0,"",SUMIFS('Daily NSE Equity Options'!$M:$M,'Daily NSE Equity Options'!$A:$A,$A232))</f>
        <v/>
      </c>
      <c r="V232" s="9">
        <f>IF(SUMIFS('Daily BSE Equity Options'!$M:$M,'Daily BSE Equity Options'!$A:$A,$A232)=0,"",SUMIFS('Daily BSE Equity Options'!$M:$M,'Daily BSE Equity Options'!$A:$A,$A232))</f>
        <v/>
      </c>
      <c r="W232" s="9">
        <f>IF(OR(U232="",V232=""),"",U232+V232)</f>
        <v/>
      </c>
      <c r="X232" s="25">
        <f>IF(W232="","",U232/W232)</f>
        <v/>
      </c>
      <c r="Y232" s="25">
        <f>IF(W232="","",V232/W232)</f>
        <v/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19">
        <f>IF(G233="","",E233/G233)</f>
        <v/>
      </c>
      <c r="I233" s="19">
        <f>IF(G233="","",F233/G233)</f>
        <v/>
      </c>
      <c r="J233" s="26">
        <f>IFERROR(IF(OR(E233="",INDEX(E:E,MATCH(DATE(YEAR($A233)-1,MONTH($A233),DAY($A233)),$A:$A,0))=""),"",E233/INDEX(E:E,MATCH(DATE(YEAR($A233)-1,MONTH($A233),DAY($A233)),$A:$A,0))-1),"")</f>
        <v/>
      </c>
      <c r="K233" s="19">
        <f>IFERROR(IF(OR(F233="",INDEX(F:F,MATCH(DATE(YEAR($A233)-1,MONTH($A233),DAY($A233)),$A:$A,0))=""),"",F233/INDEX(F:F,MATCH(DATE(YEAR($A233)-1,MONTH($A233),DAY($A233)),$A:$A,0))-1),"")</f>
        <v/>
      </c>
      <c r="L233" s="19">
        <f>IFERROR(IF(OR(G233="",INDEX(G:G,MATCH(DATE(YEAR($A233)-1,MONTH($A233),DAY($A233)),$A:$A,0))=""),"",G233/INDEX(G:G,MATCH(DATE(YEAR($A233)-1,MONTH($A233),DAY($A233)),$A:$A,0))-1),"")</f>
        <v/>
      </c>
      <c r="M233" s="19">
        <f>IF(OR(E233="",E232=""),"",E233/E232-1)</f>
        <v/>
      </c>
      <c r="N233" s="19">
        <f>IF(OR(F233="",F232=""),"",F233/F232-1)</f>
        <v/>
      </c>
      <c r="O233" s="19">
        <f>IF(OR(G233="",G232=""),"",G233/G232-1)</f>
        <v/>
      </c>
      <c r="P233" s="22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IF(R233="","",P233/R233)</f>
        <v/>
      </c>
      <c r="T233" s="23">
        <f>IF(R233="","",Q233/R233)</f>
        <v/>
      </c>
      <c r="U233" s="24">
        <f>IF(SUMIFS('Daily NSE Equity Options'!$M:$M,'Daily NSE Equity Options'!$A:$A,$A233)=0,"",SUMIFS('Daily NSE Equity Options'!$M:$M,'Daily NSE Equity Options'!$A:$A,$A233))</f>
        <v/>
      </c>
      <c r="V233" s="9">
        <f>IF(SUMIFS('Daily BSE Equity Options'!$M:$M,'Daily BSE Equity Options'!$A:$A,$A233)=0,"",SUMIFS('Daily BSE Equity Options'!$M:$M,'Daily BSE Equity Options'!$A:$A,$A233))</f>
        <v/>
      </c>
      <c r="W233" s="9">
        <f>IF(OR(U233="",V233=""),"",U233+V233)</f>
        <v/>
      </c>
      <c r="X233" s="25">
        <f>IF(W233="","",U233/W233)</f>
        <v/>
      </c>
      <c r="Y233" s="25">
        <f>IF(W233="","",V233/W233)</f>
        <v/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19">
        <f>IF(G234="","",E234/G234)</f>
        <v/>
      </c>
      <c r="I234" s="19">
        <f>IF(G234="","",F234/G234)</f>
        <v/>
      </c>
      <c r="J234" s="26">
        <f>IFERROR(IF(OR(E234="",INDEX(E:E,MATCH(DATE(YEAR($A234)-1,MONTH($A234),DAY($A234)),$A:$A,0))=""),"",E234/INDEX(E:E,MATCH(DATE(YEAR($A234)-1,MONTH($A234),DAY($A234)),$A:$A,0))-1),"")</f>
        <v/>
      </c>
      <c r="K234" s="19">
        <f>IFERROR(IF(OR(F234="",INDEX(F:F,MATCH(DATE(YEAR($A234)-1,MONTH($A234),DAY($A234)),$A:$A,0))=""),"",F234/INDEX(F:F,MATCH(DATE(YEAR($A234)-1,MONTH($A234),DAY($A234)),$A:$A,0))-1),"")</f>
        <v/>
      </c>
      <c r="L234" s="19">
        <f>IFERROR(IF(OR(G234="",INDEX(G:G,MATCH(DATE(YEAR($A234)-1,MONTH($A234),DAY($A234)),$A:$A,0))=""),"",G234/INDEX(G:G,MATCH(DATE(YEAR($A234)-1,MONTH($A234),DAY($A234)),$A:$A,0))-1),"")</f>
        <v/>
      </c>
      <c r="M234" s="19">
        <f>IF(OR(E234="",E233=""),"",E234/E233-1)</f>
        <v/>
      </c>
      <c r="N234" s="19">
        <f>IF(OR(F234="",F233=""),"",F234/F233-1)</f>
        <v/>
      </c>
      <c r="O234" s="19">
        <f>IF(OR(G234="",G233=""),"",G234/G233-1)</f>
        <v/>
      </c>
      <c r="P234" s="22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IF(R234="","",P234/R234)</f>
        <v/>
      </c>
      <c r="T234" s="23">
        <f>IF(R234="","",Q234/R234)</f>
        <v/>
      </c>
      <c r="U234" s="24">
        <f>IF(SUMIFS('Daily NSE Equity Options'!$M:$M,'Daily NSE Equity Options'!$A:$A,$A234)=0,"",SUMIFS('Daily NSE Equity Options'!$M:$M,'Daily NSE Equity Options'!$A:$A,$A234))</f>
        <v/>
      </c>
      <c r="V234" s="9">
        <f>IF(SUMIFS('Daily BSE Equity Options'!$M:$M,'Daily BSE Equity Options'!$A:$A,$A234)=0,"",SUMIFS('Daily BSE Equity Options'!$M:$M,'Daily BSE Equity Options'!$A:$A,$A234))</f>
        <v/>
      </c>
      <c r="W234" s="9">
        <f>IF(OR(U234="",V234=""),"",U234+V234)</f>
        <v/>
      </c>
      <c r="X234" s="25">
        <f>IF(W234="","",U234/W234)</f>
        <v/>
      </c>
      <c r="Y234" s="25">
        <f>IF(W234="","",V234/W234)</f>
        <v/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19">
        <f>IF(G235="","",E235/G235)</f>
        <v/>
      </c>
      <c r="I235" s="19">
        <f>IF(G235="","",F235/G235)</f>
        <v/>
      </c>
      <c r="J235" s="26">
        <f>IFERROR(IF(OR(E235="",INDEX(E:E,MATCH(DATE(YEAR($A235)-1,MONTH($A235),DAY($A235)),$A:$A,0))=""),"",E235/INDEX(E:E,MATCH(DATE(YEAR($A235)-1,MONTH($A235),DAY($A235)),$A:$A,0))-1),"")</f>
        <v/>
      </c>
      <c r="K235" s="19">
        <f>IFERROR(IF(OR(F235="",INDEX(F:F,MATCH(DATE(YEAR($A235)-1,MONTH($A235),DAY($A235)),$A:$A,0))=""),"",F235/INDEX(F:F,MATCH(DATE(YEAR($A235)-1,MONTH($A235),DAY($A235)),$A:$A,0))-1),"")</f>
        <v/>
      </c>
      <c r="L235" s="19">
        <f>IFERROR(IF(OR(G235="",INDEX(G:G,MATCH(DATE(YEAR($A235)-1,MONTH($A235),DAY($A235)),$A:$A,0))=""),"",G235/INDEX(G:G,MATCH(DATE(YEAR($A235)-1,MONTH($A235),DAY($A235)),$A:$A,0))-1),"")</f>
        <v/>
      </c>
      <c r="M235" s="19">
        <f>IF(OR(E235="",E234=""),"",E235/E234-1)</f>
        <v/>
      </c>
      <c r="N235" s="19">
        <f>IF(OR(F235="",F234=""),"",F235/F234-1)</f>
        <v/>
      </c>
      <c r="O235" s="19">
        <f>IF(OR(G235="",G234=""),"",G235/G234-1)</f>
        <v/>
      </c>
      <c r="P235" s="22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IF(R235="","",P235/R235)</f>
        <v/>
      </c>
      <c r="T235" s="23">
        <f>IF(R235="","",Q235/R235)</f>
        <v/>
      </c>
      <c r="U235" s="24">
        <f>IF(SUMIFS('Daily NSE Equity Options'!$M:$M,'Daily NSE Equity Options'!$A:$A,$A235)=0,"",SUMIFS('Daily NSE Equity Options'!$M:$M,'Daily NSE Equity Options'!$A:$A,$A235))</f>
        <v/>
      </c>
      <c r="V235" s="9">
        <f>IF(SUMIFS('Daily BSE Equity Options'!$M:$M,'Daily BSE Equity Options'!$A:$A,$A235)=0,"",SUMIFS('Daily BSE Equity Options'!$M:$M,'Daily BSE Equity Options'!$A:$A,$A235))</f>
        <v/>
      </c>
      <c r="W235" s="9">
        <f>IF(OR(U235="",V235=""),"",U235+V235)</f>
        <v/>
      </c>
      <c r="X235" s="25">
        <f>IF(W235="","",U235/W235)</f>
        <v/>
      </c>
      <c r="Y235" s="25">
        <f>IF(W235="","",V235/W235)</f>
        <v/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19">
        <f>IF(G236="","",E236/G236)</f>
        <v/>
      </c>
      <c r="I236" s="19">
        <f>IF(G236="","",F236/G236)</f>
        <v/>
      </c>
      <c r="J236" s="26">
        <f>IFERROR(IF(OR(E236="",INDEX(E:E,MATCH(DATE(YEAR($A236)-1,MONTH($A236),DAY($A236)),$A:$A,0))=""),"",E236/INDEX(E:E,MATCH(DATE(YEAR($A236)-1,MONTH($A236),DAY($A236)),$A:$A,0))-1),"")</f>
        <v/>
      </c>
      <c r="K236" s="19">
        <f>IFERROR(IF(OR(F236="",INDEX(F:F,MATCH(DATE(YEAR($A236)-1,MONTH($A236),DAY($A236)),$A:$A,0))=""),"",F236/INDEX(F:F,MATCH(DATE(YEAR($A236)-1,MONTH($A236),DAY($A236)),$A:$A,0))-1),"")</f>
        <v/>
      </c>
      <c r="L236" s="19">
        <f>IFERROR(IF(OR(G236="",INDEX(G:G,MATCH(DATE(YEAR($A236)-1,MONTH($A236),DAY($A236)),$A:$A,0))=""),"",G236/INDEX(G:G,MATCH(DATE(YEAR($A236)-1,MONTH($A236),DAY($A236)),$A:$A,0))-1),"")</f>
        <v/>
      </c>
      <c r="M236" s="19">
        <f>IF(OR(E236="",E235=""),"",E236/E235-1)</f>
        <v/>
      </c>
      <c r="N236" s="19">
        <f>IF(OR(F236="",F235=""),"",F236/F235-1)</f>
        <v/>
      </c>
      <c r="O236" s="19">
        <f>IF(OR(G236="",G235=""),"",G236/G235-1)</f>
        <v/>
      </c>
      <c r="P236" s="22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IF(R236="","",P236/R236)</f>
        <v/>
      </c>
      <c r="T236" s="23">
        <f>IF(R236="","",Q236/R236)</f>
        <v/>
      </c>
      <c r="U236" s="24">
        <f>IF(SUMIFS('Daily NSE Equity Options'!$M:$M,'Daily NSE Equity Options'!$A:$A,$A236)=0,"",SUMIFS('Daily NSE Equity Options'!$M:$M,'Daily NSE Equity Options'!$A:$A,$A236))</f>
        <v/>
      </c>
      <c r="V236" s="9">
        <f>IF(SUMIFS('Daily BSE Equity Options'!$M:$M,'Daily BSE Equity Options'!$A:$A,$A236)=0,"",SUMIFS('Daily BSE Equity Options'!$M:$M,'Daily BSE Equity Options'!$A:$A,$A236))</f>
        <v/>
      </c>
      <c r="W236" s="9">
        <f>IF(OR(U236="",V236=""),"",U236+V236)</f>
        <v/>
      </c>
      <c r="X236" s="25">
        <f>IF(W236="","",U236/W236)</f>
        <v/>
      </c>
      <c r="Y236" s="25">
        <f>IF(W236="","",V236/W236)</f>
        <v/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19">
        <f>IF(G237="","",E237/G237)</f>
        <v/>
      </c>
      <c r="I237" s="19">
        <f>IF(G237="","",F237/G237)</f>
        <v/>
      </c>
      <c r="J237" s="26">
        <f>IFERROR(IF(OR(E237="",INDEX(E:E,MATCH(DATE(YEAR($A237)-1,MONTH($A237),DAY($A237)),$A:$A,0))=""),"",E237/INDEX(E:E,MATCH(DATE(YEAR($A237)-1,MONTH($A237),DAY($A237)),$A:$A,0))-1),"")</f>
        <v/>
      </c>
      <c r="K237" s="19">
        <f>IFERROR(IF(OR(F237="",INDEX(F:F,MATCH(DATE(YEAR($A237)-1,MONTH($A237),DAY($A237)),$A:$A,0))=""),"",F237/INDEX(F:F,MATCH(DATE(YEAR($A237)-1,MONTH($A237),DAY($A237)),$A:$A,0))-1),"")</f>
        <v/>
      </c>
      <c r="L237" s="19">
        <f>IFERROR(IF(OR(G237="",INDEX(G:G,MATCH(DATE(YEAR($A237)-1,MONTH($A237),DAY($A237)),$A:$A,0))=""),"",G237/INDEX(G:G,MATCH(DATE(YEAR($A237)-1,MONTH($A237),DAY($A237)),$A:$A,0))-1),"")</f>
        <v/>
      </c>
      <c r="M237" s="19">
        <f>IF(OR(E237="",E236=""),"",E237/E236-1)</f>
        <v/>
      </c>
      <c r="N237" s="19">
        <f>IF(OR(F237="",F236=""),"",F237/F236-1)</f>
        <v/>
      </c>
      <c r="O237" s="19">
        <f>IF(OR(G237="",G236=""),"",G237/G236-1)</f>
        <v/>
      </c>
      <c r="P237" s="22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IF(R237="","",P237/R237)</f>
        <v/>
      </c>
      <c r="T237" s="23">
        <f>IF(R237="","",Q237/R237)</f>
        <v/>
      </c>
      <c r="U237" s="24">
        <f>IF(SUMIFS('Daily NSE Equity Options'!$M:$M,'Daily NSE Equity Options'!$A:$A,$A237)=0,"",SUMIFS('Daily NSE Equity Options'!$M:$M,'Daily NSE Equity Options'!$A:$A,$A237))</f>
        <v/>
      </c>
      <c r="V237" s="9">
        <f>IF(SUMIFS('Daily BSE Equity Options'!$M:$M,'Daily BSE Equity Options'!$A:$A,$A237)=0,"",SUMIFS('Daily BSE Equity Options'!$M:$M,'Daily BSE Equity Options'!$A:$A,$A237))</f>
        <v/>
      </c>
      <c r="W237" s="9">
        <f>IF(OR(U237="",V237=""),"",U237+V237)</f>
        <v/>
      </c>
      <c r="X237" s="25">
        <f>IF(W237="","",U237/W237)</f>
        <v/>
      </c>
      <c r="Y237" s="25">
        <f>IF(W237="","",V237/W237)</f>
        <v/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19">
        <f>IF(G238="","",E238/G238)</f>
        <v/>
      </c>
      <c r="I238" s="19">
        <f>IF(G238="","",F238/G238)</f>
        <v/>
      </c>
      <c r="J238" s="26">
        <f>IFERROR(IF(OR(E238="",INDEX(E:E,MATCH(DATE(YEAR($A238)-1,MONTH($A238),DAY($A238)),$A:$A,0))=""),"",E238/INDEX(E:E,MATCH(DATE(YEAR($A238)-1,MONTH($A238),DAY($A238)),$A:$A,0))-1),"")</f>
        <v/>
      </c>
      <c r="K238" s="19">
        <f>IFERROR(IF(OR(F238="",INDEX(F:F,MATCH(DATE(YEAR($A238)-1,MONTH($A238),DAY($A238)),$A:$A,0))=""),"",F238/INDEX(F:F,MATCH(DATE(YEAR($A238)-1,MONTH($A238),DAY($A238)),$A:$A,0))-1),"")</f>
        <v/>
      </c>
      <c r="L238" s="19">
        <f>IFERROR(IF(OR(G238="",INDEX(G:G,MATCH(DATE(YEAR($A238)-1,MONTH($A238),DAY($A238)),$A:$A,0))=""),"",G238/INDEX(G:G,MATCH(DATE(YEAR($A238)-1,MONTH($A238),DAY($A238)),$A:$A,0))-1),"")</f>
        <v/>
      </c>
      <c r="M238" s="19">
        <f>IF(OR(E238="",E237=""),"",E238/E237-1)</f>
        <v/>
      </c>
      <c r="N238" s="19">
        <f>IF(OR(F238="",F237=""),"",F238/F237-1)</f>
        <v/>
      </c>
      <c r="O238" s="19">
        <f>IF(OR(G238="",G237=""),"",G238/G237-1)</f>
        <v/>
      </c>
      <c r="P238" s="22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IF(R238="","",P238/R238)</f>
        <v/>
      </c>
      <c r="T238" s="23">
        <f>IF(R238="","",Q238/R238)</f>
        <v/>
      </c>
      <c r="U238" s="24">
        <f>IF(SUMIFS('Daily NSE Equity Options'!$M:$M,'Daily NSE Equity Options'!$A:$A,$A238)=0,"",SUMIFS('Daily NSE Equity Options'!$M:$M,'Daily NSE Equity Options'!$A:$A,$A238))</f>
        <v/>
      </c>
      <c r="V238" s="9">
        <f>IF(SUMIFS('Daily BSE Equity Options'!$M:$M,'Daily BSE Equity Options'!$A:$A,$A238)=0,"",SUMIFS('Daily BSE Equity Options'!$M:$M,'Daily BSE Equity Options'!$A:$A,$A238))</f>
        <v/>
      </c>
      <c r="W238" s="9">
        <f>IF(OR(U238="",V238=""),"",U238+V238)</f>
        <v/>
      </c>
      <c r="X238" s="25">
        <f>IF(W238="","",U238/W238)</f>
        <v/>
      </c>
      <c r="Y238" s="25">
        <f>IF(W238="","",V238/W238)</f>
        <v/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19">
        <f>IF(G239="","",E239/G239)</f>
        <v/>
      </c>
      <c r="I239" s="19">
        <f>IF(G239="","",F239/G239)</f>
        <v/>
      </c>
      <c r="J239" s="26">
        <f>IFERROR(IF(OR(E239="",INDEX(E:E,MATCH(DATE(YEAR($A239)-1,MONTH($A239),DAY($A239)),$A:$A,0))=""),"",E239/INDEX(E:E,MATCH(DATE(YEAR($A239)-1,MONTH($A239),DAY($A239)),$A:$A,0))-1),"")</f>
        <v/>
      </c>
      <c r="K239" s="19">
        <f>IFERROR(IF(OR(F239="",INDEX(F:F,MATCH(DATE(YEAR($A239)-1,MONTH($A239),DAY($A239)),$A:$A,0))=""),"",F239/INDEX(F:F,MATCH(DATE(YEAR($A239)-1,MONTH($A239),DAY($A239)),$A:$A,0))-1),"")</f>
        <v/>
      </c>
      <c r="L239" s="19">
        <f>IFERROR(IF(OR(G239="",INDEX(G:G,MATCH(DATE(YEAR($A239)-1,MONTH($A239),DAY($A239)),$A:$A,0))=""),"",G239/INDEX(G:G,MATCH(DATE(YEAR($A239)-1,MONTH($A239),DAY($A239)),$A:$A,0))-1),"")</f>
        <v/>
      </c>
      <c r="M239" s="19">
        <f>IF(OR(E239="",E238=""),"",E239/E238-1)</f>
        <v/>
      </c>
      <c r="N239" s="19">
        <f>IF(OR(F239="",F238=""),"",F239/F238-1)</f>
        <v/>
      </c>
      <c r="O239" s="19">
        <f>IF(OR(G239="",G238=""),"",G239/G238-1)</f>
        <v/>
      </c>
      <c r="P239" s="22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IF(R239="","",P239/R239)</f>
        <v/>
      </c>
      <c r="T239" s="23">
        <f>IF(R239="","",Q239/R239)</f>
        <v/>
      </c>
      <c r="U239" s="24">
        <f>IF(SUMIFS('Daily NSE Equity Options'!$M:$M,'Daily NSE Equity Options'!$A:$A,$A239)=0,"",SUMIFS('Daily NSE Equity Options'!$M:$M,'Daily NSE Equity Options'!$A:$A,$A239))</f>
        <v/>
      </c>
      <c r="V239" s="9">
        <f>IF(SUMIFS('Daily BSE Equity Options'!$M:$M,'Daily BSE Equity Options'!$A:$A,$A239)=0,"",SUMIFS('Daily BSE Equity Options'!$M:$M,'Daily BSE Equity Options'!$A:$A,$A239))</f>
        <v/>
      </c>
      <c r="W239" s="9">
        <f>IF(OR(U239="",V239=""),"",U239+V239)</f>
        <v/>
      </c>
      <c r="X239" s="25">
        <f>IF(W239="","",U239/W239)</f>
        <v/>
      </c>
      <c r="Y239" s="25">
        <f>IF(W239="","",V239/W239)</f>
        <v/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19">
        <f>IF(G240="","",E240/G240)</f>
        <v/>
      </c>
      <c r="I240" s="19">
        <f>IF(G240="","",F240/G240)</f>
        <v/>
      </c>
      <c r="J240" s="26">
        <f>IFERROR(IF(OR(E240="",INDEX(E:E,MATCH(DATE(YEAR($A240)-1,MONTH($A240),DAY($A240)),$A:$A,0))=""),"",E240/INDEX(E:E,MATCH(DATE(YEAR($A240)-1,MONTH($A240),DAY($A240)),$A:$A,0))-1),"")</f>
        <v/>
      </c>
      <c r="K240" s="19">
        <f>IFERROR(IF(OR(F240="",INDEX(F:F,MATCH(DATE(YEAR($A240)-1,MONTH($A240),DAY($A240)),$A:$A,0))=""),"",F240/INDEX(F:F,MATCH(DATE(YEAR($A240)-1,MONTH($A240),DAY($A240)),$A:$A,0))-1),"")</f>
        <v/>
      </c>
      <c r="L240" s="19">
        <f>IFERROR(IF(OR(G240="",INDEX(G:G,MATCH(DATE(YEAR($A240)-1,MONTH($A240),DAY($A240)),$A:$A,0))=""),"",G240/INDEX(G:G,MATCH(DATE(YEAR($A240)-1,MONTH($A240),DAY($A240)),$A:$A,0))-1),"")</f>
        <v/>
      </c>
      <c r="M240" s="19">
        <f>IF(OR(E240="",E239=""),"",E240/E239-1)</f>
        <v/>
      </c>
      <c r="N240" s="19">
        <f>IF(OR(F240="",F239=""),"",F240/F239-1)</f>
        <v/>
      </c>
      <c r="O240" s="19">
        <f>IF(OR(G240="",G239=""),"",G240/G239-1)</f>
        <v/>
      </c>
      <c r="P240" s="22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IF(R240="","",P240/R240)</f>
        <v/>
      </c>
      <c r="T240" s="23">
        <f>IF(R240="","",Q240/R240)</f>
        <v/>
      </c>
      <c r="U240" s="24">
        <f>IF(SUMIFS('Daily NSE Equity Options'!$M:$M,'Daily NSE Equity Options'!$A:$A,$A240)=0,"",SUMIFS('Daily NSE Equity Options'!$M:$M,'Daily NSE Equity Options'!$A:$A,$A240))</f>
        <v/>
      </c>
      <c r="V240" s="9">
        <f>IF(SUMIFS('Daily BSE Equity Options'!$M:$M,'Daily BSE Equity Options'!$A:$A,$A240)=0,"",SUMIFS('Daily BSE Equity Options'!$M:$M,'Daily BSE Equity Options'!$A:$A,$A240))</f>
        <v/>
      </c>
      <c r="W240" s="9">
        <f>IF(OR(U240="",V240=""),"",U240+V240)</f>
        <v/>
      </c>
      <c r="X240" s="25">
        <f>IF(W240="","",U240/W240)</f>
        <v/>
      </c>
      <c r="Y240" s="25">
        <f>IF(W240="","",V240/W240)</f>
        <v/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19">
        <f>IF(G241="","",E241/G241)</f>
        <v/>
      </c>
      <c r="I241" s="19">
        <f>IF(G241="","",F241/G241)</f>
        <v/>
      </c>
      <c r="J241" s="26">
        <f>IFERROR(IF(OR(E241="",INDEX(E:E,MATCH(DATE(YEAR($A241)-1,MONTH($A241),DAY($A241)),$A:$A,0))=""),"",E241/INDEX(E:E,MATCH(DATE(YEAR($A241)-1,MONTH($A241),DAY($A241)),$A:$A,0))-1),"")</f>
        <v/>
      </c>
      <c r="K241" s="19">
        <f>IFERROR(IF(OR(F241="",INDEX(F:F,MATCH(DATE(YEAR($A241)-1,MONTH($A241),DAY($A241)),$A:$A,0))=""),"",F241/INDEX(F:F,MATCH(DATE(YEAR($A241)-1,MONTH($A241),DAY($A241)),$A:$A,0))-1),"")</f>
        <v/>
      </c>
      <c r="L241" s="19">
        <f>IFERROR(IF(OR(G241="",INDEX(G:G,MATCH(DATE(YEAR($A241)-1,MONTH($A241),DAY($A241)),$A:$A,0))=""),"",G241/INDEX(G:G,MATCH(DATE(YEAR($A241)-1,MONTH($A241),DAY($A241)),$A:$A,0))-1),"")</f>
        <v/>
      </c>
      <c r="M241" s="19">
        <f>IF(OR(E241="",E240=""),"",E241/E240-1)</f>
        <v/>
      </c>
      <c r="N241" s="19">
        <f>IF(OR(F241="",F240=""),"",F241/F240-1)</f>
        <v/>
      </c>
      <c r="O241" s="19">
        <f>IF(OR(G241="",G240=""),"",G241/G240-1)</f>
        <v/>
      </c>
      <c r="P241" s="22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IF(R241="","",P241/R241)</f>
        <v/>
      </c>
      <c r="T241" s="23">
        <f>IF(R241="","",Q241/R241)</f>
        <v/>
      </c>
      <c r="U241" s="24">
        <f>IF(SUMIFS('Daily NSE Equity Options'!$M:$M,'Daily NSE Equity Options'!$A:$A,$A241)=0,"",SUMIFS('Daily NSE Equity Options'!$M:$M,'Daily NSE Equity Options'!$A:$A,$A241))</f>
        <v/>
      </c>
      <c r="V241" s="9">
        <f>IF(SUMIFS('Daily BSE Equity Options'!$M:$M,'Daily BSE Equity Options'!$A:$A,$A241)=0,"",SUMIFS('Daily BSE Equity Options'!$M:$M,'Daily BSE Equity Options'!$A:$A,$A241))</f>
        <v/>
      </c>
      <c r="W241" s="9">
        <f>IF(OR(U241="",V241=""),"",U241+V241)</f>
        <v/>
      </c>
      <c r="X241" s="25">
        <f>IF(W241="","",U241/W241)</f>
        <v/>
      </c>
      <c r="Y241" s="25">
        <f>IF(W241="","",V241/W241)</f>
        <v/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19">
        <f>IF(G242="","",E242/G242)</f>
        <v/>
      </c>
      <c r="I242" s="19">
        <f>IF(G242="","",F242/G242)</f>
        <v/>
      </c>
      <c r="J242" s="26">
        <f>IFERROR(IF(OR(E242="",INDEX(E:E,MATCH(DATE(YEAR($A242)-1,MONTH($A242),DAY($A242)),$A:$A,0))=""),"",E242/INDEX(E:E,MATCH(DATE(YEAR($A242)-1,MONTH($A242),DAY($A242)),$A:$A,0))-1),"")</f>
        <v/>
      </c>
      <c r="K242" s="19">
        <f>IFERROR(IF(OR(F242="",INDEX(F:F,MATCH(DATE(YEAR($A242)-1,MONTH($A242),DAY($A242)),$A:$A,0))=""),"",F242/INDEX(F:F,MATCH(DATE(YEAR($A242)-1,MONTH($A242),DAY($A242)),$A:$A,0))-1),"")</f>
        <v/>
      </c>
      <c r="L242" s="19">
        <f>IFERROR(IF(OR(G242="",INDEX(G:G,MATCH(DATE(YEAR($A242)-1,MONTH($A242),DAY($A242)),$A:$A,0))=""),"",G242/INDEX(G:G,MATCH(DATE(YEAR($A242)-1,MONTH($A242),DAY($A242)),$A:$A,0))-1),"")</f>
        <v/>
      </c>
      <c r="M242" s="19">
        <f>IF(OR(E242="",E241=""),"",E242/E241-1)</f>
        <v/>
      </c>
      <c r="N242" s="19">
        <f>IF(OR(F242="",F241=""),"",F242/F241-1)</f>
        <v/>
      </c>
      <c r="O242" s="19">
        <f>IF(OR(G242="",G241=""),"",G242/G241-1)</f>
        <v/>
      </c>
      <c r="P242" s="22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IF(R242="","",P242/R242)</f>
        <v/>
      </c>
      <c r="T242" s="23">
        <f>IF(R242="","",Q242/R242)</f>
        <v/>
      </c>
      <c r="U242" s="24">
        <f>IF(SUMIFS('Daily NSE Equity Options'!$M:$M,'Daily NSE Equity Options'!$A:$A,$A242)=0,"",SUMIFS('Daily NSE Equity Options'!$M:$M,'Daily NSE Equity Options'!$A:$A,$A242))</f>
        <v/>
      </c>
      <c r="V242" s="9">
        <f>IF(SUMIFS('Daily BSE Equity Options'!$M:$M,'Daily BSE Equity Options'!$A:$A,$A242)=0,"",SUMIFS('Daily BSE Equity Options'!$M:$M,'Daily BSE Equity Options'!$A:$A,$A242))</f>
        <v/>
      </c>
      <c r="W242" s="9">
        <f>IF(OR(U242="",V242=""),"",U242+V242)</f>
        <v/>
      </c>
      <c r="X242" s="25">
        <f>IF(W242="","",U242/W242)</f>
        <v/>
      </c>
      <c r="Y242" s="25">
        <f>IF(W242="","",V242/W242)</f>
        <v/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19">
        <f>IF(G243="","",E243/G243)</f>
        <v/>
      </c>
      <c r="I243" s="19">
        <f>IF(G243="","",F243/G243)</f>
        <v/>
      </c>
      <c r="J243" s="26">
        <f>IFERROR(IF(OR(E243="",INDEX(E:E,MATCH(DATE(YEAR($A243)-1,MONTH($A243),DAY($A243)),$A:$A,0))=""),"",E243/INDEX(E:E,MATCH(DATE(YEAR($A243)-1,MONTH($A243),DAY($A243)),$A:$A,0))-1),"")</f>
        <v/>
      </c>
      <c r="K243" s="19">
        <f>IFERROR(IF(OR(F243="",INDEX(F:F,MATCH(DATE(YEAR($A243)-1,MONTH($A243),DAY($A243)),$A:$A,0))=""),"",F243/INDEX(F:F,MATCH(DATE(YEAR($A243)-1,MONTH($A243),DAY($A243)),$A:$A,0))-1),"")</f>
        <v/>
      </c>
      <c r="L243" s="19">
        <f>IFERROR(IF(OR(G243="",INDEX(G:G,MATCH(DATE(YEAR($A243)-1,MONTH($A243),DAY($A243)),$A:$A,0))=""),"",G243/INDEX(G:G,MATCH(DATE(YEAR($A243)-1,MONTH($A243),DAY($A243)),$A:$A,0))-1),"")</f>
        <v/>
      </c>
      <c r="M243" s="19">
        <f>IF(OR(E243="",E242=""),"",E243/E242-1)</f>
        <v/>
      </c>
      <c r="N243" s="19">
        <f>IF(OR(F243="",F242=""),"",F243/F242-1)</f>
        <v/>
      </c>
      <c r="O243" s="19">
        <f>IF(OR(G243="",G242=""),"",G243/G242-1)</f>
        <v/>
      </c>
      <c r="P243" s="22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IF(R243="","",P243/R243)</f>
        <v/>
      </c>
      <c r="T243" s="23">
        <f>IF(R243="","",Q243/R243)</f>
        <v/>
      </c>
      <c r="U243" s="24">
        <f>IF(SUMIFS('Daily NSE Equity Options'!$M:$M,'Daily NSE Equity Options'!$A:$A,$A243)=0,"",SUMIFS('Daily NSE Equity Options'!$M:$M,'Daily NSE Equity Options'!$A:$A,$A243))</f>
        <v/>
      </c>
      <c r="V243" s="9">
        <f>IF(SUMIFS('Daily BSE Equity Options'!$M:$M,'Daily BSE Equity Options'!$A:$A,$A243)=0,"",SUMIFS('Daily BSE Equity Options'!$M:$M,'Daily BSE Equity Options'!$A:$A,$A243))</f>
        <v/>
      </c>
      <c r="W243" s="9">
        <f>IF(OR(U243="",V243=""),"",U243+V243)</f>
        <v/>
      </c>
      <c r="X243" s="25">
        <f>IF(W243="","",U243/W243)</f>
        <v/>
      </c>
      <c r="Y243" s="25">
        <f>IF(W243="","",V243/W243)</f>
        <v/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19">
        <f>IF(G244="","",E244/G244)</f>
        <v/>
      </c>
      <c r="I244" s="19">
        <f>IF(G244="","",F244/G244)</f>
        <v/>
      </c>
      <c r="J244" s="26">
        <f>IFERROR(IF(OR(E244="",INDEX(E:E,MATCH(DATE(YEAR($A244)-1,MONTH($A244),DAY($A244)),$A:$A,0))=""),"",E244/INDEX(E:E,MATCH(DATE(YEAR($A244)-1,MONTH($A244),DAY($A244)),$A:$A,0))-1),"")</f>
        <v/>
      </c>
      <c r="K244" s="19">
        <f>IFERROR(IF(OR(F244="",INDEX(F:F,MATCH(DATE(YEAR($A244)-1,MONTH($A244),DAY($A244)),$A:$A,0))=""),"",F244/INDEX(F:F,MATCH(DATE(YEAR($A244)-1,MONTH($A244),DAY($A244)),$A:$A,0))-1),"")</f>
        <v/>
      </c>
      <c r="L244" s="19">
        <f>IFERROR(IF(OR(G244="",INDEX(G:G,MATCH(DATE(YEAR($A244)-1,MONTH($A244),DAY($A244)),$A:$A,0))=""),"",G244/INDEX(G:G,MATCH(DATE(YEAR($A244)-1,MONTH($A244),DAY($A244)),$A:$A,0))-1),"")</f>
        <v/>
      </c>
      <c r="M244" s="19">
        <f>IF(OR(E244="",E243=""),"",E244/E243-1)</f>
        <v/>
      </c>
      <c r="N244" s="19">
        <f>IF(OR(F244="",F243=""),"",F244/F243-1)</f>
        <v/>
      </c>
      <c r="O244" s="19">
        <f>IF(OR(G244="",G243=""),"",G244/G243-1)</f>
        <v/>
      </c>
      <c r="P244" s="22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IF(R244="","",P244/R244)</f>
        <v/>
      </c>
      <c r="T244" s="23">
        <f>IF(R244="","",Q244/R244)</f>
        <v/>
      </c>
      <c r="U244" s="24">
        <f>IF(SUMIFS('Daily NSE Equity Options'!$M:$M,'Daily NSE Equity Options'!$A:$A,$A244)=0,"",SUMIFS('Daily NSE Equity Options'!$M:$M,'Daily NSE Equity Options'!$A:$A,$A244))</f>
        <v/>
      </c>
      <c r="V244" s="9">
        <f>IF(SUMIFS('Daily BSE Equity Options'!$M:$M,'Daily BSE Equity Options'!$A:$A,$A244)=0,"",SUMIFS('Daily BSE Equity Options'!$M:$M,'Daily BSE Equity Options'!$A:$A,$A244))</f>
        <v/>
      </c>
      <c r="W244" s="9">
        <f>IF(OR(U244="",V244=""),"",U244+V244)</f>
        <v/>
      </c>
      <c r="X244" s="25">
        <f>IF(W244="","",U244/W244)</f>
        <v/>
      </c>
      <c r="Y244" s="25">
        <f>IF(W244="","",V244/W244)</f>
        <v/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19">
        <f>IF(G245="","",E245/G245)</f>
        <v/>
      </c>
      <c r="I245" s="19">
        <f>IF(G245="","",F245/G245)</f>
        <v/>
      </c>
      <c r="J245" s="26">
        <f>IFERROR(IF(OR(E245="",INDEX(E:E,MATCH(DATE(YEAR($A245)-1,MONTH($A245),DAY($A245)),$A:$A,0))=""),"",E245/INDEX(E:E,MATCH(DATE(YEAR($A245)-1,MONTH($A245),DAY($A245)),$A:$A,0))-1),"")</f>
        <v/>
      </c>
      <c r="K245" s="19">
        <f>IFERROR(IF(OR(F245="",INDEX(F:F,MATCH(DATE(YEAR($A245)-1,MONTH($A245),DAY($A245)),$A:$A,0))=""),"",F245/INDEX(F:F,MATCH(DATE(YEAR($A245)-1,MONTH($A245),DAY($A245)),$A:$A,0))-1),"")</f>
        <v/>
      </c>
      <c r="L245" s="19">
        <f>IFERROR(IF(OR(G245="",INDEX(G:G,MATCH(DATE(YEAR($A245)-1,MONTH($A245),DAY($A245)),$A:$A,0))=""),"",G245/INDEX(G:G,MATCH(DATE(YEAR($A245)-1,MONTH($A245),DAY($A245)),$A:$A,0))-1),"")</f>
        <v/>
      </c>
      <c r="M245" s="19">
        <f>IF(OR(E245="",E244=""),"",E245/E244-1)</f>
        <v/>
      </c>
      <c r="N245" s="19">
        <f>IF(OR(F245="",F244=""),"",F245/F244-1)</f>
        <v/>
      </c>
      <c r="O245" s="19">
        <f>IF(OR(G245="",G244=""),"",G245/G244-1)</f>
        <v/>
      </c>
      <c r="P245" s="22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IF(R245="","",P245/R245)</f>
        <v/>
      </c>
      <c r="T245" s="23">
        <f>IF(R245="","",Q245/R245)</f>
        <v/>
      </c>
      <c r="U245" s="24">
        <f>IF(SUMIFS('Daily NSE Equity Options'!$M:$M,'Daily NSE Equity Options'!$A:$A,$A245)=0,"",SUMIFS('Daily NSE Equity Options'!$M:$M,'Daily NSE Equity Options'!$A:$A,$A245))</f>
        <v/>
      </c>
      <c r="V245" s="9">
        <f>IF(SUMIFS('Daily BSE Equity Options'!$M:$M,'Daily BSE Equity Options'!$A:$A,$A245)=0,"",SUMIFS('Daily BSE Equity Options'!$M:$M,'Daily BSE Equity Options'!$A:$A,$A245))</f>
        <v/>
      </c>
      <c r="W245" s="9">
        <f>IF(OR(U245="",V245=""),"",U245+V245)</f>
        <v/>
      </c>
      <c r="X245" s="25">
        <f>IF(W245="","",U245/W245)</f>
        <v/>
      </c>
      <c r="Y245" s="25">
        <f>IF(W245="","",V245/W245)</f>
        <v/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19">
        <f>IF(G246="","",E246/G246)</f>
        <v/>
      </c>
      <c r="I246" s="19">
        <f>IF(G246="","",F246/G246)</f>
        <v/>
      </c>
      <c r="J246" s="26">
        <f>IFERROR(IF(OR(E246="",INDEX(E:E,MATCH(DATE(YEAR($A246)-1,MONTH($A246),DAY($A246)),$A:$A,0))=""),"",E246/INDEX(E:E,MATCH(DATE(YEAR($A246)-1,MONTH($A246),DAY($A246)),$A:$A,0))-1),"")</f>
        <v/>
      </c>
      <c r="K246" s="19">
        <f>IFERROR(IF(OR(F246="",INDEX(F:F,MATCH(DATE(YEAR($A246)-1,MONTH($A246),DAY($A246)),$A:$A,0))=""),"",F246/INDEX(F:F,MATCH(DATE(YEAR($A246)-1,MONTH($A246),DAY($A246)),$A:$A,0))-1),"")</f>
        <v/>
      </c>
      <c r="L246" s="19">
        <f>IFERROR(IF(OR(G246="",INDEX(G:G,MATCH(DATE(YEAR($A246)-1,MONTH($A246),DAY($A246)),$A:$A,0))=""),"",G246/INDEX(G:G,MATCH(DATE(YEAR($A246)-1,MONTH($A246),DAY($A246)),$A:$A,0))-1),"")</f>
        <v/>
      </c>
      <c r="M246" s="19">
        <f>IF(OR(E246="",E245=""),"",E246/E245-1)</f>
        <v/>
      </c>
      <c r="N246" s="19">
        <f>IF(OR(F246="",F245=""),"",F246/F245-1)</f>
        <v/>
      </c>
      <c r="O246" s="19">
        <f>IF(OR(G246="",G245=""),"",G246/G245-1)</f>
        <v/>
      </c>
      <c r="P246" s="22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IF(R246="","",P246/R246)</f>
        <v/>
      </c>
      <c r="T246" s="23">
        <f>IF(R246="","",Q246/R246)</f>
        <v/>
      </c>
      <c r="U246" s="24">
        <f>IF(SUMIFS('Daily NSE Equity Options'!$M:$M,'Daily NSE Equity Options'!$A:$A,$A246)=0,"",SUMIFS('Daily NSE Equity Options'!$M:$M,'Daily NSE Equity Options'!$A:$A,$A246))</f>
        <v/>
      </c>
      <c r="V246" s="9">
        <f>IF(SUMIFS('Daily BSE Equity Options'!$M:$M,'Daily BSE Equity Options'!$A:$A,$A246)=0,"",SUMIFS('Daily BSE Equity Options'!$M:$M,'Daily BSE Equity Options'!$A:$A,$A246))</f>
        <v/>
      </c>
      <c r="W246" s="9">
        <f>IF(OR(U246="",V246=""),"",U246+V246)</f>
        <v/>
      </c>
      <c r="X246" s="25">
        <f>IF(W246="","",U246/W246)</f>
        <v/>
      </c>
      <c r="Y246" s="25">
        <f>IF(W246="","",V246/W246)</f>
        <v/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19">
        <f>IF(G247="","",E247/G247)</f>
        <v/>
      </c>
      <c r="I247" s="19">
        <f>IF(G247="","",F247/G247)</f>
        <v/>
      </c>
      <c r="J247" s="26">
        <f>IFERROR(IF(OR(E247="",INDEX(E:E,MATCH(DATE(YEAR($A247)-1,MONTH($A247),DAY($A247)),$A:$A,0))=""),"",E247/INDEX(E:E,MATCH(DATE(YEAR($A247)-1,MONTH($A247),DAY($A247)),$A:$A,0))-1),"")</f>
        <v/>
      </c>
      <c r="K247" s="19">
        <f>IFERROR(IF(OR(F247="",INDEX(F:F,MATCH(DATE(YEAR($A247)-1,MONTH($A247),DAY($A247)),$A:$A,0))=""),"",F247/INDEX(F:F,MATCH(DATE(YEAR($A247)-1,MONTH($A247),DAY($A247)),$A:$A,0))-1),"")</f>
        <v/>
      </c>
      <c r="L247" s="19">
        <f>IFERROR(IF(OR(G247="",INDEX(G:G,MATCH(DATE(YEAR($A247)-1,MONTH($A247),DAY($A247)),$A:$A,0))=""),"",G247/INDEX(G:G,MATCH(DATE(YEAR($A247)-1,MONTH($A247),DAY($A247)),$A:$A,0))-1),"")</f>
        <v/>
      </c>
      <c r="M247" s="19">
        <f>IF(OR(E247="",E246=""),"",E247/E246-1)</f>
        <v/>
      </c>
      <c r="N247" s="19">
        <f>IF(OR(F247="",F246=""),"",F247/F246-1)</f>
        <v/>
      </c>
      <c r="O247" s="19">
        <f>IF(OR(G247="",G246=""),"",G247/G246-1)</f>
        <v/>
      </c>
      <c r="P247" s="22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IF(R247="","",P247/R247)</f>
        <v/>
      </c>
      <c r="T247" s="23">
        <f>IF(R247="","",Q247/R247)</f>
        <v/>
      </c>
      <c r="U247" s="24">
        <f>IF(SUMIFS('Daily NSE Equity Options'!$M:$M,'Daily NSE Equity Options'!$A:$A,$A247)=0,"",SUMIFS('Daily NSE Equity Options'!$M:$M,'Daily NSE Equity Options'!$A:$A,$A247))</f>
        <v/>
      </c>
      <c r="V247" s="9">
        <f>IF(SUMIFS('Daily BSE Equity Options'!$M:$M,'Daily BSE Equity Options'!$A:$A,$A247)=0,"",SUMIFS('Daily BSE Equity Options'!$M:$M,'Daily BSE Equity Options'!$A:$A,$A247))</f>
        <v/>
      </c>
      <c r="W247" s="9">
        <f>IF(OR(U247="",V247=""),"",U247+V247)</f>
        <v/>
      </c>
      <c r="X247" s="25">
        <f>IF(W247="","",U247/W247)</f>
        <v/>
      </c>
      <c r="Y247" s="25">
        <f>IF(W247="","",V247/W247)</f>
        <v/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19">
        <f>IF(G248="","",E248/G248)</f>
        <v/>
      </c>
      <c r="I248" s="19">
        <f>IF(G248="","",F248/G248)</f>
        <v/>
      </c>
      <c r="J248" s="26">
        <f>IFERROR(IF(OR(E248="",INDEX(E:E,MATCH(DATE(YEAR($A248)-1,MONTH($A248),DAY($A248)),$A:$A,0))=""),"",E248/INDEX(E:E,MATCH(DATE(YEAR($A248)-1,MONTH($A248),DAY($A248)),$A:$A,0))-1),"")</f>
        <v/>
      </c>
      <c r="K248" s="19">
        <f>IFERROR(IF(OR(F248="",INDEX(F:F,MATCH(DATE(YEAR($A248)-1,MONTH($A248),DAY($A248)),$A:$A,0))=""),"",F248/INDEX(F:F,MATCH(DATE(YEAR($A248)-1,MONTH($A248),DAY($A248)),$A:$A,0))-1),"")</f>
        <v/>
      </c>
      <c r="L248" s="19">
        <f>IFERROR(IF(OR(G248="",INDEX(G:G,MATCH(DATE(YEAR($A248)-1,MONTH($A248),DAY($A248)),$A:$A,0))=""),"",G248/INDEX(G:G,MATCH(DATE(YEAR($A248)-1,MONTH($A248),DAY($A248)),$A:$A,0))-1),"")</f>
        <v/>
      </c>
      <c r="M248" s="19">
        <f>IF(OR(E248="",E247=""),"",E248/E247-1)</f>
        <v/>
      </c>
      <c r="N248" s="19">
        <f>IF(OR(F248="",F247=""),"",F248/F247-1)</f>
        <v/>
      </c>
      <c r="O248" s="19">
        <f>IF(OR(G248="",G247=""),"",G248/G247-1)</f>
        <v/>
      </c>
      <c r="P248" s="22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IF(R248="","",P248/R248)</f>
        <v/>
      </c>
      <c r="T248" s="23">
        <f>IF(R248="","",Q248/R248)</f>
        <v/>
      </c>
      <c r="U248" s="24">
        <f>IF(SUMIFS('Daily NSE Equity Options'!$M:$M,'Daily NSE Equity Options'!$A:$A,$A248)=0,"",SUMIFS('Daily NSE Equity Options'!$M:$M,'Daily NSE Equity Options'!$A:$A,$A248))</f>
        <v/>
      </c>
      <c r="V248" s="9">
        <f>IF(SUMIFS('Daily BSE Equity Options'!$M:$M,'Daily BSE Equity Options'!$A:$A,$A248)=0,"",SUMIFS('Daily BSE Equity Options'!$M:$M,'Daily BSE Equity Options'!$A:$A,$A248))</f>
        <v/>
      </c>
      <c r="W248" s="9">
        <f>IF(OR(U248="",V248=""),"",U248+V248)</f>
        <v/>
      </c>
      <c r="X248" s="25">
        <f>IF(W248="","",U248/W248)</f>
        <v/>
      </c>
      <c r="Y248" s="25">
        <f>IF(W248="","",V248/W248)</f>
        <v/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19">
        <f>IF(G249="","",E249/G249)</f>
        <v/>
      </c>
      <c r="I249" s="19">
        <f>IF(G249="","",F249/G249)</f>
        <v/>
      </c>
      <c r="J249" s="26">
        <f>IFERROR(IF(OR(E249="",INDEX(E:E,MATCH(DATE(YEAR($A249)-1,MONTH($A249),DAY($A249)),$A:$A,0))=""),"",E249/INDEX(E:E,MATCH(DATE(YEAR($A249)-1,MONTH($A249),DAY($A249)),$A:$A,0))-1),"")</f>
        <v/>
      </c>
      <c r="K249" s="19">
        <f>IFERROR(IF(OR(F249="",INDEX(F:F,MATCH(DATE(YEAR($A249)-1,MONTH($A249),DAY($A249)),$A:$A,0))=""),"",F249/INDEX(F:F,MATCH(DATE(YEAR($A249)-1,MONTH($A249),DAY($A249)),$A:$A,0))-1),"")</f>
        <v/>
      </c>
      <c r="L249" s="19">
        <f>IFERROR(IF(OR(G249="",INDEX(G:G,MATCH(DATE(YEAR($A249)-1,MONTH($A249),DAY($A249)),$A:$A,0))=""),"",G249/INDEX(G:G,MATCH(DATE(YEAR($A249)-1,MONTH($A249),DAY($A249)),$A:$A,0))-1),"")</f>
        <v/>
      </c>
      <c r="M249" s="19">
        <f>IF(OR(E249="",E248=""),"",E249/E248-1)</f>
        <v/>
      </c>
      <c r="N249" s="19">
        <f>IF(OR(F249="",F248=""),"",F249/F248-1)</f>
        <v/>
      </c>
      <c r="O249" s="19">
        <f>IF(OR(G249="",G248=""),"",G249/G248-1)</f>
        <v/>
      </c>
      <c r="P249" s="22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IF(R249="","",P249/R249)</f>
        <v/>
      </c>
      <c r="T249" s="23">
        <f>IF(R249="","",Q249/R249)</f>
        <v/>
      </c>
      <c r="U249" s="24">
        <f>IF(SUMIFS('Daily NSE Equity Options'!$M:$M,'Daily NSE Equity Options'!$A:$A,$A249)=0,"",SUMIFS('Daily NSE Equity Options'!$M:$M,'Daily NSE Equity Options'!$A:$A,$A249))</f>
        <v/>
      </c>
      <c r="V249" s="9">
        <f>IF(SUMIFS('Daily BSE Equity Options'!$M:$M,'Daily BSE Equity Options'!$A:$A,$A249)=0,"",SUMIFS('Daily BSE Equity Options'!$M:$M,'Daily BSE Equity Options'!$A:$A,$A249))</f>
        <v/>
      </c>
      <c r="W249" s="9">
        <f>IF(OR(U249="",V249=""),"",U249+V249)</f>
        <v/>
      </c>
      <c r="X249" s="25">
        <f>IF(W249="","",U249/W249)</f>
        <v/>
      </c>
      <c r="Y249" s="25">
        <f>IF(W249="","",V249/W249)</f>
        <v/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19">
        <f>IF(G250="","",E250/G250)</f>
        <v/>
      </c>
      <c r="I250" s="19">
        <f>IF(G250="","",F250/G250)</f>
        <v/>
      </c>
      <c r="J250" s="26">
        <f>IFERROR(IF(OR(E250="",INDEX(E:E,MATCH(DATE(YEAR($A250)-1,MONTH($A250),DAY($A250)),$A:$A,0))=""),"",E250/INDEX(E:E,MATCH(DATE(YEAR($A250)-1,MONTH($A250),DAY($A250)),$A:$A,0))-1),"")</f>
        <v/>
      </c>
      <c r="K250" s="19">
        <f>IFERROR(IF(OR(F250="",INDEX(F:F,MATCH(DATE(YEAR($A250)-1,MONTH($A250),DAY($A250)),$A:$A,0))=""),"",F250/INDEX(F:F,MATCH(DATE(YEAR($A250)-1,MONTH($A250),DAY($A250)),$A:$A,0))-1),"")</f>
        <v/>
      </c>
      <c r="L250" s="19">
        <f>IFERROR(IF(OR(G250="",INDEX(G:G,MATCH(DATE(YEAR($A250)-1,MONTH($A250),DAY($A250)),$A:$A,0))=""),"",G250/INDEX(G:G,MATCH(DATE(YEAR($A250)-1,MONTH($A250),DAY($A250)),$A:$A,0))-1),"")</f>
        <v/>
      </c>
      <c r="M250" s="19">
        <f>IF(OR(E250="",E249=""),"",E250/E249-1)</f>
        <v/>
      </c>
      <c r="N250" s="19">
        <f>IF(OR(F250="",F249=""),"",F250/F249-1)</f>
        <v/>
      </c>
      <c r="O250" s="19">
        <f>IF(OR(G250="",G249=""),"",G250/G249-1)</f>
        <v/>
      </c>
      <c r="P250" s="22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IF(R250="","",P250/R250)</f>
        <v/>
      </c>
      <c r="T250" s="23">
        <f>IF(R250="","",Q250/R250)</f>
        <v/>
      </c>
      <c r="U250" s="24">
        <f>IF(SUMIFS('Daily NSE Equity Options'!$M:$M,'Daily NSE Equity Options'!$A:$A,$A250)=0,"",SUMIFS('Daily NSE Equity Options'!$M:$M,'Daily NSE Equity Options'!$A:$A,$A250))</f>
        <v/>
      </c>
      <c r="V250" s="9">
        <f>IF(SUMIFS('Daily BSE Equity Options'!$M:$M,'Daily BSE Equity Options'!$A:$A,$A250)=0,"",SUMIFS('Daily BSE Equity Options'!$M:$M,'Daily BSE Equity Options'!$A:$A,$A250))</f>
        <v/>
      </c>
      <c r="W250" s="9">
        <f>IF(OR(U250="",V250=""),"",U250+V250)</f>
        <v/>
      </c>
      <c r="X250" s="25">
        <f>IF(W250="","",U250/W250)</f>
        <v/>
      </c>
      <c r="Y250" s="25">
        <f>IF(W250="","",V250/W250)</f>
        <v/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19">
        <f>IF(G251="","",E251/G251)</f>
        <v/>
      </c>
      <c r="I251" s="19">
        <f>IF(G251="","",F251/G251)</f>
        <v/>
      </c>
      <c r="J251" s="26">
        <f>IFERROR(IF(OR(E251="",INDEX(E:E,MATCH(DATE(YEAR($A251)-1,MONTH($A251),DAY($A251)),$A:$A,0))=""),"",E251/INDEX(E:E,MATCH(DATE(YEAR($A251)-1,MONTH($A251),DAY($A251)),$A:$A,0))-1),"")</f>
        <v/>
      </c>
      <c r="K251" s="19">
        <f>IFERROR(IF(OR(F251="",INDEX(F:F,MATCH(DATE(YEAR($A251)-1,MONTH($A251),DAY($A251)),$A:$A,0))=""),"",F251/INDEX(F:F,MATCH(DATE(YEAR($A251)-1,MONTH($A251),DAY($A251)),$A:$A,0))-1),"")</f>
        <v/>
      </c>
      <c r="L251" s="19">
        <f>IFERROR(IF(OR(G251="",INDEX(G:G,MATCH(DATE(YEAR($A251)-1,MONTH($A251),DAY($A251)),$A:$A,0))=""),"",G251/INDEX(G:G,MATCH(DATE(YEAR($A251)-1,MONTH($A251),DAY($A251)),$A:$A,0))-1),"")</f>
        <v/>
      </c>
      <c r="M251" s="19">
        <f>IF(OR(E251="",E250=""),"",E251/E250-1)</f>
        <v/>
      </c>
      <c r="N251" s="19">
        <f>IF(OR(F251="",F250=""),"",F251/F250-1)</f>
        <v/>
      </c>
      <c r="O251" s="19">
        <f>IF(OR(G251="",G250=""),"",G251/G250-1)</f>
        <v/>
      </c>
      <c r="P251" s="22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IF(R251="","",P251/R251)</f>
        <v/>
      </c>
      <c r="T251" s="23">
        <f>IF(R251="","",Q251/R251)</f>
        <v/>
      </c>
      <c r="U251" s="24">
        <f>IF(SUMIFS('Daily NSE Equity Options'!$M:$M,'Daily NSE Equity Options'!$A:$A,$A251)=0,"",SUMIFS('Daily NSE Equity Options'!$M:$M,'Daily NSE Equity Options'!$A:$A,$A251))</f>
        <v/>
      </c>
      <c r="V251" s="9">
        <f>IF(SUMIFS('Daily BSE Equity Options'!$M:$M,'Daily BSE Equity Options'!$A:$A,$A251)=0,"",SUMIFS('Daily BSE Equity Options'!$M:$M,'Daily BSE Equity Options'!$A:$A,$A251))</f>
        <v/>
      </c>
      <c r="W251" s="9">
        <f>IF(OR(U251="",V251=""),"",U251+V251)</f>
        <v/>
      </c>
      <c r="X251" s="25">
        <f>IF(W251="","",U251/W251)</f>
        <v/>
      </c>
      <c r="Y251" s="25">
        <f>IF(W251="","",V251/W251)</f>
        <v/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19">
        <f>IF(G252="","",E252/G252)</f>
        <v/>
      </c>
      <c r="I252" s="19">
        <f>IF(G252="","",F252/G252)</f>
        <v/>
      </c>
      <c r="J252" s="26">
        <f>IFERROR(IF(OR(E252="",INDEX(E:E,MATCH(DATE(YEAR($A252)-1,MONTH($A252),DAY($A252)),$A:$A,0))=""),"",E252/INDEX(E:E,MATCH(DATE(YEAR($A252)-1,MONTH($A252),DAY($A252)),$A:$A,0))-1),"")</f>
        <v/>
      </c>
      <c r="K252" s="19">
        <f>IFERROR(IF(OR(F252="",INDEX(F:F,MATCH(DATE(YEAR($A252)-1,MONTH($A252),DAY($A252)),$A:$A,0))=""),"",F252/INDEX(F:F,MATCH(DATE(YEAR($A252)-1,MONTH($A252),DAY($A252)),$A:$A,0))-1),"")</f>
        <v/>
      </c>
      <c r="L252" s="19">
        <f>IFERROR(IF(OR(G252="",INDEX(G:G,MATCH(DATE(YEAR($A252)-1,MONTH($A252),DAY($A252)),$A:$A,0))=""),"",G252/INDEX(G:G,MATCH(DATE(YEAR($A252)-1,MONTH($A252),DAY($A252)),$A:$A,0))-1),"")</f>
        <v/>
      </c>
      <c r="M252" s="19">
        <f>IF(OR(E252="",E251=""),"",E252/E251-1)</f>
        <v/>
      </c>
      <c r="N252" s="19">
        <f>IF(OR(F252="",F251=""),"",F252/F251-1)</f>
        <v/>
      </c>
      <c r="O252" s="19">
        <f>IF(OR(G252="",G251=""),"",G252/G251-1)</f>
        <v/>
      </c>
      <c r="P252" s="22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IF(R252="","",P252/R252)</f>
        <v/>
      </c>
      <c r="T252" s="23">
        <f>IF(R252="","",Q252/R252)</f>
        <v/>
      </c>
      <c r="U252" s="24">
        <f>IF(SUMIFS('Daily NSE Equity Options'!$M:$M,'Daily NSE Equity Options'!$A:$A,$A252)=0,"",SUMIFS('Daily NSE Equity Options'!$M:$M,'Daily NSE Equity Options'!$A:$A,$A252))</f>
        <v/>
      </c>
      <c r="V252" s="9">
        <f>IF(SUMIFS('Daily BSE Equity Options'!$M:$M,'Daily BSE Equity Options'!$A:$A,$A252)=0,"",SUMIFS('Daily BSE Equity Options'!$M:$M,'Daily BSE Equity Options'!$A:$A,$A252))</f>
        <v/>
      </c>
      <c r="W252" s="9">
        <f>IF(OR(U252="",V252=""),"",U252+V252)</f>
        <v/>
      </c>
      <c r="X252" s="25">
        <f>IF(W252="","",U252/W252)</f>
        <v/>
      </c>
      <c r="Y252" s="25">
        <f>IF(W252="","",V252/W252)</f>
        <v/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19">
        <f>IF(G253="","",E253/G253)</f>
        <v/>
      </c>
      <c r="I253" s="19">
        <f>IF(G253="","",F253/G253)</f>
        <v/>
      </c>
      <c r="J253" s="26">
        <f>IFERROR(IF(OR(E253="",INDEX(E:E,MATCH(DATE(YEAR($A253)-1,MONTH($A253),DAY($A253)),$A:$A,0))=""),"",E253/INDEX(E:E,MATCH(DATE(YEAR($A253)-1,MONTH($A253),DAY($A253)),$A:$A,0))-1),"")</f>
        <v/>
      </c>
      <c r="K253" s="19">
        <f>IFERROR(IF(OR(F253="",INDEX(F:F,MATCH(DATE(YEAR($A253)-1,MONTH($A253),DAY($A253)),$A:$A,0))=""),"",F253/INDEX(F:F,MATCH(DATE(YEAR($A253)-1,MONTH($A253),DAY($A253)),$A:$A,0))-1),"")</f>
        <v/>
      </c>
      <c r="L253" s="19">
        <f>IFERROR(IF(OR(G253="",INDEX(G:G,MATCH(DATE(YEAR($A253)-1,MONTH($A253),DAY($A253)),$A:$A,0))=""),"",G253/INDEX(G:G,MATCH(DATE(YEAR($A253)-1,MONTH($A253),DAY($A253)),$A:$A,0))-1),"")</f>
        <v/>
      </c>
      <c r="M253" s="19">
        <f>IF(OR(E253="",E252=""),"",E253/E252-1)</f>
        <v/>
      </c>
      <c r="N253" s="19">
        <f>IF(OR(F253="",F252=""),"",F253/F252-1)</f>
        <v/>
      </c>
      <c r="O253" s="19">
        <f>IF(OR(G253="",G252=""),"",G253/G252-1)</f>
        <v/>
      </c>
      <c r="P253" s="22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IF(R253="","",P253/R253)</f>
        <v/>
      </c>
      <c r="T253" s="23">
        <f>IF(R253="","",Q253/R253)</f>
        <v/>
      </c>
      <c r="U253" s="24">
        <f>IF(SUMIFS('Daily NSE Equity Options'!$M:$M,'Daily NSE Equity Options'!$A:$A,$A253)=0,"",SUMIFS('Daily NSE Equity Options'!$M:$M,'Daily NSE Equity Options'!$A:$A,$A253))</f>
        <v/>
      </c>
      <c r="V253" s="9">
        <f>IF(SUMIFS('Daily BSE Equity Options'!$M:$M,'Daily BSE Equity Options'!$A:$A,$A253)=0,"",SUMIFS('Daily BSE Equity Options'!$M:$M,'Daily BSE Equity Options'!$A:$A,$A253))</f>
        <v/>
      </c>
      <c r="W253" s="9">
        <f>IF(OR(U253="",V253=""),"",U253+V253)</f>
        <v/>
      </c>
      <c r="X253" s="25">
        <f>IF(W253="","",U253/W253)</f>
        <v/>
      </c>
      <c r="Y253" s="25">
        <f>IF(W253="","",V253/W253)</f>
        <v/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19">
        <f>IF(G254="","",E254/G254)</f>
        <v/>
      </c>
      <c r="I254" s="19">
        <f>IF(G254="","",F254/G254)</f>
        <v/>
      </c>
      <c r="J254" s="26">
        <f>IFERROR(IF(OR(E254="",INDEX(E:E,MATCH(DATE(YEAR($A254)-1,MONTH($A254),DAY($A254)),$A:$A,0))=""),"",E254/INDEX(E:E,MATCH(DATE(YEAR($A254)-1,MONTH($A254),DAY($A254)),$A:$A,0))-1),"")</f>
        <v/>
      </c>
      <c r="K254" s="19">
        <f>IFERROR(IF(OR(F254="",INDEX(F:F,MATCH(DATE(YEAR($A254)-1,MONTH($A254),DAY($A254)),$A:$A,0))=""),"",F254/INDEX(F:F,MATCH(DATE(YEAR($A254)-1,MONTH($A254),DAY($A254)),$A:$A,0))-1),"")</f>
        <v/>
      </c>
      <c r="L254" s="19">
        <f>IFERROR(IF(OR(G254="",INDEX(G:G,MATCH(DATE(YEAR($A254)-1,MONTH($A254),DAY($A254)),$A:$A,0))=""),"",G254/INDEX(G:G,MATCH(DATE(YEAR($A254)-1,MONTH($A254),DAY($A254)),$A:$A,0))-1),"")</f>
        <v/>
      </c>
      <c r="M254" s="19">
        <f>IF(OR(E254="",E253=""),"",E254/E253-1)</f>
        <v/>
      </c>
      <c r="N254" s="19">
        <f>IF(OR(F254="",F253=""),"",F254/F253-1)</f>
        <v/>
      </c>
      <c r="O254" s="19">
        <f>IF(OR(G254="",G253=""),"",G254/G253-1)</f>
        <v/>
      </c>
      <c r="P254" s="22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IF(R254="","",P254/R254)</f>
        <v/>
      </c>
      <c r="T254" s="23">
        <f>IF(R254="","",Q254/R254)</f>
        <v/>
      </c>
      <c r="U254" s="24">
        <f>IF(SUMIFS('Daily NSE Equity Options'!$M:$M,'Daily NSE Equity Options'!$A:$A,$A254)=0,"",SUMIFS('Daily NSE Equity Options'!$M:$M,'Daily NSE Equity Options'!$A:$A,$A254))</f>
        <v/>
      </c>
      <c r="V254" s="9">
        <f>IF(SUMIFS('Daily BSE Equity Options'!$M:$M,'Daily BSE Equity Options'!$A:$A,$A254)=0,"",SUMIFS('Daily BSE Equity Options'!$M:$M,'Daily BSE Equity Options'!$A:$A,$A254))</f>
        <v/>
      </c>
      <c r="W254" s="9">
        <f>IF(OR(U254="",V254=""),"",U254+V254)</f>
        <v/>
      </c>
      <c r="X254" s="25">
        <f>IF(W254="","",U254/W254)</f>
        <v/>
      </c>
      <c r="Y254" s="25">
        <f>IF(W254="","",V254/W254)</f>
        <v/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19">
        <f>IF(G255="","",E255/G255)</f>
        <v/>
      </c>
      <c r="I255" s="19">
        <f>IF(G255="","",F255/G255)</f>
        <v/>
      </c>
      <c r="J255" s="26">
        <f>IFERROR(IF(OR(E255="",INDEX(E:E,MATCH(DATE(YEAR($A255)-1,MONTH($A255),DAY($A255)),$A:$A,0))=""),"",E255/INDEX(E:E,MATCH(DATE(YEAR($A255)-1,MONTH($A255),DAY($A255)),$A:$A,0))-1),"")</f>
        <v/>
      </c>
      <c r="K255" s="19">
        <f>IFERROR(IF(OR(F255="",INDEX(F:F,MATCH(DATE(YEAR($A255)-1,MONTH($A255),DAY($A255)),$A:$A,0))=""),"",F255/INDEX(F:F,MATCH(DATE(YEAR($A255)-1,MONTH($A255),DAY($A255)),$A:$A,0))-1),"")</f>
        <v/>
      </c>
      <c r="L255" s="19">
        <f>IFERROR(IF(OR(G255="",INDEX(G:G,MATCH(DATE(YEAR($A255)-1,MONTH($A255),DAY($A255)),$A:$A,0))=""),"",G255/INDEX(G:G,MATCH(DATE(YEAR($A255)-1,MONTH($A255),DAY($A255)),$A:$A,0))-1),"")</f>
        <v/>
      </c>
      <c r="M255" s="19">
        <f>IF(OR(E255="",E254=""),"",E255/E254-1)</f>
        <v/>
      </c>
      <c r="N255" s="19">
        <f>IF(OR(F255="",F254=""),"",F255/F254-1)</f>
        <v/>
      </c>
      <c r="O255" s="19">
        <f>IF(OR(G255="",G254=""),"",G255/G254-1)</f>
        <v/>
      </c>
      <c r="P255" s="22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IF(R255="","",P255/R255)</f>
        <v/>
      </c>
      <c r="T255" s="23">
        <f>IF(R255="","",Q255/R255)</f>
        <v/>
      </c>
      <c r="U255" s="24">
        <f>IF(SUMIFS('Daily NSE Equity Options'!$M:$M,'Daily NSE Equity Options'!$A:$A,$A255)=0,"",SUMIFS('Daily NSE Equity Options'!$M:$M,'Daily NSE Equity Options'!$A:$A,$A255))</f>
        <v/>
      </c>
      <c r="V255" s="9">
        <f>IF(SUMIFS('Daily BSE Equity Options'!$M:$M,'Daily BSE Equity Options'!$A:$A,$A255)=0,"",SUMIFS('Daily BSE Equity Options'!$M:$M,'Daily BSE Equity Options'!$A:$A,$A255))</f>
        <v/>
      </c>
      <c r="W255" s="9">
        <f>IF(OR(U255="",V255=""),"",U255+V255)</f>
        <v/>
      </c>
      <c r="X255" s="25">
        <f>IF(W255="","",U255/W255)</f>
        <v/>
      </c>
      <c r="Y255" s="25">
        <f>IF(W255="","",V255/W255)</f>
        <v/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19">
        <f>IF(G256="","",E256/G256)</f>
        <v/>
      </c>
      <c r="I256" s="19">
        <f>IF(G256="","",F256/G256)</f>
        <v/>
      </c>
      <c r="J256" s="26">
        <f>IFERROR(IF(OR(E256="",INDEX(E:E,MATCH(DATE(YEAR($A256)-1,MONTH($A256),DAY($A256)),$A:$A,0))=""),"",E256/INDEX(E:E,MATCH(DATE(YEAR($A256)-1,MONTH($A256),DAY($A256)),$A:$A,0))-1),"")</f>
        <v/>
      </c>
      <c r="K256" s="19">
        <f>IFERROR(IF(OR(F256="",INDEX(F:F,MATCH(DATE(YEAR($A256)-1,MONTH($A256),DAY($A256)),$A:$A,0))=""),"",F256/INDEX(F:F,MATCH(DATE(YEAR($A256)-1,MONTH($A256),DAY($A256)),$A:$A,0))-1),"")</f>
        <v/>
      </c>
      <c r="L256" s="19">
        <f>IFERROR(IF(OR(G256="",INDEX(G:G,MATCH(DATE(YEAR($A256)-1,MONTH($A256),DAY($A256)),$A:$A,0))=""),"",G256/INDEX(G:G,MATCH(DATE(YEAR($A256)-1,MONTH($A256),DAY($A256)),$A:$A,0))-1),"")</f>
        <v/>
      </c>
      <c r="M256" s="19">
        <f>IF(OR(E256="",E255=""),"",E256/E255-1)</f>
        <v/>
      </c>
      <c r="N256" s="19">
        <f>IF(OR(F256="",F255=""),"",F256/F255-1)</f>
        <v/>
      </c>
      <c r="O256" s="19">
        <f>IF(OR(G256="",G255=""),"",G256/G255-1)</f>
        <v/>
      </c>
      <c r="P256" s="22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IF(R256="","",P256/R256)</f>
        <v/>
      </c>
      <c r="T256" s="23">
        <f>IF(R256="","",Q256/R256)</f>
        <v/>
      </c>
      <c r="U256" s="24">
        <f>IF(SUMIFS('Daily NSE Equity Options'!$M:$M,'Daily NSE Equity Options'!$A:$A,$A256)=0,"",SUMIFS('Daily NSE Equity Options'!$M:$M,'Daily NSE Equity Options'!$A:$A,$A256))</f>
        <v/>
      </c>
      <c r="V256" s="9">
        <f>IF(SUMIFS('Daily BSE Equity Options'!$M:$M,'Daily BSE Equity Options'!$A:$A,$A256)=0,"",SUMIFS('Daily BSE Equity Options'!$M:$M,'Daily BSE Equity Options'!$A:$A,$A256))</f>
        <v/>
      </c>
      <c r="W256" s="9">
        <f>IF(OR(U256="",V256=""),"",U256+V256)</f>
        <v/>
      </c>
      <c r="X256" s="25">
        <f>IF(W256="","",U256/W256)</f>
        <v/>
      </c>
      <c r="Y256" s="25">
        <f>IF(W256="","",V256/W256)</f>
        <v/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19">
        <f>IF(G257="","",E257/G257)</f>
        <v/>
      </c>
      <c r="I257" s="19">
        <f>IF(G257="","",F257/G257)</f>
        <v/>
      </c>
      <c r="J257" s="26">
        <f>IFERROR(IF(OR(E257="",INDEX(E:E,MATCH(DATE(YEAR($A257)-1,MONTH($A257),DAY($A257)),$A:$A,0))=""),"",E257/INDEX(E:E,MATCH(DATE(YEAR($A257)-1,MONTH($A257),DAY($A257)),$A:$A,0))-1),"")</f>
        <v/>
      </c>
      <c r="K257" s="19">
        <f>IFERROR(IF(OR(F257="",INDEX(F:F,MATCH(DATE(YEAR($A257)-1,MONTH($A257),DAY($A257)),$A:$A,0))=""),"",F257/INDEX(F:F,MATCH(DATE(YEAR($A257)-1,MONTH($A257),DAY($A257)),$A:$A,0))-1),"")</f>
        <v/>
      </c>
      <c r="L257" s="19">
        <f>IFERROR(IF(OR(G257="",INDEX(G:G,MATCH(DATE(YEAR($A257)-1,MONTH($A257),DAY($A257)),$A:$A,0))=""),"",G257/INDEX(G:G,MATCH(DATE(YEAR($A257)-1,MONTH($A257),DAY($A257)),$A:$A,0))-1),"")</f>
        <v/>
      </c>
      <c r="M257" s="19">
        <f>IF(OR(E257="",E256=""),"",E257/E256-1)</f>
        <v/>
      </c>
      <c r="N257" s="19">
        <f>IF(OR(F257="",F256=""),"",F257/F256-1)</f>
        <v/>
      </c>
      <c r="O257" s="19">
        <f>IF(OR(G257="",G256=""),"",G257/G256-1)</f>
        <v/>
      </c>
      <c r="P257" s="22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IF(R257="","",P257/R257)</f>
        <v/>
      </c>
      <c r="T257" s="23">
        <f>IF(R257="","",Q257/R257)</f>
        <v/>
      </c>
      <c r="U257" s="24">
        <f>IF(SUMIFS('Daily NSE Equity Options'!$M:$M,'Daily NSE Equity Options'!$A:$A,$A257)=0,"",SUMIFS('Daily NSE Equity Options'!$M:$M,'Daily NSE Equity Options'!$A:$A,$A257))</f>
        <v/>
      </c>
      <c r="V257" s="9">
        <f>IF(SUMIFS('Daily BSE Equity Options'!$M:$M,'Daily BSE Equity Options'!$A:$A,$A257)=0,"",SUMIFS('Daily BSE Equity Options'!$M:$M,'Daily BSE Equity Options'!$A:$A,$A257))</f>
        <v/>
      </c>
      <c r="W257" s="9">
        <f>IF(OR(U257="",V257=""),"",U257+V257)</f>
        <v/>
      </c>
      <c r="X257" s="25">
        <f>IF(W257="","",U257/W257)</f>
        <v/>
      </c>
      <c r="Y257" s="25">
        <f>IF(W257="","",V257/W257)</f>
        <v/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19">
        <f>IF(G258="","",E258/G258)</f>
        <v/>
      </c>
      <c r="I258" s="19">
        <f>IF(G258="","",F258/G258)</f>
        <v/>
      </c>
      <c r="J258" s="26">
        <f>IFERROR(IF(OR(E258="",INDEX(E:E,MATCH(DATE(YEAR($A258)-1,MONTH($A258),DAY($A258)),$A:$A,0))=""),"",E258/INDEX(E:E,MATCH(DATE(YEAR($A258)-1,MONTH($A258),DAY($A258)),$A:$A,0))-1),"")</f>
        <v/>
      </c>
      <c r="K258" s="19">
        <f>IFERROR(IF(OR(F258="",INDEX(F:F,MATCH(DATE(YEAR($A258)-1,MONTH($A258),DAY($A258)),$A:$A,0))=""),"",F258/INDEX(F:F,MATCH(DATE(YEAR($A258)-1,MONTH($A258),DAY($A258)),$A:$A,0))-1),"")</f>
        <v/>
      </c>
      <c r="L258" s="19">
        <f>IFERROR(IF(OR(G258="",INDEX(G:G,MATCH(DATE(YEAR($A258)-1,MONTH($A258),DAY($A258)),$A:$A,0))=""),"",G258/INDEX(G:G,MATCH(DATE(YEAR($A258)-1,MONTH($A258),DAY($A258)),$A:$A,0))-1),"")</f>
        <v/>
      </c>
      <c r="M258" s="19">
        <f>IF(OR(E258="",E257=""),"",E258/E257-1)</f>
        <v/>
      </c>
      <c r="N258" s="19">
        <f>IF(OR(F258="",F257=""),"",F258/F257-1)</f>
        <v/>
      </c>
      <c r="O258" s="19">
        <f>IF(OR(G258="",G257=""),"",G258/G257-1)</f>
        <v/>
      </c>
      <c r="P258" s="22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IF(R258="","",P258/R258)</f>
        <v/>
      </c>
      <c r="T258" s="23">
        <f>IF(R258="","",Q258/R258)</f>
        <v/>
      </c>
      <c r="U258" s="24">
        <f>IF(SUMIFS('Daily NSE Equity Options'!$M:$M,'Daily NSE Equity Options'!$A:$A,$A258)=0,"",SUMIFS('Daily NSE Equity Options'!$M:$M,'Daily NSE Equity Options'!$A:$A,$A258))</f>
        <v/>
      </c>
      <c r="V258" s="9">
        <f>IF(SUMIFS('Daily BSE Equity Options'!$M:$M,'Daily BSE Equity Options'!$A:$A,$A258)=0,"",SUMIFS('Daily BSE Equity Options'!$M:$M,'Daily BSE Equity Options'!$A:$A,$A258))</f>
        <v/>
      </c>
      <c r="W258" s="9">
        <f>IF(OR(U258="",V258=""),"",U258+V258)</f>
        <v/>
      </c>
      <c r="X258" s="25">
        <f>IF(W258="","",U258/W258)</f>
        <v/>
      </c>
      <c r="Y258" s="25">
        <f>IF(W258="","",V258/W258)</f>
        <v/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19">
        <f>IF(G259="","",E259/G259)</f>
        <v/>
      </c>
      <c r="I259" s="19">
        <f>IF(G259="","",F259/G259)</f>
        <v/>
      </c>
      <c r="J259" s="26">
        <f>IFERROR(IF(OR(E259="",INDEX(E:E,MATCH(DATE(YEAR($A259)-1,MONTH($A259),DAY($A259)),$A:$A,0))=""),"",E259/INDEX(E:E,MATCH(DATE(YEAR($A259)-1,MONTH($A259),DAY($A259)),$A:$A,0))-1),"")</f>
        <v/>
      </c>
      <c r="K259" s="19">
        <f>IFERROR(IF(OR(F259="",INDEX(F:F,MATCH(DATE(YEAR($A259)-1,MONTH($A259),DAY($A259)),$A:$A,0))=""),"",F259/INDEX(F:F,MATCH(DATE(YEAR($A259)-1,MONTH($A259),DAY($A259)),$A:$A,0))-1),"")</f>
        <v/>
      </c>
      <c r="L259" s="19">
        <f>IFERROR(IF(OR(G259="",INDEX(G:G,MATCH(DATE(YEAR($A259)-1,MONTH($A259),DAY($A259)),$A:$A,0))=""),"",G259/INDEX(G:G,MATCH(DATE(YEAR($A259)-1,MONTH($A259),DAY($A259)),$A:$A,0))-1),"")</f>
        <v/>
      </c>
      <c r="M259" s="19">
        <f>IF(OR(E259="",E258=""),"",E259/E258-1)</f>
        <v/>
      </c>
      <c r="N259" s="19">
        <f>IF(OR(F259="",F258=""),"",F259/F258-1)</f>
        <v/>
      </c>
      <c r="O259" s="19">
        <f>IF(OR(G259="",G258=""),"",G259/G258-1)</f>
        <v/>
      </c>
      <c r="P259" s="22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IF(R259="","",P259/R259)</f>
        <v/>
      </c>
      <c r="T259" s="23">
        <f>IF(R259="","",Q259/R259)</f>
        <v/>
      </c>
      <c r="U259" s="24">
        <f>IF(SUMIFS('Daily NSE Equity Options'!$M:$M,'Daily NSE Equity Options'!$A:$A,$A259)=0,"",SUMIFS('Daily NSE Equity Options'!$M:$M,'Daily NSE Equity Options'!$A:$A,$A259))</f>
        <v/>
      </c>
      <c r="V259" s="9">
        <f>IF(SUMIFS('Daily BSE Equity Options'!$M:$M,'Daily BSE Equity Options'!$A:$A,$A259)=0,"",SUMIFS('Daily BSE Equity Options'!$M:$M,'Daily BSE Equity Options'!$A:$A,$A259))</f>
        <v/>
      </c>
      <c r="W259" s="9">
        <f>IF(OR(U259="",V259=""),"",U259+V259)</f>
        <v/>
      </c>
      <c r="X259" s="25">
        <f>IF(W259="","",U259/W259)</f>
        <v/>
      </c>
      <c r="Y259" s="25">
        <f>IF(W259="","",V259/W259)</f>
        <v/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19">
        <f>IF(G260="","",E260/G260)</f>
        <v/>
      </c>
      <c r="I260" s="19">
        <f>IF(G260="","",F260/G260)</f>
        <v/>
      </c>
      <c r="J260" s="26">
        <f>IFERROR(IF(OR(E260="",INDEX(E:E,MATCH(DATE(YEAR($A260)-1,MONTH($A260),DAY($A260)),$A:$A,0))=""),"",E260/INDEX(E:E,MATCH(DATE(YEAR($A260)-1,MONTH($A260),DAY($A260)),$A:$A,0))-1),"")</f>
        <v/>
      </c>
      <c r="K260" s="19">
        <f>IFERROR(IF(OR(F260="",INDEX(F:F,MATCH(DATE(YEAR($A260)-1,MONTH($A260),DAY($A260)),$A:$A,0))=""),"",F260/INDEX(F:F,MATCH(DATE(YEAR($A260)-1,MONTH($A260),DAY($A260)),$A:$A,0))-1),"")</f>
        <v/>
      </c>
      <c r="L260" s="19">
        <f>IFERROR(IF(OR(G260="",INDEX(G:G,MATCH(DATE(YEAR($A260)-1,MONTH($A260),DAY($A260)),$A:$A,0))=""),"",G260/INDEX(G:G,MATCH(DATE(YEAR($A260)-1,MONTH($A260),DAY($A260)),$A:$A,0))-1),"")</f>
        <v/>
      </c>
      <c r="M260" s="19">
        <f>IF(OR(E260="",E259=""),"",E260/E259-1)</f>
        <v/>
      </c>
      <c r="N260" s="19">
        <f>IF(OR(F260="",F259=""),"",F260/F259-1)</f>
        <v/>
      </c>
      <c r="O260" s="19">
        <f>IF(OR(G260="",G259=""),"",G260/G259-1)</f>
        <v/>
      </c>
      <c r="P260" s="22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IF(R260="","",P260/R260)</f>
        <v/>
      </c>
      <c r="T260" s="23">
        <f>IF(R260="","",Q260/R260)</f>
        <v/>
      </c>
      <c r="U260" s="24">
        <f>IF(SUMIFS('Daily NSE Equity Options'!$M:$M,'Daily NSE Equity Options'!$A:$A,$A260)=0,"",SUMIFS('Daily NSE Equity Options'!$M:$M,'Daily NSE Equity Options'!$A:$A,$A260))</f>
        <v/>
      </c>
      <c r="V260" s="9">
        <f>IF(SUMIFS('Daily BSE Equity Options'!$M:$M,'Daily BSE Equity Options'!$A:$A,$A260)=0,"",SUMIFS('Daily BSE Equity Options'!$M:$M,'Daily BSE Equity Options'!$A:$A,$A260))</f>
        <v/>
      </c>
      <c r="W260" s="9">
        <f>IF(OR(U260="",V260=""),"",U260+V260)</f>
        <v/>
      </c>
      <c r="X260" s="25">
        <f>IF(W260="","",U260/W260)</f>
        <v/>
      </c>
      <c r="Y260" s="25">
        <f>IF(W260="","",V260/W260)</f>
        <v/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19">
        <f>IF(G261="","",E261/G261)</f>
        <v/>
      </c>
      <c r="I261" s="19">
        <f>IF(G261="","",F261/G261)</f>
        <v/>
      </c>
      <c r="J261" s="26">
        <f>IFERROR(IF(OR(E261="",INDEX(E:E,MATCH(DATE(YEAR($A261)-1,MONTH($A261),DAY($A261)),$A:$A,0))=""),"",E261/INDEX(E:E,MATCH(DATE(YEAR($A261)-1,MONTH($A261),DAY($A261)),$A:$A,0))-1),"")</f>
        <v/>
      </c>
      <c r="K261" s="19">
        <f>IFERROR(IF(OR(F261="",INDEX(F:F,MATCH(DATE(YEAR($A261)-1,MONTH($A261),DAY($A261)),$A:$A,0))=""),"",F261/INDEX(F:F,MATCH(DATE(YEAR($A261)-1,MONTH($A261),DAY($A261)),$A:$A,0))-1),"")</f>
        <v/>
      </c>
      <c r="L261" s="19">
        <f>IFERROR(IF(OR(G261="",INDEX(G:G,MATCH(DATE(YEAR($A261)-1,MONTH($A261),DAY($A261)),$A:$A,0))=""),"",G261/INDEX(G:G,MATCH(DATE(YEAR($A261)-1,MONTH($A261),DAY($A261)),$A:$A,0))-1),"")</f>
        <v/>
      </c>
      <c r="M261" s="19">
        <f>IF(OR(E261="",E260=""),"",E261/E260-1)</f>
        <v/>
      </c>
      <c r="N261" s="19">
        <f>IF(OR(F261="",F260=""),"",F261/F260-1)</f>
        <v/>
      </c>
      <c r="O261" s="19">
        <f>IF(OR(G261="",G260=""),"",G261/G260-1)</f>
        <v/>
      </c>
      <c r="P261" s="22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IF(R261="","",P261/R261)</f>
        <v/>
      </c>
      <c r="T261" s="23">
        <f>IF(R261="","",Q261/R261)</f>
        <v/>
      </c>
      <c r="U261" s="24">
        <f>IF(SUMIFS('Daily NSE Equity Options'!$M:$M,'Daily NSE Equity Options'!$A:$A,$A261)=0,"",SUMIFS('Daily NSE Equity Options'!$M:$M,'Daily NSE Equity Options'!$A:$A,$A261))</f>
        <v/>
      </c>
      <c r="V261" s="9">
        <f>IF(SUMIFS('Daily BSE Equity Options'!$M:$M,'Daily BSE Equity Options'!$A:$A,$A261)=0,"",SUMIFS('Daily BSE Equity Options'!$M:$M,'Daily BSE Equity Options'!$A:$A,$A261))</f>
        <v/>
      </c>
      <c r="W261" s="9">
        <f>IF(OR(U261="",V261=""),"",U261+V261)</f>
        <v/>
      </c>
      <c r="X261" s="25">
        <f>IF(W261="","",U261/W261)</f>
        <v/>
      </c>
      <c r="Y261" s="25">
        <f>IF(W261="","",V261/W261)</f>
        <v/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19">
        <f>IF(G262="","",E262/G262)</f>
        <v/>
      </c>
      <c r="I262" s="19">
        <f>IF(G262="","",F262/G262)</f>
        <v/>
      </c>
      <c r="J262" s="26">
        <f>IFERROR(IF(OR(E262="",INDEX(E:E,MATCH(DATE(YEAR($A262)-1,MONTH($A262),DAY($A262)),$A:$A,0))=""),"",E262/INDEX(E:E,MATCH(DATE(YEAR($A262)-1,MONTH($A262),DAY($A262)),$A:$A,0))-1),"")</f>
        <v/>
      </c>
      <c r="K262" s="19">
        <f>IFERROR(IF(OR(F262="",INDEX(F:F,MATCH(DATE(YEAR($A262)-1,MONTH($A262),DAY($A262)),$A:$A,0))=""),"",F262/INDEX(F:F,MATCH(DATE(YEAR($A262)-1,MONTH($A262),DAY($A262)),$A:$A,0))-1),"")</f>
        <v/>
      </c>
      <c r="L262" s="19">
        <f>IFERROR(IF(OR(G262="",INDEX(G:G,MATCH(DATE(YEAR($A262)-1,MONTH($A262),DAY($A262)),$A:$A,0))=""),"",G262/INDEX(G:G,MATCH(DATE(YEAR($A262)-1,MONTH($A262),DAY($A262)),$A:$A,0))-1),"")</f>
        <v/>
      </c>
      <c r="M262" s="19">
        <f>IF(OR(E262="",E261=""),"",E262/E261-1)</f>
        <v/>
      </c>
      <c r="N262" s="19">
        <f>IF(OR(F262="",F261=""),"",F262/F261-1)</f>
        <v/>
      </c>
      <c r="O262" s="19">
        <f>IF(OR(G262="",G261=""),"",G262/G261-1)</f>
        <v/>
      </c>
      <c r="P262" s="22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IF(R262="","",P262/R262)</f>
        <v/>
      </c>
      <c r="T262" s="23">
        <f>IF(R262="","",Q262/R262)</f>
        <v/>
      </c>
      <c r="U262" s="24">
        <f>IF(SUMIFS('Daily NSE Equity Options'!$M:$M,'Daily NSE Equity Options'!$A:$A,$A262)=0,"",SUMIFS('Daily NSE Equity Options'!$M:$M,'Daily NSE Equity Options'!$A:$A,$A262))</f>
        <v/>
      </c>
      <c r="V262" s="9">
        <f>IF(SUMIFS('Daily BSE Equity Options'!$M:$M,'Daily BSE Equity Options'!$A:$A,$A262)=0,"",SUMIFS('Daily BSE Equity Options'!$M:$M,'Daily BSE Equity Options'!$A:$A,$A262))</f>
        <v/>
      </c>
      <c r="W262" s="9">
        <f>IF(OR(U262="",V262=""),"",U262+V262)</f>
        <v/>
      </c>
      <c r="X262" s="25">
        <f>IF(W262="","",U262/W262)</f>
        <v/>
      </c>
      <c r="Y262" s="25">
        <f>IF(W262="","",V262/W262)</f>
        <v/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19">
        <f>IF(G263="","",E263/G263)</f>
        <v/>
      </c>
      <c r="I263" s="19">
        <f>IF(G263="","",F263/G263)</f>
        <v/>
      </c>
      <c r="J263" s="26">
        <f>IFERROR(IF(OR(E263="",INDEX(E:E,MATCH(DATE(YEAR($A263)-1,MONTH($A263),DAY($A263)),$A:$A,0))=""),"",E263/INDEX(E:E,MATCH(DATE(YEAR($A263)-1,MONTH($A263),DAY($A263)),$A:$A,0))-1),"")</f>
        <v/>
      </c>
      <c r="K263" s="19">
        <f>IFERROR(IF(OR(F263="",INDEX(F:F,MATCH(DATE(YEAR($A263)-1,MONTH($A263),DAY($A263)),$A:$A,0))=""),"",F263/INDEX(F:F,MATCH(DATE(YEAR($A263)-1,MONTH($A263),DAY($A263)),$A:$A,0))-1),"")</f>
        <v/>
      </c>
      <c r="L263" s="19">
        <f>IFERROR(IF(OR(G263="",INDEX(G:G,MATCH(DATE(YEAR($A263)-1,MONTH($A263),DAY($A263)),$A:$A,0))=""),"",G263/INDEX(G:G,MATCH(DATE(YEAR($A263)-1,MONTH($A263),DAY($A263)),$A:$A,0))-1),"")</f>
        <v/>
      </c>
      <c r="M263" s="19">
        <f>IF(OR(E263="",E262=""),"",E263/E262-1)</f>
        <v/>
      </c>
      <c r="N263" s="19">
        <f>IF(OR(F263="",F262=""),"",F263/F262-1)</f>
        <v/>
      </c>
      <c r="O263" s="19">
        <f>IF(OR(G263="",G262=""),"",G263/G262-1)</f>
        <v/>
      </c>
      <c r="P263" s="22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IF(R263="","",P263/R263)</f>
        <v/>
      </c>
      <c r="T263" s="23">
        <f>IF(R263="","",Q263/R263)</f>
        <v/>
      </c>
      <c r="U263" s="24">
        <f>IF(SUMIFS('Daily NSE Equity Options'!$M:$M,'Daily NSE Equity Options'!$A:$A,$A263)=0,"",SUMIFS('Daily NSE Equity Options'!$M:$M,'Daily NSE Equity Options'!$A:$A,$A263))</f>
        <v/>
      </c>
      <c r="V263" s="9">
        <f>IF(SUMIFS('Daily BSE Equity Options'!$M:$M,'Daily BSE Equity Options'!$A:$A,$A263)=0,"",SUMIFS('Daily BSE Equity Options'!$M:$M,'Daily BSE Equity Options'!$A:$A,$A263))</f>
        <v/>
      </c>
      <c r="W263" s="9">
        <f>IF(OR(U263="",V263=""),"",U263+V263)</f>
        <v/>
      </c>
      <c r="X263" s="25">
        <f>IF(W263="","",U263/W263)</f>
        <v/>
      </c>
      <c r="Y263" s="25">
        <f>IF(W263="","",V263/W263)</f>
        <v/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19">
        <f>IF(G264="","",E264/G264)</f>
        <v/>
      </c>
      <c r="I264" s="19">
        <f>IF(G264="","",F264/G264)</f>
        <v/>
      </c>
      <c r="J264" s="26">
        <f>IFERROR(IF(OR(E264="",INDEX(E:E,MATCH(DATE(YEAR($A264)-1,MONTH($A264),DAY($A264)),$A:$A,0))=""),"",E264/INDEX(E:E,MATCH(DATE(YEAR($A264)-1,MONTH($A264),DAY($A264)),$A:$A,0))-1),"")</f>
        <v/>
      </c>
      <c r="K264" s="19">
        <f>IFERROR(IF(OR(F264="",INDEX(F:F,MATCH(DATE(YEAR($A264)-1,MONTH($A264),DAY($A264)),$A:$A,0))=""),"",F264/INDEX(F:F,MATCH(DATE(YEAR($A264)-1,MONTH($A264),DAY($A264)),$A:$A,0))-1),"")</f>
        <v/>
      </c>
      <c r="L264" s="19">
        <f>IFERROR(IF(OR(G264="",INDEX(G:G,MATCH(DATE(YEAR($A264)-1,MONTH($A264),DAY($A264)),$A:$A,0))=""),"",G264/INDEX(G:G,MATCH(DATE(YEAR($A264)-1,MONTH($A264),DAY($A264)),$A:$A,0))-1),"")</f>
        <v/>
      </c>
      <c r="M264" s="19">
        <f>IF(OR(E264="",E263=""),"",E264/E263-1)</f>
        <v/>
      </c>
      <c r="N264" s="19">
        <f>IF(OR(F264="",F263=""),"",F264/F263-1)</f>
        <v/>
      </c>
      <c r="O264" s="19">
        <f>IF(OR(G264="",G263=""),"",G264/G263-1)</f>
        <v/>
      </c>
      <c r="P264" s="22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IF(R264="","",P264/R264)</f>
        <v/>
      </c>
      <c r="T264" s="23">
        <f>IF(R264="","",Q264/R264)</f>
        <v/>
      </c>
      <c r="U264" s="24">
        <f>IF(SUMIFS('Daily NSE Equity Options'!$M:$M,'Daily NSE Equity Options'!$A:$A,$A264)=0,"",SUMIFS('Daily NSE Equity Options'!$M:$M,'Daily NSE Equity Options'!$A:$A,$A264))</f>
        <v/>
      </c>
      <c r="V264" s="9">
        <f>IF(SUMIFS('Daily BSE Equity Options'!$M:$M,'Daily BSE Equity Options'!$A:$A,$A264)=0,"",SUMIFS('Daily BSE Equity Options'!$M:$M,'Daily BSE Equity Options'!$A:$A,$A264))</f>
        <v/>
      </c>
      <c r="W264" s="9">
        <f>IF(OR(U264="",V264=""),"",U264+V264)</f>
        <v/>
      </c>
      <c r="X264" s="25">
        <f>IF(W264="","",U264/W264)</f>
        <v/>
      </c>
      <c r="Y264" s="25">
        <f>IF(W264="","",V264/W264)</f>
        <v/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19">
        <f>IF(G265="","",E265/G265)</f>
        <v/>
      </c>
      <c r="I265" s="19">
        <f>IF(G265="","",F265/G265)</f>
        <v/>
      </c>
      <c r="J265" s="26">
        <f>IFERROR(IF(OR(E265="",INDEX(E:E,MATCH(DATE(YEAR($A265)-1,MONTH($A265),DAY($A265)),$A:$A,0))=""),"",E265/INDEX(E:E,MATCH(DATE(YEAR($A265)-1,MONTH($A265),DAY($A265)),$A:$A,0))-1),"")</f>
        <v/>
      </c>
      <c r="K265" s="19">
        <f>IFERROR(IF(OR(F265="",INDEX(F:F,MATCH(DATE(YEAR($A265)-1,MONTH($A265),DAY($A265)),$A:$A,0))=""),"",F265/INDEX(F:F,MATCH(DATE(YEAR($A265)-1,MONTH($A265),DAY($A265)),$A:$A,0))-1),"")</f>
        <v/>
      </c>
      <c r="L265" s="19">
        <f>IFERROR(IF(OR(G265="",INDEX(G:G,MATCH(DATE(YEAR($A265)-1,MONTH($A265),DAY($A265)),$A:$A,0))=""),"",G265/INDEX(G:G,MATCH(DATE(YEAR($A265)-1,MONTH($A265),DAY($A265)),$A:$A,0))-1),"")</f>
        <v/>
      </c>
      <c r="M265" s="19">
        <f>IF(OR(E265="",E264=""),"",E265/E264-1)</f>
        <v/>
      </c>
      <c r="N265" s="19">
        <f>IF(OR(F265="",F264=""),"",F265/F264-1)</f>
        <v/>
      </c>
      <c r="O265" s="19">
        <f>IF(OR(G265="",G264=""),"",G265/G264-1)</f>
        <v/>
      </c>
      <c r="P265" s="22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IF(R265="","",P265/R265)</f>
        <v/>
      </c>
      <c r="T265" s="23">
        <f>IF(R265="","",Q265/R265)</f>
        <v/>
      </c>
      <c r="U265" s="24">
        <f>IF(SUMIFS('Daily NSE Equity Options'!$M:$M,'Daily NSE Equity Options'!$A:$A,$A265)=0,"",SUMIFS('Daily NSE Equity Options'!$M:$M,'Daily NSE Equity Options'!$A:$A,$A265))</f>
        <v/>
      </c>
      <c r="V265" s="9">
        <f>IF(SUMIFS('Daily BSE Equity Options'!$M:$M,'Daily BSE Equity Options'!$A:$A,$A265)=0,"",SUMIFS('Daily BSE Equity Options'!$M:$M,'Daily BSE Equity Options'!$A:$A,$A265))</f>
        <v/>
      </c>
      <c r="W265" s="9">
        <f>IF(OR(U265="",V265=""),"",U265+V265)</f>
        <v/>
      </c>
      <c r="X265" s="25">
        <f>IF(W265="","",U265/W265)</f>
        <v/>
      </c>
      <c r="Y265" s="25">
        <f>IF(W265="","",V265/W265)</f>
        <v/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19">
        <f>IF(G266="","",E266/G266)</f>
        <v/>
      </c>
      <c r="I266" s="19">
        <f>IF(G266="","",F266/G266)</f>
        <v/>
      </c>
      <c r="J266" s="26">
        <f>IFERROR(IF(OR(E266="",INDEX(E:E,MATCH(DATE(YEAR($A266)-1,MONTH($A266),DAY($A266)),$A:$A,0))=""),"",E266/INDEX(E:E,MATCH(DATE(YEAR($A266)-1,MONTH($A266),DAY($A266)),$A:$A,0))-1),"")</f>
        <v/>
      </c>
      <c r="K266" s="19">
        <f>IFERROR(IF(OR(F266="",INDEX(F:F,MATCH(DATE(YEAR($A266)-1,MONTH($A266),DAY($A266)),$A:$A,0))=""),"",F266/INDEX(F:F,MATCH(DATE(YEAR($A266)-1,MONTH($A266),DAY($A266)),$A:$A,0))-1),"")</f>
        <v/>
      </c>
      <c r="L266" s="19">
        <f>IFERROR(IF(OR(G266="",INDEX(G:G,MATCH(DATE(YEAR($A266)-1,MONTH($A266),DAY($A266)),$A:$A,0))=""),"",G266/INDEX(G:G,MATCH(DATE(YEAR($A266)-1,MONTH($A266),DAY($A266)),$A:$A,0))-1),"")</f>
        <v/>
      </c>
      <c r="M266" s="19">
        <f>IF(OR(E266="",E265=""),"",E266/E265-1)</f>
        <v/>
      </c>
      <c r="N266" s="19">
        <f>IF(OR(F266="",F265=""),"",F266/F265-1)</f>
        <v/>
      </c>
      <c r="O266" s="19">
        <f>IF(OR(G266="",G265=""),"",G266/G265-1)</f>
        <v/>
      </c>
      <c r="P266" s="22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IF(R266="","",P266/R266)</f>
        <v/>
      </c>
      <c r="T266" s="23">
        <f>IF(R266="","",Q266/R266)</f>
        <v/>
      </c>
      <c r="U266" s="24">
        <f>IF(SUMIFS('Daily NSE Equity Options'!$M:$M,'Daily NSE Equity Options'!$A:$A,$A266)=0,"",SUMIFS('Daily NSE Equity Options'!$M:$M,'Daily NSE Equity Options'!$A:$A,$A266))</f>
        <v/>
      </c>
      <c r="V266" s="9">
        <f>IF(SUMIFS('Daily BSE Equity Options'!$M:$M,'Daily BSE Equity Options'!$A:$A,$A266)=0,"",SUMIFS('Daily BSE Equity Options'!$M:$M,'Daily BSE Equity Options'!$A:$A,$A266))</f>
        <v/>
      </c>
      <c r="W266" s="9">
        <f>IF(OR(U266="",V266=""),"",U266+V266)</f>
        <v/>
      </c>
      <c r="X266" s="25">
        <f>IF(W266="","",U266/W266)</f>
        <v/>
      </c>
      <c r="Y266" s="25">
        <f>IF(W266="","",V266/W266)</f>
        <v/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19">
        <f>IF(G267="","",E267/G267)</f>
        <v/>
      </c>
      <c r="I267" s="19">
        <f>IF(G267="","",F267/G267)</f>
        <v/>
      </c>
      <c r="J267" s="26">
        <f>IFERROR(IF(OR(E267="",INDEX(E:E,MATCH(DATE(YEAR($A267)-1,MONTH($A267),DAY($A267)),$A:$A,0))=""),"",E267/INDEX(E:E,MATCH(DATE(YEAR($A267)-1,MONTH($A267),DAY($A267)),$A:$A,0))-1),"")</f>
        <v/>
      </c>
      <c r="K267" s="19">
        <f>IFERROR(IF(OR(F267="",INDEX(F:F,MATCH(DATE(YEAR($A267)-1,MONTH($A267),DAY($A267)),$A:$A,0))=""),"",F267/INDEX(F:F,MATCH(DATE(YEAR($A267)-1,MONTH($A267),DAY($A267)),$A:$A,0))-1),"")</f>
        <v/>
      </c>
      <c r="L267" s="19">
        <f>IFERROR(IF(OR(G267="",INDEX(G:G,MATCH(DATE(YEAR($A267)-1,MONTH($A267),DAY($A267)),$A:$A,0))=""),"",G267/INDEX(G:G,MATCH(DATE(YEAR($A267)-1,MONTH($A267),DAY($A267)),$A:$A,0))-1),"")</f>
        <v/>
      </c>
      <c r="M267" s="19">
        <f>IF(OR(E267="",E266=""),"",E267/E266-1)</f>
        <v/>
      </c>
      <c r="N267" s="19">
        <f>IF(OR(F267="",F266=""),"",F267/F266-1)</f>
        <v/>
      </c>
      <c r="O267" s="19">
        <f>IF(OR(G267="",G266=""),"",G267/G266-1)</f>
        <v/>
      </c>
      <c r="P267" s="22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IF(R267="","",P267/R267)</f>
        <v/>
      </c>
      <c r="T267" s="23">
        <f>IF(R267="","",Q267/R267)</f>
        <v/>
      </c>
      <c r="U267" s="24">
        <f>IF(SUMIFS('Daily NSE Equity Options'!$M:$M,'Daily NSE Equity Options'!$A:$A,$A267)=0,"",SUMIFS('Daily NSE Equity Options'!$M:$M,'Daily NSE Equity Options'!$A:$A,$A267))</f>
        <v/>
      </c>
      <c r="V267" s="9">
        <f>IF(SUMIFS('Daily BSE Equity Options'!$M:$M,'Daily BSE Equity Options'!$A:$A,$A267)=0,"",SUMIFS('Daily BSE Equity Options'!$M:$M,'Daily BSE Equity Options'!$A:$A,$A267))</f>
        <v/>
      </c>
      <c r="W267" s="9">
        <f>IF(OR(U267="",V267=""),"",U267+V267)</f>
        <v/>
      </c>
      <c r="X267" s="25">
        <f>IF(W267="","",U267/W267)</f>
        <v/>
      </c>
      <c r="Y267" s="25">
        <f>IF(W267="","",V267/W267)</f>
        <v/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19">
        <f>IF(G268="","",E268/G268)</f>
        <v/>
      </c>
      <c r="I268" s="19">
        <f>IF(G268="","",F268/G268)</f>
        <v/>
      </c>
      <c r="J268" s="26">
        <f>IFERROR(IF(OR(E268="",INDEX(E:E,MATCH(DATE(YEAR($A268)-1,MONTH($A268),DAY($A268)),$A:$A,0))=""),"",E268/INDEX(E:E,MATCH(DATE(YEAR($A268)-1,MONTH($A268),DAY($A268)),$A:$A,0))-1),"")</f>
        <v/>
      </c>
      <c r="K268" s="19">
        <f>IFERROR(IF(OR(F268="",INDEX(F:F,MATCH(DATE(YEAR($A268)-1,MONTH($A268),DAY($A268)),$A:$A,0))=""),"",F268/INDEX(F:F,MATCH(DATE(YEAR($A268)-1,MONTH($A268),DAY($A268)),$A:$A,0))-1),"")</f>
        <v/>
      </c>
      <c r="L268" s="19">
        <f>IFERROR(IF(OR(G268="",INDEX(G:G,MATCH(DATE(YEAR($A268)-1,MONTH($A268),DAY($A268)),$A:$A,0))=""),"",G268/INDEX(G:G,MATCH(DATE(YEAR($A268)-1,MONTH($A268),DAY($A268)),$A:$A,0))-1),"")</f>
        <v/>
      </c>
      <c r="M268" s="19">
        <f>IF(OR(E268="",E267=""),"",E268/E267-1)</f>
        <v/>
      </c>
      <c r="N268" s="19">
        <f>IF(OR(F268="",F267=""),"",F268/F267-1)</f>
        <v/>
      </c>
      <c r="O268" s="19">
        <f>IF(OR(G268="",G267=""),"",G268/G267-1)</f>
        <v/>
      </c>
      <c r="P268" s="22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IF(R268="","",P268/R268)</f>
        <v/>
      </c>
      <c r="T268" s="23">
        <f>IF(R268="","",Q268/R268)</f>
        <v/>
      </c>
      <c r="U268" s="24">
        <f>IF(SUMIFS('Daily NSE Equity Options'!$M:$M,'Daily NSE Equity Options'!$A:$A,$A268)=0,"",SUMIFS('Daily NSE Equity Options'!$M:$M,'Daily NSE Equity Options'!$A:$A,$A268))</f>
        <v/>
      </c>
      <c r="V268" s="9">
        <f>IF(SUMIFS('Daily BSE Equity Options'!$M:$M,'Daily BSE Equity Options'!$A:$A,$A268)=0,"",SUMIFS('Daily BSE Equity Options'!$M:$M,'Daily BSE Equity Options'!$A:$A,$A268))</f>
        <v/>
      </c>
      <c r="W268" s="9">
        <f>IF(OR(U268="",V268=""),"",U268+V268)</f>
        <v/>
      </c>
      <c r="X268" s="25">
        <f>IF(W268="","",U268/W268)</f>
        <v/>
      </c>
      <c r="Y268" s="25">
        <f>IF(W268="","",V268/W268)</f>
        <v/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19">
        <f>IF(G269="","",E269/G269)</f>
        <v/>
      </c>
      <c r="I269" s="19">
        <f>IF(G269="","",F269/G269)</f>
        <v/>
      </c>
      <c r="J269" s="26">
        <f>IFERROR(IF(OR(E269="",INDEX(E:E,MATCH(DATE(YEAR($A269)-1,MONTH($A269),DAY($A269)),$A:$A,0))=""),"",E269/INDEX(E:E,MATCH(DATE(YEAR($A269)-1,MONTH($A269),DAY($A269)),$A:$A,0))-1),"")</f>
        <v/>
      </c>
      <c r="K269" s="19">
        <f>IFERROR(IF(OR(F269="",INDEX(F:F,MATCH(DATE(YEAR($A269)-1,MONTH($A269),DAY($A269)),$A:$A,0))=""),"",F269/INDEX(F:F,MATCH(DATE(YEAR($A269)-1,MONTH($A269),DAY($A269)),$A:$A,0))-1),"")</f>
        <v/>
      </c>
      <c r="L269" s="19">
        <f>IFERROR(IF(OR(G269="",INDEX(G:G,MATCH(DATE(YEAR($A269)-1,MONTH($A269),DAY($A269)),$A:$A,0))=""),"",G269/INDEX(G:G,MATCH(DATE(YEAR($A269)-1,MONTH($A269),DAY($A269)),$A:$A,0))-1),"")</f>
        <v/>
      </c>
      <c r="M269" s="19">
        <f>IF(OR(E269="",E268=""),"",E269/E268-1)</f>
        <v/>
      </c>
      <c r="N269" s="19">
        <f>IF(OR(F269="",F268=""),"",F269/F268-1)</f>
        <v/>
      </c>
      <c r="O269" s="19">
        <f>IF(OR(G269="",G268=""),"",G269/G268-1)</f>
        <v/>
      </c>
      <c r="P269" s="22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IF(R269="","",P269/R269)</f>
        <v/>
      </c>
      <c r="T269" s="23">
        <f>IF(R269="","",Q269/R269)</f>
        <v/>
      </c>
      <c r="U269" s="24">
        <f>IF(SUMIFS('Daily NSE Equity Options'!$M:$M,'Daily NSE Equity Options'!$A:$A,$A269)=0,"",SUMIFS('Daily NSE Equity Options'!$M:$M,'Daily NSE Equity Options'!$A:$A,$A269))</f>
        <v/>
      </c>
      <c r="V269" s="9">
        <f>IF(SUMIFS('Daily BSE Equity Options'!$M:$M,'Daily BSE Equity Options'!$A:$A,$A269)=0,"",SUMIFS('Daily BSE Equity Options'!$M:$M,'Daily BSE Equity Options'!$A:$A,$A269))</f>
        <v/>
      </c>
      <c r="W269" s="9">
        <f>IF(OR(U269="",V269=""),"",U269+V269)</f>
        <v/>
      </c>
      <c r="X269" s="25">
        <f>IF(W269="","",U269/W269)</f>
        <v/>
      </c>
      <c r="Y269" s="25">
        <f>IF(W269="","",V269/W269)</f>
        <v/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19">
        <f>IF(G270="","",E270/G270)</f>
        <v/>
      </c>
      <c r="I270" s="19">
        <f>IF(G270="","",F270/G270)</f>
        <v/>
      </c>
      <c r="J270" s="26">
        <f>IFERROR(IF(OR(E270="",INDEX(E:E,MATCH(DATE(YEAR($A270)-1,MONTH($A270),DAY($A270)),$A:$A,0))=""),"",E270/INDEX(E:E,MATCH(DATE(YEAR($A270)-1,MONTH($A270),DAY($A270)),$A:$A,0))-1),"")</f>
        <v/>
      </c>
      <c r="K270" s="19">
        <f>IFERROR(IF(OR(F270="",INDEX(F:F,MATCH(DATE(YEAR($A270)-1,MONTH($A270),DAY($A270)),$A:$A,0))=""),"",F270/INDEX(F:F,MATCH(DATE(YEAR($A270)-1,MONTH($A270),DAY($A270)),$A:$A,0))-1),"")</f>
        <v/>
      </c>
      <c r="L270" s="19">
        <f>IFERROR(IF(OR(G270="",INDEX(G:G,MATCH(DATE(YEAR($A270)-1,MONTH($A270),DAY($A270)),$A:$A,0))=""),"",G270/INDEX(G:G,MATCH(DATE(YEAR($A270)-1,MONTH($A270),DAY($A270)),$A:$A,0))-1),"")</f>
        <v/>
      </c>
      <c r="M270" s="19">
        <f>IF(OR(E270="",E269=""),"",E270/E269-1)</f>
        <v/>
      </c>
      <c r="N270" s="19">
        <f>IF(OR(F270="",F269=""),"",F270/F269-1)</f>
        <v/>
      </c>
      <c r="O270" s="19">
        <f>IF(OR(G270="",G269=""),"",G270/G269-1)</f>
        <v/>
      </c>
      <c r="P270" s="22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IF(R270="","",P270/R270)</f>
        <v/>
      </c>
      <c r="T270" s="23">
        <f>IF(R270="","",Q270/R270)</f>
        <v/>
      </c>
      <c r="U270" s="24">
        <f>IF(SUMIFS('Daily NSE Equity Options'!$M:$M,'Daily NSE Equity Options'!$A:$A,$A270)=0,"",SUMIFS('Daily NSE Equity Options'!$M:$M,'Daily NSE Equity Options'!$A:$A,$A270))</f>
        <v/>
      </c>
      <c r="V270" s="9">
        <f>IF(SUMIFS('Daily BSE Equity Options'!$M:$M,'Daily BSE Equity Options'!$A:$A,$A270)=0,"",SUMIFS('Daily BSE Equity Options'!$M:$M,'Daily BSE Equity Options'!$A:$A,$A270))</f>
        <v/>
      </c>
      <c r="W270" s="9">
        <f>IF(OR(U270="",V270=""),"",U270+V270)</f>
        <v/>
      </c>
      <c r="X270" s="25">
        <f>IF(W270="","",U270/W270)</f>
        <v/>
      </c>
      <c r="Y270" s="25">
        <f>IF(W270="","",V270/W270)</f>
        <v/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19">
        <f>IF(G271="","",E271/G271)</f>
        <v/>
      </c>
      <c r="I271" s="19">
        <f>IF(G271="","",F271/G271)</f>
        <v/>
      </c>
      <c r="J271" s="26">
        <f>IFERROR(IF(OR(E271="",INDEX(E:E,MATCH(DATE(YEAR($A271)-1,MONTH($A271),DAY($A271)),$A:$A,0))=""),"",E271/INDEX(E:E,MATCH(DATE(YEAR($A271)-1,MONTH($A271),DAY($A271)),$A:$A,0))-1),"")</f>
        <v/>
      </c>
      <c r="K271" s="19">
        <f>IFERROR(IF(OR(F271="",INDEX(F:F,MATCH(DATE(YEAR($A271)-1,MONTH($A271),DAY($A271)),$A:$A,0))=""),"",F271/INDEX(F:F,MATCH(DATE(YEAR($A271)-1,MONTH($A271),DAY($A271)),$A:$A,0))-1),"")</f>
        <v/>
      </c>
      <c r="L271" s="19">
        <f>IFERROR(IF(OR(G271="",INDEX(G:G,MATCH(DATE(YEAR($A271)-1,MONTH($A271),DAY($A271)),$A:$A,0))=""),"",G271/INDEX(G:G,MATCH(DATE(YEAR($A271)-1,MONTH($A271),DAY($A271)),$A:$A,0))-1),"")</f>
        <v/>
      </c>
      <c r="M271" s="19">
        <f>IF(OR(E271="",E270=""),"",E271/E270-1)</f>
        <v/>
      </c>
      <c r="N271" s="19">
        <f>IF(OR(F271="",F270=""),"",F271/F270-1)</f>
        <v/>
      </c>
      <c r="O271" s="19">
        <f>IF(OR(G271="",G270=""),"",G271/G270-1)</f>
        <v/>
      </c>
      <c r="P271" s="22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IF(R271="","",P271/R271)</f>
        <v/>
      </c>
      <c r="T271" s="23">
        <f>IF(R271="","",Q271/R271)</f>
        <v/>
      </c>
      <c r="U271" s="24">
        <f>IF(SUMIFS('Daily NSE Equity Options'!$M:$M,'Daily NSE Equity Options'!$A:$A,$A271)=0,"",SUMIFS('Daily NSE Equity Options'!$M:$M,'Daily NSE Equity Options'!$A:$A,$A271))</f>
        <v/>
      </c>
      <c r="V271" s="9">
        <f>IF(SUMIFS('Daily BSE Equity Options'!$M:$M,'Daily BSE Equity Options'!$A:$A,$A271)=0,"",SUMIFS('Daily BSE Equity Options'!$M:$M,'Daily BSE Equity Options'!$A:$A,$A271))</f>
        <v/>
      </c>
      <c r="W271" s="9">
        <f>IF(OR(U271="",V271=""),"",U271+V271)</f>
        <v/>
      </c>
      <c r="X271" s="25">
        <f>IF(W271="","",U271/W271)</f>
        <v/>
      </c>
      <c r="Y271" s="25">
        <f>IF(W271="","",V271/W271)</f>
        <v/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19">
        <f>IF(G272="","",E272/G272)</f>
        <v/>
      </c>
      <c r="I272" s="19">
        <f>IF(G272="","",F272/G272)</f>
        <v/>
      </c>
      <c r="J272" s="26">
        <f>IFERROR(IF(OR(E272="",INDEX(E:E,MATCH(DATE(YEAR($A272)-1,MONTH($A272),DAY($A272)),$A:$A,0))=""),"",E272/INDEX(E:E,MATCH(DATE(YEAR($A272)-1,MONTH($A272),DAY($A272)),$A:$A,0))-1),"")</f>
        <v/>
      </c>
      <c r="K272" s="19">
        <f>IFERROR(IF(OR(F272="",INDEX(F:F,MATCH(DATE(YEAR($A272)-1,MONTH($A272),DAY($A272)),$A:$A,0))=""),"",F272/INDEX(F:F,MATCH(DATE(YEAR($A272)-1,MONTH($A272),DAY($A272)),$A:$A,0))-1),"")</f>
        <v/>
      </c>
      <c r="L272" s="19">
        <f>IFERROR(IF(OR(G272="",INDEX(G:G,MATCH(DATE(YEAR($A272)-1,MONTH($A272),DAY($A272)),$A:$A,0))=""),"",G272/INDEX(G:G,MATCH(DATE(YEAR($A272)-1,MONTH($A272),DAY($A272)),$A:$A,0))-1),"")</f>
        <v/>
      </c>
      <c r="M272" s="19">
        <f>IF(OR(E272="",E271=""),"",E272/E271-1)</f>
        <v/>
      </c>
      <c r="N272" s="19">
        <f>IF(OR(F272="",F271=""),"",F272/F271-1)</f>
        <v/>
      </c>
      <c r="O272" s="19">
        <f>IF(OR(G272="",G271=""),"",G272/G271-1)</f>
        <v/>
      </c>
      <c r="P272" s="22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IF(R272="","",P272/R272)</f>
        <v/>
      </c>
      <c r="T272" s="23">
        <f>IF(R272="","",Q272/R272)</f>
        <v/>
      </c>
      <c r="U272" s="24">
        <f>IF(SUMIFS('Daily NSE Equity Options'!$M:$M,'Daily NSE Equity Options'!$A:$A,$A272)=0,"",SUMIFS('Daily NSE Equity Options'!$M:$M,'Daily NSE Equity Options'!$A:$A,$A272))</f>
        <v/>
      </c>
      <c r="V272" s="9">
        <f>IF(SUMIFS('Daily BSE Equity Options'!$M:$M,'Daily BSE Equity Options'!$A:$A,$A272)=0,"",SUMIFS('Daily BSE Equity Options'!$M:$M,'Daily BSE Equity Options'!$A:$A,$A272))</f>
        <v/>
      </c>
      <c r="W272" s="9">
        <f>IF(OR(U272="",V272=""),"",U272+V272)</f>
        <v/>
      </c>
      <c r="X272" s="25">
        <f>IF(W272="","",U272/W272)</f>
        <v/>
      </c>
      <c r="Y272" s="25">
        <f>IF(W272="","",V272/W272)</f>
        <v/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19">
        <f>IF(G273="","",E273/G273)</f>
        <v/>
      </c>
      <c r="I273" s="19">
        <f>IF(G273="","",F273/G273)</f>
        <v/>
      </c>
      <c r="J273" s="26">
        <f>IFERROR(IF(OR(E273="",INDEX(E:E,MATCH(DATE(YEAR($A273)-1,MONTH($A273),DAY($A273)),$A:$A,0))=""),"",E273/INDEX(E:E,MATCH(DATE(YEAR($A273)-1,MONTH($A273),DAY($A273)),$A:$A,0))-1),"")</f>
        <v/>
      </c>
      <c r="K273" s="19">
        <f>IFERROR(IF(OR(F273="",INDEX(F:F,MATCH(DATE(YEAR($A273)-1,MONTH($A273),DAY($A273)),$A:$A,0))=""),"",F273/INDEX(F:F,MATCH(DATE(YEAR($A273)-1,MONTH($A273),DAY($A273)),$A:$A,0))-1),"")</f>
        <v/>
      </c>
      <c r="L273" s="19">
        <f>IFERROR(IF(OR(G273="",INDEX(G:G,MATCH(DATE(YEAR($A273)-1,MONTH($A273),DAY($A273)),$A:$A,0))=""),"",G273/INDEX(G:G,MATCH(DATE(YEAR($A273)-1,MONTH($A273),DAY($A273)),$A:$A,0))-1),"")</f>
        <v/>
      </c>
      <c r="M273" s="19">
        <f>IF(OR(E273="",E272=""),"",E273/E272-1)</f>
        <v/>
      </c>
      <c r="N273" s="19">
        <f>IF(OR(F273="",F272=""),"",F273/F272-1)</f>
        <v/>
      </c>
      <c r="O273" s="19">
        <f>IF(OR(G273="",G272=""),"",G273/G272-1)</f>
        <v/>
      </c>
      <c r="P273" s="22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IF(R273="","",P273/R273)</f>
        <v/>
      </c>
      <c r="T273" s="23">
        <f>IF(R273="","",Q273/R273)</f>
        <v/>
      </c>
      <c r="U273" s="24">
        <f>IF(SUMIFS('Daily NSE Equity Options'!$M:$M,'Daily NSE Equity Options'!$A:$A,$A273)=0,"",SUMIFS('Daily NSE Equity Options'!$M:$M,'Daily NSE Equity Options'!$A:$A,$A273))</f>
        <v/>
      </c>
      <c r="V273" s="9">
        <f>IF(SUMIFS('Daily BSE Equity Options'!$M:$M,'Daily BSE Equity Options'!$A:$A,$A273)=0,"",SUMIFS('Daily BSE Equity Options'!$M:$M,'Daily BSE Equity Options'!$A:$A,$A273))</f>
        <v/>
      </c>
      <c r="W273" s="9">
        <f>IF(OR(U273="",V273=""),"",U273+V273)</f>
        <v/>
      </c>
      <c r="X273" s="25">
        <f>IF(W273="","",U273/W273)</f>
        <v/>
      </c>
      <c r="Y273" s="25">
        <f>IF(W273="","",V273/W273)</f>
        <v/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19">
        <f>IF(G274="","",E274/G274)</f>
        <v/>
      </c>
      <c r="I274" s="19">
        <f>IF(G274="","",F274/G274)</f>
        <v/>
      </c>
      <c r="J274" s="26">
        <f>IFERROR(IF(OR(E274="",INDEX(E:E,MATCH(DATE(YEAR($A274)-1,MONTH($A274),DAY($A274)),$A:$A,0))=""),"",E274/INDEX(E:E,MATCH(DATE(YEAR($A274)-1,MONTH($A274),DAY($A274)),$A:$A,0))-1),"")</f>
        <v/>
      </c>
      <c r="K274" s="19">
        <f>IFERROR(IF(OR(F274="",INDEX(F:F,MATCH(DATE(YEAR($A274)-1,MONTH($A274),DAY($A274)),$A:$A,0))=""),"",F274/INDEX(F:F,MATCH(DATE(YEAR($A274)-1,MONTH($A274),DAY($A274)),$A:$A,0))-1),"")</f>
        <v/>
      </c>
      <c r="L274" s="19">
        <f>IFERROR(IF(OR(G274="",INDEX(G:G,MATCH(DATE(YEAR($A274)-1,MONTH($A274),DAY($A274)),$A:$A,0))=""),"",G274/INDEX(G:G,MATCH(DATE(YEAR($A274)-1,MONTH($A274),DAY($A274)),$A:$A,0))-1),"")</f>
        <v/>
      </c>
      <c r="M274" s="19">
        <f>IF(OR(E274="",E273=""),"",E274/E273-1)</f>
        <v/>
      </c>
      <c r="N274" s="19">
        <f>IF(OR(F274="",F273=""),"",F274/F273-1)</f>
        <v/>
      </c>
      <c r="O274" s="19">
        <f>IF(OR(G274="",G273=""),"",G274/G273-1)</f>
        <v/>
      </c>
      <c r="P274" s="22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IF(R274="","",P274/R274)</f>
        <v/>
      </c>
      <c r="T274" s="23">
        <f>IF(R274="","",Q274/R274)</f>
        <v/>
      </c>
      <c r="U274" s="24">
        <f>IF(SUMIFS('Daily NSE Equity Options'!$M:$M,'Daily NSE Equity Options'!$A:$A,$A274)=0,"",SUMIFS('Daily NSE Equity Options'!$M:$M,'Daily NSE Equity Options'!$A:$A,$A274))</f>
        <v/>
      </c>
      <c r="V274" s="9">
        <f>IF(SUMIFS('Daily BSE Equity Options'!$M:$M,'Daily BSE Equity Options'!$A:$A,$A274)=0,"",SUMIFS('Daily BSE Equity Options'!$M:$M,'Daily BSE Equity Options'!$A:$A,$A274))</f>
        <v/>
      </c>
      <c r="W274" s="9">
        <f>IF(OR(U274="",V274=""),"",U274+V274)</f>
        <v/>
      </c>
      <c r="X274" s="25">
        <f>IF(W274="","",U274/W274)</f>
        <v/>
      </c>
      <c r="Y274" s="25">
        <f>IF(W274="","",V274/W274)</f>
        <v/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19">
        <f>IF(G275="","",E275/G275)</f>
        <v/>
      </c>
      <c r="I275" s="19">
        <f>IF(G275="","",F275/G275)</f>
        <v/>
      </c>
      <c r="J275" s="26">
        <f>IFERROR(IF(OR(E275="",INDEX(E:E,MATCH(DATE(YEAR($A275)-1,MONTH($A275),DAY($A275)),$A:$A,0))=""),"",E275/INDEX(E:E,MATCH(DATE(YEAR($A275)-1,MONTH($A275),DAY($A275)),$A:$A,0))-1),"")</f>
        <v/>
      </c>
      <c r="K275" s="19">
        <f>IFERROR(IF(OR(F275="",INDEX(F:F,MATCH(DATE(YEAR($A275)-1,MONTH($A275),DAY($A275)),$A:$A,0))=""),"",F275/INDEX(F:F,MATCH(DATE(YEAR($A275)-1,MONTH($A275),DAY($A275)),$A:$A,0))-1),"")</f>
        <v/>
      </c>
      <c r="L275" s="19">
        <f>IFERROR(IF(OR(G275="",INDEX(G:G,MATCH(DATE(YEAR($A275)-1,MONTH($A275),DAY($A275)),$A:$A,0))=""),"",G275/INDEX(G:G,MATCH(DATE(YEAR($A275)-1,MONTH($A275),DAY($A275)),$A:$A,0))-1),"")</f>
        <v/>
      </c>
      <c r="M275" s="19">
        <f>IF(OR(E275="",E274=""),"",E275/E274-1)</f>
        <v/>
      </c>
      <c r="N275" s="19">
        <f>IF(OR(F275="",F274=""),"",F275/F274-1)</f>
        <v/>
      </c>
      <c r="O275" s="19">
        <f>IF(OR(G275="",G274=""),"",G275/G274-1)</f>
        <v/>
      </c>
      <c r="P275" s="22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IF(R275="","",P275/R275)</f>
        <v/>
      </c>
      <c r="T275" s="23">
        <f>IF(R275="","",Q275/R275)</f>
        <v/>
      </c>
      <c r="U275" s="24">
        <f>IF(SUMIFS('Daily NSE Equity Options'!$M:$M,'Daily NSE Equity Options'!$A:$A,$A275)=0,"",SUMIFS('Daily NSE Equity Options'!$M:$M,'Daily NSE Equity Options'!$A:$A,$A275))</f>
        <v/>
      </c>
      <c r="V275" s="9">
        <f>IF(SUMIFS('Daily BSE Equity Options'!$M:$M,'Daily BSE Equity Options'!$A:$A,$A275)=0,"",SUMIFS('Daily BSE Equity Options'!$M:$M,'Daily BSE Equity Options'!$A:$A,$A275))</f>
        <v/>
      </c>
      <c r="W275" s="9">
        <f>IF(OR(U275="",V275=""),"",U275+V275)</f>
        <v/>
      </c>
      <c r="X275" s="25">
        <f>IF(W275="","",U275/W275)</f>
        <v/>
      </c>
      <c r="Y275" s="25">
        <f>IF(W275="","",V275/W275)</f>
        <v/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19">
        <f>IF(G276="","",E276/G276)</f>
        <v/>
      </c>
      <c r="I276" s="19">
        <f>IF(G276="","",F276/G276)</f>
        <v/>
      </c>
      <c r="J276" s="26">
        <f>IFERROR(IF(OR(E276="",INDEX(E:E,MATCH(DATE(YEAR($A276)-1,MONTH($A276),DAY($A276)),$A:$A,0))=""),"",E276/INDEX(E:E,MATCH(DATE(YEAR($A276)-1,MONTH($A276),DAY($A276)),$A:$A,0))-1),"")</f>
        <v/>
      </c>
      <c r="K276" s="19">
        <f>IFERROR(IF(OR(F276="",INDEX(F:F,MATCH(DATE(YEAR($A276)-1,MONTH($A276),DAY($A276)),$A:$A,0))=""),"",F276/INDEX(F:F,MATCH(DATE(YEAR($A276)-1,MONTH($A276),DAY($A276)),$A:$A,0))-1),"")</f>
        <v/>
      </c>
      <c r="L276" s="19">
        <f>IFERROR(IF(OR(G276="",INDEX(G:G,MATCH(DATE(YEAR($A276)-1,MONTH($A276),DAY($A276)),$A:$A,0))=""),"",G276/INDEX(G:G,MATCH(DATE(YEAR($A276)-1,MONTH($A276),DAY($A276)),$A:$A,0))-1),"")</f>
        <v/>
      </c>
      <c r="M276" s="19">
        <f>IF(OR(E276="",E275=""),"",E276/E275-1)</f>
        <v/>
      </c>
      <c r="N276" s="19">
        <f>IF(OR(F276="",F275=""),"",F276/F275-1)</f>
        <v/>
      </c>
      <c r="O276" s="19">
        <f>IF(OR(G276="",G275=""),"",G276/G275-1)</f>
        <v/>
      </c>
      <c r="P276" s="22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IF(R276="","",P276/R276)</f>
        <v/>
      </c>
      <c r="T276" s="23">
        <f>IF(R276="","",Q276/R276)</f>
        <v/>
      </c>
      <c r="U276" s="24">
        <f>IF(SUMIFS('Daily NSE Equity Options'!$M:$M,'Daily NSE Equity Options'!$A:$A,$A276)=0,"",SUMIFS('Daily NSE Equity Options'!$M:$M,'Daily NSE Equity Options'!$A:$A,$A276))</f>
        <v/>
      </c>
      <c r="V276" s="9">
        <f>IF(SUMIFS('Daily BSE Equity Options'!$M:$M,'Daily BSE Equity Options'!$A:$A,$A276)=0,"",SUMIFS('Daily BSE Equity Options'!$M:$M,'Daily BSE Equity Options'!$A:$A,$A276))</f>
        <v/>
      </c>
      <c r="W276" s="9">
        <f>IF(OR(U276="",V276=""),"",U276+V276)</f>
        <v/>
      </c>
      <c r="X276" s="25">
        <f>IF(W276="","",U276/W276)</f>
        <v/>
      </c>
      <c r="Y276" s="25">
        <f>IF(W276="","",V276/W276)</f>
        <v/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19">
        <f>IF(G277="","",E277/G277)</f>
        <v/>
      </c>
      <c r="I277" s="19">
        <f>IF(G277="","",F277/G277)</f>
        <v/>
      </c>
      <c r="J277" s="26">
        <f>IFERROR(IF(OR(E277="",INDEX(E:E,MATCH(DATE(YEAR($A277)-1,MONTH($A277),DAY($A277)),$A:$A,0))=""),"",E277/INDEX(E:E,MATCH(DATE(YEAR($A277)-1,MONTH($A277),DAY($A277)),$A:$A,0))-1),"")</f>
        <v/>
      </c>
      <c r="K277" s="19">
        <f>IFERROR(IF(OR(F277="",INDEX(F:F,MATCH(DATE(YEAR($A277)-1,MONTH($A277),DAY($A277)),$A:$A,0))=""),"",F277/INDEX(F:F,MATCH(DATE(YEAR($A277)-1,MONTH($A277),DAY($A277)),$A:$A,0))-1),"")</f>
        <v/>
      </c>
      <c r="L277" s="19">
        <f>IFERROR(IF(OR(G277="",INDEX(G:G,MATCH(DATE(YEAR($A277)-1,MONTH($A277),DAY($A277)),$A:$A,0))=""),"",G277/INDEX(G:G,MATCH(DATE(YEAR($A277)-1,MONTH($A277),DAY($A277)),$A:$A,0))-1),"")</f>
        <v/>
      </c>
      <c r="M277" s="19">
        <f>IF(OR(E277="",E276=""),"",E277/E276-1)</f>
        <v/>
      </c>
      <c r="N277" s="19">
        <f>IF(OR(F277="",F276=""),"",F277/F276-1)</f>
        <v/>
      </c>
      <c r="O277" s="19">
        <f>IF(OR(G277="",G276=""),"",G277/G276-1)</f>
        <v/>
      </c>
      <c r="P277" s="22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IF(R277="","",P277/R277)</f>
        <v/>
      </c>
      <c r="T277" s="23">
        <f>IF(R277="","",Q277/R277)</f>
        <v/>
      </c>
      <c r="U277" s="24">
        <f>IF(SUMIFS('Daily NSE Equity Options'!$M:$M,'Daily NSE Equity Options'!$A:$A,$A277)=0,"",SUMIFS('Daily NSE Equity Options'!$M:$M,'Daily NSE Equity Options'!$A:$A,$A277))</f>
        <v/>
      </c>
      <c r="V277" s="9">
        <f>IF(SUMIFS('Daily BSE Equity Options'!$M:$M,'Daily BSE Equity Options'!$A:$A,$A277)=0,"",SUMIFS('Daily BSE Equity Options'!$M:$M,'Daily BSE Equity Options'!$A:$A,$A277))</f>
        <v/>
      </c>
      <c r="W277" s="9">
        <f>IF(OR(U277="",V277=""),"",U277+V277)</f>
        <v/>
      </c>
      <c r="X277" s="25">
        <f>IF(W277="","",U277/W277)</f>
        <v/>
      </c>
      <c r="Y277" s="25">
        <f>IF(W277="","",V277/W277)</f>
        <v/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19">
        <f>IF(G278="","",E278/G278)</f>
        <v/>
      </c>
      <c r="I278" s="19">
        <f>IF(G278="","",F278/G278)</f>
        <v/>
      </c>
      <c r="J278" s="26">
        <f>IFERROR(IF(OR(E278="",INDEX(E:E,MATCH(DATE(YEAR($A278)-1,MONTH($A278),DAY($A278)),$A:$A,0))=""),"",E278/INDEX(E:E,MATCH(DATE(YEAR($A278)-1,MONTH($A278),DAY($A278)),$A:$A,0))-1),"")</f>
        <v/>
      </c>
      <c r="K278" s="19">
        <f>IFERROR(IF(OR(F278="",INDEX(F:F,MATCH(DATE(YEAR($A278)-1,MONTH($A278),DAY($A278)),$A:$A,0))=""),"",F278/INDEX(F:F,MATCH(DATE(YEAR($A278)-1,MONTH($A278),DAY($A278)),$A:$A,0))-1),"")</f>
        <v/>
      </c>
      <c r="L278" s="19">
        <f>IFERROR(IF(OR(G278="",INDEX(G:G,MATCH(DATE(YEAR($A278)-1,MONTH($A278),DAY($A278)),$A:$A,0))=""),"",G278/INDEX(G:G,MATCH(DATE(YEAR($A278)-1,MONTH($A278),DAY($A278)),$A:$A,0))-1),"")</f>
        <v/>
      </c>
      <c r="M278" s="19">
        <f>IF(OR(E278="",E277=""),"",E278/E277-1)</f>
        <v/>
      </c>
      <c r="N278" s="19">
        <f>IF(OR(F278="",F277=""),"",F278/F277-1)</f>
        <v/>
      </c>
      <c r="O278" s="19">
        <f>IF(OR(G278="",G277=""),"",G278/G277-1)</f>
        <v/>
      </c>
      <c r="P278" s="22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IF(R278="","",P278/R278)</f>
        <v/>
      </c>
      <c r="T278" s="23">
        <f>IF(R278="","",Q278/R278)</f>
        <v/>
      </c>
      <c r="U278" s="24">
        <f>IF(SUMIFS('Daily NSE Equity Options'!$M:$M,'Daily NSE Equity Options'!$A:$A,$A278)=0,"",SUMIFS('Daily NSE Equity Options'!$M:$M,'Daily NSE Equity Options'!$A:$A,$A278))</f>
        <v/>
      </c>
      <c r="V278" s="9">
        <f>IF(SUMIFS('Daily BSE Equity Options'!$M:$M,'Daily BSE Equity Options'!$A:$A,$A278)=0,"",SUMIFS('Daily BSE Equity Options'!$M:$M,'Daily BSE Equity Options'!$A:$A,$A278))</f>
        <v/>
      </c>
      <c r="W278" s="9">
        <f>IF(OR(U278="",V278=""),"",U278+V278)</f>
        <v/>
      </c>
      <c r="X278" s="25">
        <f>IF(W278="","",U278/W278)</f>
        <v/>
      </c>
      <c r="Y278" s="25">
        <f>IF(W278="","",V278/W278)</f>
        <v/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19">
        <f>IF(G279="","",E279/G279)</f>
        <v/>
      </c>
      <c r="I279" s="19">
        <f>IF(G279="","",F279/G279)</f>
        <v/>
      </c>
      <c r="J279" s="26">
        <f>IFERROR(IF(OR(E279="",INDEX(E:E,MATCH(DATE(YEAR($A279)-1,MONTH($A279),DAY($A279)),$A:$A,0))=""),"",E279/INDEX(E:E,MATCH(DATE(YEAR($A279)-1,MONTH($A279),DAY($A279)),$A:$A,0))-1),"")</f>
        <v/>
      </c>
      <c r="K279" s="19">
        <f>IFERROR(IF(OR(F279="",INDEX(F:F,MATCH(DATE(YEAR($A279)-1,MONTH($A279),DAY($A279)),$A:$A,0))=""),"",F279/INDEX(F:F,MATCH(DATE(YEAR($A279)-1,MONTH($A279),DAY($A279)),$A:$A,0))-1),"")</f>
        <v/>
      </c>
      <c r="L279" s="19">
        <f>IFERROR(IF(OR(G279="",INDEX(G:G,MATCH(DATE(YEAR($A279)-1,MONTH($A279),DAY($A279)),$A:$A,0))=""),"",G279/INDEX(G:G,MATCH(DATE(YEAR($A279)-1,MONTH($A279),DAY($A279)),$A:$A,0))-1),"")</f>
        <v/>
      </c>
      <c r="M279" s="19">
        <f>IF(OR(E279="",E278=""),"",E279/E278-1)</f>
        <v/>
      </c>
      <c r="N279" s="19">
        <f>IF(OR(F279="",F278=""),"",F279/F278-1)</f>
        <v/>
      </c>
      <c r="O279" s="19">
        <f>IF(OR(G279="",G278=""),"",G279/G278-1)</f>
        <v/>
      </c>
      <c r="P279" s="22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IF(R279="","",P279/R279)</f>
        <v/>
      </c>
      <c r="T279" s="23">
        <f>IF(R279="","",Q279/R279)</f>
        <v/>
      </c>
      <c r="U279" s="24">
        <f>IF(SUMIFS('Daily NSE Equity Options'!$M:$M,'Daily NSE Equity Options'!$A:$A,$A279)=0,"",SUMIFS('Daily NSE Equity Options'!$M:$M,'Daily NSE Equity Options'!$A:$A,$A279))</f>
        <v/>
      </c>
      <c r="V279" s="9">
        <f>IF(SUMIFS('Daily BSE Equity Options'!$M:$M,'Daily BSE Equity Options'!$A:$A,$A279)=0,"",SUMIFS('Daily BSE Equity Options'!$M:$M,'Daily BSE Equity Options'!$A:$A,$A279))</f>
        <v/>
      </c>
      <c r="W279" s="9">
        <f>IF(OR(U279="",V279=""),"",U279+V279)</f>
        <v/>
      </c>
      <c r="X279" s="25">
        <f>IF(W279="","",U279/W279)</f>
        <v/>
      </c>
      <c r="Y279" s="25">
        <f>IF(W279="","",V279/W279)</f>
        <v/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19">
        <f>IF(G280="","",E280/G280)</f>
        <v/>
      </c>
      <c r="I280" s="19">
        <f>IF(G280="","",F280/G280)</f>
        <v/>
      </c>
      <c r="J280" s="26">
        <f>IFERROR(IF(OR(E280="",INDEX(E:E,MATCH(DATE(YEAR($A280)-1,MONTH($A280),DAY($A280)),$A:$A,0))=""),"",E280/INDEX(E:E,MATCH(DATE(YEAR($A280)-1,MONTH($A280),DAY($A280)),$A:$A,0))-1),"")</f>
        <v/>
      </c>
      <c r="K280" s="19">
        <f>IFERROR(IF(OR(F280="",INDEX(F:F,MATCH(DATE(YEAR($A280)-1,MONTH($A280),DAY($A280)),$A:$A,0))=""),"",F280/INDEX(F:F,MATCH(DATE(YEAR($A280)-1,MONTH($A280),DAY($A280)),$A:$A,0))-1),"")</f>
        <v/>
      </c>
      <c r="L280" s="19">
        <f>IFERROR(IF(OR(G280="",INDEX(G:G,MATCH(DATE(YEAR($A280)-1,MONTH($A280),DAY($A280)),$A:$A,0))=""),"",G280/INDEX(G:G,MATCH(DATE(YEAR($A280)-1,MONTH($A280),DAY($A280)),$A:$A,0))-1),"")</f>
        <v/>
      </c>
      <c r="M280" s="19">
        <f>IF(OR(E280="",E279=""),"",E280/E279-1)</f>
        <v/>
      </c>
      <c r="N280" s="19">
        <f>IF(OR(F280="",F279=""),"",F280/F279-1)</f>
        <v/>
      </c>
      <c r="O280" s="19">
        <f>IF(OR(G280="",G279=""),"",G280/G279-1)</f>
        <v/>
      </c>
      <c r="P280" s="22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IF(R280="","",P280/R280)</f>
        <v/>
      </c>
      <c r="T280" s="23">
        <f>IF(R280="","",Q280/R280)</f>
        <v/>
      </c>
      <c r="U280" s="24">
        <f>IF(SUMIFS('Daily NSE Equity Options'!$M:$M,'Daily NSE Equity Options'!$A:$A,$A280)=0,"",SUMIFS('Daily NSE Equity Options'!$M:$M,'Daily NSE Equity Options'!$A:$A,$A280))</f>
        <v/>
      </c>
      <c r="V280" s="9">
        <f>IF(SUMIFS('Daily BSE Equity Options'!$M:$M,'Daily BSE Equity Options'!$A:$A,$A280)=0,"",SUMIFS('Daily BSE Equity Options'!$M:$M,'Daily BSE Equity Options'!$A:$A,$A280))</f>
        <v/>
      </c>
      <c r="W280" s="9">
        <f>IF(OR(U280="",V280=""),"",U280+V280)</f>
        <v/>
      </c>
      <c r="X280" s="25">
        <f>IF(W280="","",U280/W280)</f>
        <v/>
      </c>
      <c r="Y280" s="25">
        <f>IF(W280="","",V280/W280)</f>
        <v/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19">
        <f>IF(G281="","",E281/G281)</f>
        <v/>
      </c>
      <c r="I281" s="19">
        <f>IF(G281="","",F281/G281)</f>
        <v/>
      </c>
      <c r="J281" s="26">
        <f>IFERROR(IF(OR(E281="",INDEX(E:E,MATCH(DATE(YEAR($A281)-1,MONTH($A281),DAY($A281)),$A:$A,0))=""),"",E281/INDEX(E:E,MATCH(DATE(YEAR($A281)-1,MONTH($A281),DAY($A281)),$A:$A,0))-1),"")</f>
        <v/>
      </c>
      <c r="K281" s="19">
        <f>IFERROR(IF(OR(F281="",INDEX(F:F,MATCH(DATE(YEAR($A281)-1,MONTH($A281),DAY($A281)),$A:$A,0))=""),"",F281/INDEX(F:F,MATCH(DATE(YEAR($A281)-1,MONTH($A281),DAY($A281)),$A:$A,0))-1),"")</f>
        <v/>
      </c>
      <c r="L281" s="19">
        <f>IFERROR(IF(OR(G281="",INDEX(G:G,MATCH(DATE(YEAR($A281)-1,MONTH($A281),DAY($A281)),$A:$A,0))=""),"",G281/INDEX(G:G,MATCH(DATE(YEAR($A281)-1,MONTH($A281),DAY($A281)),$A:$A,0))-1),"")</f>
        <v/>
      </c>
      <c r="M281" s="19">
        <f>IF(OR(E281="",E280=""),"",E281/E280-1)</f>
        <v/>
      </c>
      <c r="N281" s="19">
        <f>IF(OR(F281="",F280=""),"",F281/F280-1)</f>
        <v/>
      </c>
      <c r="O281" s="19">
        <f>IF(OR(G281="",G280=""),"",G281/G280-1)</f>
        <v/>
      </c>
      <c r="P281" s="22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IF(R281="","",P281/R281)</f>
        <v/>
      </c>
      <c r="T281" s="23">
        <f>IF(R281="","",Q281/R281)</f>
        <v/>
      </c>
      <c r="U281" s="24">
        <f>IF(SUMIFS('Daily NSE Equity Options'!$M:$M,'Daily NSE Equity Options'!$A:$A,$A281)=0,"",SUMIFS('Daily NSE Equity Options'!$M:$M,'Daily NSE Equity Options'!$A:$A,$A281))</f>
        <v/>
      </c>
      <c r="V281" s="9">
        <f>IF(SUMIFS('Daily BSE Equity Options'!$M:$M,'Daily BSE Equity Options'!$A:$A,$A281)=0,"",SUMIFS('Daily BSE Equity Options'!$M:$M,'Daily BSE Equity Options'!$A:$A,$A281))</f>
        <v/>
      </c>
      <c r="W281" s="9">
        <f>IF(OR(U281="",V281=""),"",U281+V281)</f>
        <v/>
      </c>
      <c r="X281" s="25">
        <f>IF(W281="","",U281/W281)</f>
        <v/>
      </c>
      <c r="Y281" s="25">
        <f>IF(W281="","",V281/W281)</f>
        <v/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19">
        <f>IF(G282="","",E282/G282)</f>
        <v/>
      </c>
      <c r="I282" s="19">
        <f>IF(G282="","",F282/G282)</f>
        <v/>
      </c>
      <c r="J282" s="26">
        <f>IFERROR(IF(OR(E282="",INDEX(E:E,MATCH(DATE(YEAR($A282)-1,MONTH($A282),DAY($A282)),$A:$A,0))=""),"",E282/INDEX(E:E,MATCH(DATE(YEAR($A282)-1,MONTH($A282),DAY($A282)),$A:$A,0))-1),"")</f>
        <v/>
      </c>
      <c r="K282" s="19">
        <f>IFERROR(IF(OR(F282="",INDEX(F:F,MATCH(DATE(YEAR($A282)-1,MONTH($A282),DAY($A282)),$A:$A,0))=""),"",F282/INDEX(F:F,MATCH(DATE(YEAR($A282)-1,MONTH($A282),DAY($A282)),$A:$A,0))-1),"")</f>
        <v/>
      </c>
      <c r="L282" s="19">
        <f>IFERROR(IF(OR(G282="",INDEX(G:G,MATCH(DATE(YEAR($A282)-1,MONTH($A282),DAY($A282)),$A:$A,0))=""),"",G282/INDEX(G:G,MATCH(DATE(YEAR($A282)-1,MONTH($A282),DAY($A282)),$A:$A,0))-1),"")</f>
        <v/>
      </c>
      <c r="M282" s="19">
        <f>IF(OR(E282="",E281=""),"",E282/E281-1)</f>
        <v/>
      </c>
      <c r="N282" s="19">
        <f>IF(OR(F282="",F281=""),"",F282/F281-1)</f>
        <v/>
      </c>
      <c r="O282" s="19">
        <f>IF(OR(G282="",G281=""),"",G282/G281-1)</f>
        <v/>
      </c>
      <c r="P282" s="22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IF(R282="","",P282/R282)</f>
        <v/>
      </c>
      <c r="T282" s="23">
        <f>IF(R282="","",Q282/R282)</f>
        <v/>
      </c>
      <c r="U282" s="24">
        <f>IF(SUMIFS('Daily NSE Equity Options'!$M:$M,'Daily NSE Equity Options'!$A:$A,$A282)=0,"",SUMIFS('Daily NSE Equity Options'!$M:$M,'Daily NSE Equity Options'!$A:$A,$A282))</f>
        <v/>
      </c>
      <c r="V282" s="9">
        <f>IF(SUMIFS('Daily BSE Equity Options'!$M:$M,'Daily BSE Equity Options'!$A:$A,$A282)=0,"",SUMIFS('Daily BSE Equity Options'!$M:$M,'Daily BSE Equity Options'!$A:$A,$A282))</f>
        <v/>
      </c>
      <c r="W282" s="9">
        <f>IF(OR(U282="",V282=""),"",U282+V282)</f>
        <v/>
      </c>
      <c r="X282" s="25">
        <f>IF(W282="","",U282/W282)</f>
        <v/>
      </c>
      <c r="Y282" s="25">
        <f>IF(W282="","",V282/W282)</f>
        <v/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19">
        <f>IF(G283="","",E283/G283)</f>
        <v/>
      </c>
      <c r="I283" s="19">
        <f>IF(G283="","",F283/G283)</f>
        <v/>
      </c>
      <c r="J283" s="26">
        <f>IFERROR(IF(OR(E283="",INDEX(E:E,MATCH(DATE(YEAR($A283)-1,MONTH($A283),DAY($A283)),$A:$A,0))=""),"",E283/INDEX(E:E,MATCH(DATE(YEAR($A283)-1,MONTH($A283),DAY($A283)),$A:$A,0))-1),"")</f>
        <v/>
      </c>
      <c r="K283" s="19">
        <f>IFERROR(IF(OR(F283="",INDEX(F:F,MATCH(DATE(YEAR($A283)-1,MONTH($A283),DAY($A283)),$A:$A,0))=""),"",F283/INDEX(F:F,MATCH(DATE(YEAR($A283)-1,MONTH($A283),DAY($A283)),$A:$A,0))-1),"")</f>
        <v/>
      </c>
      <c r="L283" s="19">
        <f>IFERROR(IF(OR(G283="",INDEX(G:G,MATCH(DATE(YEAR($A283)-1,MONTH($A283),DAY($A283)),$A:$A,0))=""),"",G283/INDEX(G:G,MATCH(DATE(YEAR($A283)-1,MONTH($A283),DAY($A283)),$A:$A,0))-1),"")</f>
        <v/>
      </c>
      <c r="M283" s="19">
        <f>IF(OR(E283="",E282=""),"",E283/E282-1)</f>
        <v/>
      </c>
      <c r="N283" s="19">
        <f>IF(OR(F283="",F282=""),"",F283/F282-1)</f>
        <v/>
      </c>
      <c r="O283" s="19">
        <f>IF(OR(G283="",G282=""),"",G283/G282-1)</f>
        <v/>
      </c>
      <c r="P283" s="22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IF(R283="","",P283/R283)</f>
        <v/>
      </c>
      <c r="T283" s="23">
        <f>IF(R283="","",Q283/R283)</f>
        <v/>
      </c>
      <c r="U283" s="24">
        <f>IF(SUMIFS('Daily NSE Equity Options'!$M:$M,'Daily NSE Equity Options'!$A:$A,$A283)=0,"",SUMIFS('Daily NSE Equity Options'!$M:$M,'Daily NSE Equity Options'!$A:$A,$A283))</f>
        <v/>
      </c>
      <c r="V283" s="9">
        <f>IF(SUMIFS('Daily BSE Equity Options'!$M:$M,'Daily BSE Equity Options'!$A:$A,$A283)=0,"",SUMIFS('Daily BSE Equity Options'!$M:$M,'Daily BSE Equity Options'!$A:$A,$A283))</f>
        <v/>
      </c>
      <c r="W283" s="9">
        <f>IF(OR(U283="",V283=""),"",U283+V283)</f>
        <v/>
      </c>
      <c r="X283" s="25">
        <f>IF(W283="","",U283/W283)</f>
        <v/>
      </c>
      <c r="Y283" s="25">
        <f>IF(W283="","",V283/W283)</f>
        <v/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19">
        <f>IF(G284="","",E284/G284)</f>
        <v/>
      </c>
      <c r="I284" s="19">
        <f>IF(G284="","",F284/G284)</f>
        <v/>
      </c>
      <c r="J284" s="26">
        <f>IFERROR(IF(OR(E284="",INDEX(E:E,MATCH(DATE(YEAR($A284)-1,MONTH($A284),DAY($A284)),$A:$A,0))=""),"",E284/INDEX(E:E,MATCH(DATE(YEAR($A284)-1,MONTH($A284),DAY($A284)),$A:$A,0))-1),"")</f>
        <v/>
      </c>
      <c r="K284" s="19">
        <f>IFERROR(IF(OR(F284="",INDEX(F:F,MATCH(DATE(YEAR($A284)-1,MONTH($A284),DAY($A284)),$A:$A,0))=""),"",F284/INDEX(F:F,MATCH(DATE(YEAR($A284)-1,MONTH($A284),DAY($A284)),$A:$A,0))-1),"")</f>
        <v/>
      </c>
      <c r="L284" s="19">
        <f>IFERROR(IF(OR(G284="",INDEX(G:G,MATCH(DATE(YEAR($A284)-1,MONTH($A284),DAY($A284)),$A:$A,0))=""),"",G284/INDEX(G:G,MATCH(DATE(YEAR($A284)-1,MONTH($A284),DAY($A284)),$A:$A,0))-1),"")</f>
        <v/>
      </c>
      <c r="M284" s="19">
        <f>IF(OR(E284="",E283=""),"",E284/E283-1)</f>
        <v/>
      </c>
      <c r="N284" s="19">
        <f>IF(OR(F284="",F283=""),"",F284/F283-1)</f>
        <v/>
      </c>
      <c r="O284" s="19">
        <f>IF(OR(G284="",G283=""),"",G284/G283-1)</f>
        <v/>
      </c>
      <c r="P284" s="22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IF(R284="","",P284/R284)</f>
        <v/>
      </c>
      <c r="T284" s="23">
        <f>IF(R284="","",Q284/R284)</f>
        <v/>
      </c>
      <c r="U284" s="24">
        <f>IF(SUMIFS('Daily NSE Equity Options'!$M:$M,'Daily NSE Equity Options'!$A:$A,$A284)=0,"",SUMIFS('Daily NSE Equity Options'!$M:$M,'Daily NSE Equity Options'!$A:$A,$A284))</f>
        <v/>
      </c>
      <c r="V284" s="9">
        <f>IF(SUMIFS('Daily BSE Equity Options'!$M:$M,'Daily BSE Equity Options'!$A:$A,$A284)=0,"",SUMIFS('Daily BSE Equity Options'!$M:$M,'Daily BSE Equity Options'!$A:$A,$A284))</f>
        <v/>
      </c>
      <c r="W284" s="9">
        <f>IF(OR(U284="",V284=""),"",U284+V284)</f>
        <v/>
      </c>
      <c r="X284" s="25">
        <f>IF(W284="","",U284/W284)</f>
        <v/>
      </c>
      <c r="Y284" s="25">
        <f>IF(W284="","",V284/W284)</f>
        <v/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19">
        <f>IF(G285="","",E285/G285)</f>
        <v/>
      </c>
      <c r="I285" s="19">
        <f>IF(G285="","",F285/G285)</f>
        <v/>
      </c>
      <c r="J285" s="26">
        <f>IFERROR(IF(OR(E285="",INDEX(E:E,MATCH(DATE(YEAR($A285)-1,MONTH($A285),DAY($A285)),$A:$A,0))=""),"",E285/INDEX(E:E,MATCH(DATE(YEAR($A285)-1,MONTH($A285),DAY($A285)),$A:$A,0))-1),"")</f>
        <v/>
      </c>
      <c r="K285" s="19">
        <f>IFERROR(IF(OR(F285="",INDEX(F:F,MATCH(DATE(YEAR($A285)-1,MONTH($A285),DAY($A285)),$A:$A,0))=""),"",F285/INDEX(F:F,MATCH(DATE(YEAR($A285)-1,MONTH($A285),DAY($A285)),$A:$A,0))-1),"")</f>
        <v/>
      </c>
      <c r="L285" s="19">
        <f>IFERROR(IF(OR(G285="",INDEX(G:G,MATCH(DATE(YEAR($A285)-1,MONTH($A285),DAY($A285)),$A:$A,0))=""),"",G285/INDEX(G:G,MATCH(DATE(YEAR($A285)-1,MONTH($A285),DAY($A285)),$A:$A,0))-1),"")</f>
        <v/>
      </c>
      <c r="M285" s="19">
        <f>IF(OR(E285="",E284=""),"",E285/E284-1)</f>
        <v/>
      </c>
      <c r="N285" s="19">
        <f>IF(OR(F285="",F284=""),"",F285/F284-1)</f>
        <v/>
      </c>
      <c r="O285" s="19">
        <f>IF(OR(G285="",G284=""),"",G285/G284-1)</f>
        <v/>
      </c>
      <c r="P285" s="22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IF(R285="","",P285/R285)</f>
        <v/>
      </c>
      <c r="T285" s="23">
        <f>IF(R285="","",Q285/R285)</f>
        <v/>
      </c>
      <c r="U285" s="24">
        <f>IF(SUMIFS('Daily NSE Equity Options'!$M:$M,'Daily NSE Equity Options'!$A:$A,$A285)=0,"",SUMIFS('Daily NSE Equity Options'!$M:$M,'Daily NSE Equity Options'!$A:$A,$A285))</f>
        <v/>
      </c>
      <c r="V285" s="9">
        <f>IF(SUMIFS('Daily BSE Equity Options'!$M:$M,'Daily BSE Equity Options'!$A:$A,$A285)=0,"",SUMIFS('Daily BSE Equity Options'!$M:$M,'Daily BSE Equity Options'!$A:$A,$A285))</f>
        <v/>
      </c>
      <c r="W285" s="9">
        <f>IF(OR(U285="",V285=""),"",U285+V285)</f>
        <v/>
      </c>
      <c r="X285" s="25">
        <f>IF(W285="","",U285/W285)</f>
        <v/>
      </c>
      <c r="Y285" s="25">
        <f>IF(W285="","",V285/W285)</f>
        <v/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19">
        <f>IF(G286="","",E286/G286)</f>
        <v/>
      </c>
      <c r="I286" s="19">
        <f>IF(G286="","",F286/G286)</f>
        <v/>
      </c>
      <c r="J286" s="26">
        <f>IFERROR(IF(OR(E286="",INDEX(E:E,MATCH(DATE(YEAR($A286)-1,MONTH($A286),DAY($A286)),$A:$A,0))=""),"",E286/INDEX(E:E,MATCH(DATE(YEAR($A286)-1,MONTH($A286),DAY($A286)),$A:$A,0))-1),"")</f>
        <v/>
      </c>
      <c r="K286" s="19">
        <f>IFERROR(IF(OR(F286="",INDEX(F:F,MATCH(DATE(YEAR($A286)-1,MONTH($A286),DAY($A286)),$A:$A,0))=""),"",F286/INDEX(F:F,MATCH(DATE(YEAR($A286)-1,MONTH($A286),DAY($A286)),$A:$A,0))-1),"")</f>
        <v/>
      </c>
      <c r="L286" s="19">
        <f>IFERROR(IF(OR(G286="",INDEX(G:G,MATCH(DATE(YEAR($A286)-1,MONTH($A286),DAY($A286)),$A:$A,0))=""),"",G286/INDEX(G:G,MATCH(DATE(YEAR($A286)-1,MONTH($A286),DAY($A286)),$A:$A,0))-1),"")</f>
        <v/>
      </c>
      <c r="M286" s="19">
        <f>IF(OR(E286="",E285=""),"",E286/E285-1)</f>
        <v/>
      </c>
      <c r="N286" s="19">
        <f>IF(OR(F286="",F285=""),"",F286/F285-1)</f>
        <v/>
      </c>
      <c r="O286" s="19">
        <f>IF(OR(G286="",G285=""),"",G286/G285-1)</f>
        <v/>
      </c>
      <c r="P286" s="22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IF(R286="","",P286/R286)</f>
        <v/>
      </c>
      <c r="T286" s="23">
        <f>IF(R286="","",Q286/R286)</f>
        <v/>
      </c>
      <c r="U286" s="24">
        <f>IF(SUMIFS('Daily NSE Equity Options'!$M:$M,'Daily NSE Equity Options'!$A:$A,$A286)=0,"",SUMIFS('Daily NSE Equity Options'!$M:$M,'Daily NSE Equity Options'!$A:$A,$A286))</f>
        <v/>
      </c>
      <c r="V286" s="9">
        <f>IF(SUMIFS('Daily BSE Equity Options'!$M:$M,'Daily BSE Equity Options'!$A:$A,$A286)=0,"",SUMIFS('Daily BSE Equity Options'!$M:$M,'Daily BSE Equity Options'!$A:$A,$A286))</f>
        <v/>
      </c>
      <c r="W286" s="9">
        <f>IF(OR(U286="",V286=""),"",U286+V286)</f>
        <v/>
      </c>
      <c r="X286" s="25">
        <f>IF(W286="","",U286/W286)</f>
        <v/>
      </c>
      <c r="Y286" s="25">
        <f>IF(W286="","",V286/W286)</f>
        <v/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19">
        <f>IF(G287="","",E287/G287)</f>
        <v/>
      </c>
      <c r="I287" s="19">
        <f>IF(G287="","",F287/G287)</f>
        <v/>
      </c>
      <c r="J287" s="26">
        <f>IFERROR(IF(OR(E287="",INDEX(E:E,MATCH(DATE(YEAR($A287)-1,MONTH($A287),DAY($A287)),$A:$A,0))=""),"",E287/INDEX(E:E,MATCH(DATE(YEAR($A287)-1,MONTH($A287),DAY($A287)),$A:$A,0))-1),"")</f>
        <v/>
      </c>
      <c r="K287" s="19">
        <f>IFERROR(IF(OR(F287="",INDEX(F:F,MATCH(DATE(YEAR($A287)-1,MONTH($A287),DAY($A287)),$A:$A,0))=""),"",F287/INDEX(F:F,MATCH(DATE(YEAR($A287)-1,MONTH($A287),DAY($A287)),$A:$A,0))-1),"")</f>
        <v/>
      </c>
      <c r="L287" s="19">
        <f>IFERROR(IF(OR(G287="",INDEX(G:G,MATCH(DATE(YEAR($A287)-1,MONTH($A287),DAY($A287)),$A:$A,0))=""),"",G287/INDEX(G:G,MATCH(DATE(YEAR($A287)-1,MONTH($A287),DAY($A287)),$A:$A,0))-1),"")</f>
        <v/>
      </c>
      <c r="M287" s="19">
        <f>IF(OR(E287="",E286=""),"",E287/E286-1)</f>
        <v/>
      </c>
      <c r="N287" s="19">
        <f>IF(OR(F287="",F286=""),"",F287/F286-1)</f>
        <v/>
      </c>
      <c r="O287" s="19">
        <f>IF(OR(G287="",G286=""),"",G287/G286-1)</f>
        <v/>
      </c>
      <c r="P287" s="22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IF(R287="","",P287/R287)</f>
        <v/>
      </c>
      <c r="T287" s="23">
        <f>IF(R287="","",Q287/R287)</f>
        <v/>
      </c>
      <c r="U287" s="24">
        <f>IF(SUMIFS('Daily NSE Equity Options'!$M:$M,'Daily NSE Equity Options'!$A:$A,$A287)=0,"",SUMIFS('Daily NSE Equity Options'!$M:$M,'Daily NSE Equity Options'!$A:$A,$A287))</f>
        <v/>
      </c>
      <c r="V287" s="9">
        <f>IF(SUMIFS('Daily BSE Equity Options'!$M:$M,'Daily BSE Equity Options'!$A:$A,$A287)=0,"",SUMIFS('Daily BSE Equity Options'!$M:$M,'Daily BSE Equity Options'!$A:$A,$A287))</f>
        <v/>
      </c>
      <c r="W287" s="9">
        <f>IF(OR(U287="",V287=""),"",U287+V287)</f>
        <v/>
      </c>
      <c r="X287" s="25">
        <f>IF(W287="","",U287/W287)</f>
        <v/>
      </c>
      <c r="Y287" s="25">
        <f>IF(W287="","",V287/W287)</f>
        <v/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19">
        <f>IF(G288="","",E288/G288)</f>
        <v/>
      </c>
      <c r="I288" s="19">
        <f>IF(G288="","",F288/G288)</f>
        <v/>
      </c>
      <c r="J288" s="26">
        <f>IFERROR(IF(OR(E288="",INDEX(E:E,MATCH(DATE(YEAR($A288)-1,MONTH($A288),DAY($A288)),$A:$A,0))=""),"",E288/INDEX(E:E,MATCH(DATE(YEAR($A288)-1,MONTH($A288),DAY($A288)),$A:$A,0))-1),"")</f>
        <v/>
      </c>
      <c r="K288" s="19">
        <f>IFERROR(IF(OR(F288="",INDEX(F:F,MATCH(DATE(YEAR($A288)-1,MONTH($A288),DAY($A288)),$A:$A,0))=""),"",F288/INDEX(F:F,MATCH(DATE(YEAR($A288)-1,MONTH($A288),DAY($A288)),$A:$A,0))-1),"")</f>
        <v/>
      </c>
      <c r="L288" s="19">
        <f>IFERROR(IF(OR(G288="",INDEX(G:G,MATCH(DATE(YEAR($A288)-1,MONTH($A288),DAY($A288)),$A:$A,0))=""),"",G288/INDEX(G:G,MATCH(DATE(YEAR($A288)-1,MONTH($A288),DAY($A288)),$A:$A,0))-1),"")</f>
        <v/>
      </c>
      <c r="M288" s="19">
        <f>IF(OR(E288="",E287=""),"",E288/E287-1)</f>
        <v/>
      </c>
      <c r="N288" s="19">
        <f>IF(OR(F288="",F287=""),"",F288/F287-1)</f>
        <v/>
      </c>
      <c r="O288" s="19">
        <f>IF(OR(G288="",G287=""),"",G288/G287-1)</f>
        <v/>
      </c>
      <c r="P288" s="22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IF(R288="","",P288/R288)</f>
        <v/>
      </c>
      <c r="T288" s="23">
        <f>IF(R288="","",Q288/R288)</f>
        <v/>
      </c>
      <c r="U288" s="24">
        <f>IF(SUMIFS('Daily NSE Equity Options'!$M:$M,'Daily NSE Equity Options'!$A:$A,$A288)=0,"",SUMIFS('Daily NSE Equity Options'!$M:$M,'Daily NSE Equity Options'!$A:$A,$A288))</f>
        <v/>
      </c>
      <c r="V288" s="9">
        <f>IF(SUMIFS('Daily BSE Equity Options'!$M:$M,'Daily BSE Equity Options'!$A:$A,$A288)=0,"",SUMIFS('Daily BSE Equity Options'!$M:$M,'Daily BSE Equity Options'!$A:$A,$A288))</f>
        <v/>
      </c>
      <c r="W288" s="9">
        <f>IF(OR(U288="",V288=""),"",U288+V288)</f>
        <v/>
      </c>
      <c r="X288" s="25">
        <f>IF(W288="","",U288/W288)</f>
        <v/>
      </c>
      <c r="Y288" s="25">
        <f>IF(W288="","",V288/W288)</f>
        <v/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19">
        <f>IF(G289="","",E289/G289)</f>
        <v/>
      </c>
      <c r="I289" s="19">
        <f>IF(G289="","",F289/G289)</f>
        <v/>
      </c>
      <c r="J289" s="26">
        <f>IFERROR(IF(OR(E289="",INDEX(E:E,MATCH(DATE(YEAR($A289)-1,MONTH($A289),DAY($A289)),$A:$A,0))=""),"",E289/INDEX(E:E,MATCH(DATE(YEAR($A289)-1,MONTH($A289),DAY($A289)),$A:$A,0))-1),"")</f>
        <v/>
      </c>
      <c r="K289" s="19">
        <f>IFERROR(IF(OR(F289="",INDEX(F:F,MATCH(DATE(YEAR($A289)-1,MONTH($A289),DAY($A289)),$A:$A,0))=""),"",F289/INDEX(F:F,MATCH(DATE(YEAR($A289)-1,MONTH($A289),DAY($A289)),$A:$A,0))-1),"")</f>
        <v/>
      </c>
      <c r="L289" s="19">
        <f>IFERROR(IF(OR(G289="",INDEX(G:G,MATCH(DATE(YEAR($A289)-1,MONTH($A289),DAY($A289)),$A:$A,0))=""),"",G289/INDEX(G:G,MATCH(DATE(YEAR($A289)-1,MONTH($A289),DAY($A289)),$A:$A,0))-1),"")</f>
        <v/>
      </c>
      <c r="M289" s="19">
        <f>IF(OR(E289="",E288=""),"",E289/E288-1)</f>
        <v/>
      </c>
      <c r="N289" s="19">
        <f>IF(OR(F289="",F288=""),"",F289/F288-1)</f>
        <v/>
      </c>
      <c r="O289" s="19">
        <f>IF(OR(G289="",G288=""),"",G289/G288-1)</f>
        <v/>
      </c>
      <c r="P289" s="22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IF(R289="","",P289/R289)</f>
        <v/>
      </c>
      <c r="T289" s="23">
        <f>IF(R289="","",Q289/R289)</f>
        <v/>
      </c>
      <c r="U289" s="24">
        <f>IF(SUMIFS('Daily NSE Equity Options'!$M:$M,'Daily NSE Equity Options'!$A:$A,$A289)=0,"",SUMIFS('Daily NSE Equity Options'!$M:$M,'Daily NSE Equity Options'!$A:$A,$A289))</f>
        <v/>
      </c>
      <c r="V289" s="9">
        <f>IF(SUMIFS('Daily BSE Equity Options'!$M:$M,'Daily BSE Equity Options'!$A:$A,$A289)=0,"",SUMIFS('Daily BSE Equity Options'!$M:$M,'Daily BSE Equity Options'!$A:$A,$A289))</f>
        <v/>
      </c>
      <c r="W289" s="9">
        <f>IF(OR(U289="",V289=""),"",U289+V289)</f>
        <v/>
      </c>
      <c r="X289" s="25">
        <f>IF(W289="","",U289/W289)</f>
        <v/>
      </c>
      <c r="Y289" s="25">
        <f>IF(W289="","",V289/W289)</f>
        <v/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19">
        <f>IF(G290="","",E290/G290)</f>
        <v/>
      </c>
      <c r="I290" s="19">
        <f>IF(G290="","",F290/G290)</f>
        <v/>
      </c>
      <c r="J290" s="26">
        <f>IFERROR(IF(OR(E290="",INDEX(E:E,MATCH(DATE(YEAR($A290)-1,MONTH($A290),DAY($A290)),$A:$A,0))=""),"",E290/INDEX(E:E,MATCH(DATE(YEAR($A290)-1,MONTH($A290),DAY($A290)),$A:$A,0))-1),"")</f>
        <v/>
      </c>
      <c r="K290" s="19">
        <f>IFERROR(IF(OR(F290="",INDEX(F:F,MATCH(DATE(YEAR($A290)-1,MONTH($A290),DAY($A290)),$A:$A,0))=""),"",F290/INDEX(F:F,MATCH(DATE(YEAR($A290)-1,MONTH($A290),DAY($A290)),$A:$A,0))-1),"")</f>
        <v/>
      </c>
      <c r="L290" s="19">
        <f>IFERROR(IF(OR(G290="",INDEX(G:G,MATCH(DATE(YEAR($A290)-1,MONTH($A290),DAY($A290)),$A:$A,0))=""),"",G290/INDEX(G:G,MATCH(DATE(YEAR($A290)-1,MONTH($A290),DAY($A290)),$A:$A,0))-1),"")</f>
        <v/>
      </c>
      <c r="M290" s="19">
        <f>IF(OR(E290="",E289=""),"",E290/E289-1)</f>
        <v/>
      </c>
      <c r="N290" s="19">
        <f>IF(OR(F290="",F289=""),"",F290/F289-1)</f>
        <v/>
      </c>
      <c r="O290" s="19">
        <f>IF(OR(G290="",G289=""),"",G290/G289-1)</f>
        <v/>
      </c>
      <c r="P290" s="22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IF(R290="","",P290/R290)</f>
        <v/>
      </c>
      <c r="T290" s="23">
        <f>IF(R290="","",Q290/R290)</f>
        <v/>
      </c>
      <c r="U290" s="24">
        <f>IF(SUMIFS('Daily NSE Equity Options'!$M:$M,'Daily NSE Equity Options'!$A:$A,$A290)=0,"",SUMIFS('Daily NSE Equity Options'!$M:$M,'Daily NSE Equity Options'!$A:$A,$A290))</f>
        <v/>
      </c>
      <c r="V290" s="9">
        <f>IF(SUMIFS('Daily BSE Equity Options'!$M:$M,'Daily BSE Equity Options'!$A:$A,$A290)=0,"",SUMIFS('Daily BSE Equity Options'!$M:$M,'Daily BSE Equity Options'!$A:$A,$A290))</f>
        <v/>
      </c>
      <c r="W290" s="9">
        <f>IF(OR(U290="",V290=""),"",U290+V290)</f>
        <v/>
      </c>
      <c r="X290" s="25">
        <f>IF(W290="","",U290/W290)</f>
        <v/>
      </c>
      <c r="Y290" s="25">
        <f>IF(W290="","",V290/W290)</f>
        <v/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19">
        <f>IF(G291="","",E291/G291)</f>
        <v/>
      </c>
      <c r="I291" s="19">
        <f>IF(G291="","",F291/G291)</f>
        <v/>
      </c>
      <c r="J291" s="26">
        <f>IFERROR(IF(OR(E291="",INDEX(E:E,MATCH(DATE(YEAR($A291)-1,MONTH($A291),DAY($A291)),$A:$A,0))=""),"",E291/INDEX(E:E,MATCH(DATE(YEAR($A291)-1,MONTH($A291),DAY($A291)),$A:$A,0))-1),"")</f>
        <v/>
      </c>
      <c r="K291" s="19">
        <f>IFERROR(IF(OR(F291="",INDEX(F:F,MATCH(DATE(YEAR($A291)-1,MONTH($A291),DAY($A291)),$A:$A,0))=""),"",F291/INDEX(F:F,MATCH(DATE(YEAR($A291)-1,MONTH($A291),DAY($A291)),$A:$A,0))-1),"")</f>
        <v/>
      </c>
      <c r="L291" s="19">
        <f>IFERROR(IF(OR(G291="",INDEX(G:G,MATCH(DATE(YEAR($A291)-1,MONTH($A291),DAY($A291)),$A:$A,0))=""),"",G291/INDEX(G:G,MATCH(DATE(YEAR($A291)-1,MONTH($A291),DAY($A291)),$A:$A,0))-1),"")</f>
        <v/>
      </c>
      <c r="M291" s="19">
        <f>IF(OR(E291="",E290=""),"",E291/E290-1)</f>
        <v/>
      </c>
      <c r="N291" s="19">
        <f>IF(OR(F291="",F290=""),"",F291/F290-1)</f>
        <v/>
      </c>
      <c r="O291" s="19">
        <f>IF(OR(G291="",G290=""),"",G291/G290-1)</f>
        <v/>
      </c>
      <c r="P291" s="22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IF(R291="","",P291/R291)</f>
        <v/>
      </c>
      <c r="T291" s="23">
        <f>IF(R291="","",Q291/R291)</f>
        <v/>
      </c>
      <c r="U291" s="24">
        <f>IF(SUMIFS('Daily NSE Equity Options'!$M:$M,'Daily NSE Equity Options'!$A:$A,$A291)=0,"",SUMIFS('Daily NSE Equity Options'!$M:$M,'Daily NSE Equity Options'!$A:$A,$A291))</f>
        <v/>
      </c>
      <c r="V291" s="9">
        <f>IF(SUMIFS('Daily BSE Equity Options'!$M:$M,'Daily BSE Equity Options'!$A:$A,$A291)=0,"",SUMIFS('Daily BSE Equity Options'!$M:$M,'Daily BSE Equity Options'!$A:$A,$A291))</f>
        <v/>
      </c>
      <c r="W291" s="9">
        <f>IF(OR(U291="",V291=""),"",U291+V291)</f>
        <v/>
      </c>
      <c r="X291" s="25">
        <f>IF(W291="","",U291/W291)</f>
        <v/>
      </c>
      <c r="Y291" s="25">
        <f>IF(W291="","",V291/W291)</f>
        <v/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19">
        <f>IF(G292="","",E292/G292)</f>
        <v/>
      </c>
      <c r="I292" s="19">
        <f>IF(G292="","",F292/G292)</f>
        <v/>
      </c>
      <c r="J292" s="26">
        <f>IFERROR(IF(OR(E292="",INDEX(E:E,MATCH(DATE(YEAR($A292)-1,MONTH($A292),DAY($A292)),$A:$A,0))=""),"",E292/INDEX(E:E,MATCH(DATE(YEAR($A292)-1,MONTH($A292),DAY($A292)),$A:$A,0))-1),"")</f>
        <v/>
      </c>
      <c r="K292" s="19">
        <f>IFERROR(IF(OR(F292="",INDEX(F:F,MATCH(DATE(YEAR($A292)-1,MONTH($A292),DAY($A292)),$A:$A,0))=""),"",F292/INDEX(F:F,MATCH(DATE(YEAR($A292)-1,MONTH($A292),DAY($A292)),$A:$A,0))-1),"")</f>
        <v/>
      </c>
      <c r="L292" s="19">
        <f>IFERROR(IF(OR(G292="",INDEX(G:G,MATCH(DATE(YEAR($A292)-1,MONTH($A292),DAY($A292)),$A:$A,0))=""),"",G292/INDEX(G:G,MATCH(DATE(YEAR($A292)-1,MONTH($A292),DAY($A292)),$A:$A,0))-1),"")</f>
        <v/>
      </c>
      <c r="M292" s="19">
        <f>IF(OR(E292="",E291=""),"",E292/E291-1)</f>
        <v/>
      </c>
      <c r="N292" s="19">
        <f>IF(OR(F292="",F291=""),"",F292/F291-1)</f>
        <v/>
      </c>
      <c r="O292" s="19">
        <f>IF(OR(G292="",G291=""),"",G292/G291-1)</f>
        <v/>
      </c>
      <c r="P292" s="22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IF(R292="","",P292/R292)</f>
        <v/>
      </c>
      <c r="T292" s="23">
        <f>IF(R292="","",Q292/R292)</f>
        <v/>
      </c>
      <c r="U292" s="24">
        <f>IF(SUMIFS('Daily NSE Equity Options'!$M:$M,'Daily NSE Equity Options'!$A:$A,$A292)=0,"",SUMIFS('Daily NSE Equity Options'!$M:$M,'Daily NSE Equity Options'!$A:$A,$A292))</f>
        <v/>
      </c>
      <c r="V292" s="9">
        <f>IF(SUMIFS('Daily BSE Equity Options'!$M:$M,'Daily BSE Equity Options'!$A:$A,$A292)=0,"",SUMIFS('Daily BSE Equity Options'!$M:$M,'Daily BSE Equity Options'!$A:$A,$A292))</f>
        <v/>
      </c>
      <c r="W292" s="9">
        <f>IF(OR(U292="",V292=""),"",U292+V292)</f>
        <v/>
      </c>
      <c r="X292" s="25">
        <f>IF(W292="","",U292/W292)</f>
        <v/>
      </c>
      <c r="Y292" s="25">
        <f>IF(W292="","",V292/W292)</f>
        <v/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19">
        <f>IF(G293="","",E293/G293)</f>
        <v/>
      </c>
      <c r="I293" s="19">
        <f>IF(G293="","",F293/G293)</f>
        <v/>
      </c>
      <c r="J293" s="26">
        <f>IFERROR(IF(OR(E293="",INDEX(E:E,MATCH(DATE(YEAR($A293)-1,MONTH($A293),DAY($A293)),$A:$A,0))=""),"",E293/INDEX(E:E,MATCH(DATE(YEAR($A293)-1,MONTH($A293),DAY($A293)),$A:$A,0))-1),"")</f>
        <v/>
      </c>
      <c r="K293" s="19">
        <f>IFERROR(IF(OR(F293="",INDEX(F:F,MATCH(DATE(YEAR($A293)-1,MONTH($A293),DAY($A293)),$A:$A,0))=""),"",F293/INDEX(F:F,MATCH(DATE(YEAR($A293)-1,MONTH($A293),DAY($A293)),$A:$A,0))-1),"")</f>
        <v/>
      </c>
      <c r="L293" s="19">
        <f>IFERROR(IF(OR(G293="",INDEX(G:G,MATCH(DATE(YEAR($A293)-1,MONTH($A293),DAY($A293)),$A:$A,0))=""),"",G293/INDEX(G:G,MATCH(DATE(YEAR($A293)-1,MONTH($A293),DAY($A293)),$A:$A,0))-1),"")</f>
        <v/>
      </c>
      <c r="M293" s="19">
        <f>IF(OR(E293="",E292=""),"",E293/E292-1)</f>
        <v/>
      </c>
      <c r="N293" s="19">
        <f>IF(OR(F293="",F292=""),"",F293/F292-1)</f>
        <v/>
      </c>
      <c r="O293" s="19">
        <f>IF(OR(G293="",G292=""),"",G293/G292-1)</f>
        <v/>
      </c>
      <c r="P293" s="22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IF(R293="","",P293/R293)</f>
        <v/>
      </c>
      <c r="T293" s="23">
        <f>IF(R293="","",Q293/R293)</f>
        <v/>
      </c>
      <c r="U293" s="24">
        <f>IF(SUMIFS('Daily NSE Equity Options'!$M:$M,'Daily NSE Equity Options'!$A:$A,$A293)=0,"",SUMIFS('Daily NSE Equity Options'!$M:$M,'Daily NSE Equity Options'!$A:$A,$A293))</f>
        <v/>
      </c>
      <c r="V293" s="9">
        <f>IF(SUMIFS('Daily BSE Equity Options'!$M:$M,'Daily BSE Equity Options'!$A:$A,$A293)=0,"",SUMIFS('Daily BSE Equity Options'!$M:$M,'Daily BSE Equity Options'!$A:$A,$A293))</f>
        <v/>
      </c>
      <c r="W293" s="9">
        <f>IF(OR(U293="",V293=""),"",U293+V293)</f>
        <v/>
      </c>
      <c r="X293" s="25">
        <f>IF(W293="","",U293/W293)</f>
        <v/>
      </c>
      <c r="Y293" s="25">
        <f>IF(W293="","",V293/W293)</f>
        <v/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19">
        <f>IF(G294="","",E294/G294)</f>
        <v/>
      </c>
      <c r="I294" s="19">
        <f>IF(G294="","",F294/G294)</f>
        <v/>
      </c>
      <c r="J294" s="26">
        <f>IFERROR(IF(OR(E294="",INDEX(E:E,MATCH(DATE(YEAR($A294)-1,MONTH($A294),DAY($A294)),$A:$A,0))=""),"",E294/INDEX(E:E,MATCH(DATE(YEAR($A294)-1,MONTH($A294),DAY($A294)),$A:$A,0))-1),"")</f>
        <v/>
      </c>
      <c r="K294" s="19">
        <f>IFERROR(IF(OR(F294="",INDEX(F:F,MATCH(DATE(YEAR($A294)-1,MONTH($A294),DAY($A294)),$A:$A,0))=""),"",F294/INDEX(F:F,MATCH(DATE(YEAR($A294)-1,MONTH($A294),DAY($A294)),$A:$A,0))-1),"")</f>
        <v/>
      </c>
      <c r="L294" s="19">
        <f>IFERROR(IF(OR(G294="",INDEX(G:G,MATCH(DATE(YEAR($A294)-1,MONTH($A294),DAY($A294)),$A:$A,0))=""),"",G294/INDEX(G:G,MATCH(DATE(YEAR($A294)-1,MONTH($A294),DAY($A294)),$A:$A,0))-1),"")</f>
        <v/>
      </c>
      <c r="M294" s="19">
        <f>IF(OR(E294="",E293=""),"",E294/E293-1)</f>
        <v/>
      </c>
      <c r="N294" s="19">
        <f>IF(OR(F294="",F293=""),"",F294/F293-1)</f>
        <v/>
      </c>
      <c r="O294" s="19">
        <f>IF(OR(G294="",G293=""),"",G294/G293-1)</f>
        <v/>
      </c>
      <c r="P294" s="22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IF(R294="","",P294/R294)</f>
        <v/>
      </c>
      <c r="T294" s="23">
        <f>IF(R294="","",Q294/R294)</f>
        <v/>
      </c>
      <c r="U294" s="24">
        <f>IF(SUMIFS('Daily NSE Equity Options'!$M:$M,'Daily NSE Equity Options'!$A:$A,$A294)=0,"",SUMIFS('Daily NSE Equity Options'!$M:$M,'Daily NSE Equity Options'!$A:$A,$A294))</f>
        <v/>
      </c>
      <c r="V294" s="9">
        <f>IF(SUMIFS('Daily BSE Equity Options'!$M:$M,'Daily BSE Equity Options'!$A:$A,$A294)=0,"",SUMIFS('Daily BSE Equity Options'!$M:$M,'Daily BSE Equity Options'!$A:$A,$A294))</f>
        <v/>
      </c>
      <c r="W294" s="9">
        <f>IF(OR(U294="",V294=""),"",U294+V294)</f>
        <v/>
      </c>
      <c r="X294" s="25">
        <f>IF(W294="","",U294/W294)</f>
        <v/>
      </c>
      <c r="Y294" s="25">
        <f>IF(W294="","",V294/W294)</f>
        <v/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19">
        <f>IF(G295="","",E295/G295)</f>
        <v/>
      </c>
      <c r="I295" s="19">
        <f>IF(G295="","",F295/G295)</f>
        <v/>
      </c>
      <c r="J295" s="26">
        <f>IFERROR(IF(OR(E295="",INDEX(E:E,MATCH(DATE(YEAR($A295)-1,MONTH($A295),DAY($A295)),$A:$A,0))=""),"",E295/INDEX(E:E,MATCH(DATE(YEAR($A295)-1,MONTH($A295),DAY($A295)),$A:$A,0))-1),"")</f>
        <v/>
      </c>
      <c r="K295" s="19">
        <f>IFERROR(IF(OR(F295="",INDEX(F:F,MATCH(DATE(YEAR($A295)-1,MONTH($A295),DAY($A295)),$A:$A,0))=""),"",F295/INDEX(F:F,MATCH(DATE(YEAR($A295)-1,MONTH($A295),DAY($A295)),$A:$A,0))-1),"")</f>
        <v/>
      </c>
      <c r="L295" s="19">
        <f>IFERROR(IF(OR(G295="",INDEX(G:G,MATCH(DATE(YEAR($A295)-1,MONTH($A295),DAY($A295)),$A:$A,0))=""),"",G295/INDEX(G:G,MATCH(DATE(YEAR($A295)-1,MONTH($A295),DAY($A295)),$A:$A,0))-1),"")</f>
        <v/>
      </c>
      <c r="M295" s="19">
        <f>IF(OR(E295="",E294=""),"",E295/E294-1)</f>
        <v/>
      </c>
      <c r="N295" s="19">
        <f>IF(OR(F295="",F294=""),"",F295/F294-1)</f>
        <v/>
      </c>
      <c r="O295" s="19">
        <f>IF(OR(G295="",G294=""),"",G295/G294-1)</f>
        <v/>
      </c>
      <c r="P295" s="22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IF(R295="","",P295/R295)</f>
        <v/>
      </c>
      <c r="T295" s="23">
        <f>IF(R295="","",Q295/R295)</f>
        <v/>
      </c>
      <c r="U295" s="24">
        <f>IF(SUMIFS('Daily NSE Equity Options'!$M:$M,'Daily NSE Equity Options'!$A:$A,$A295)=0,"",SUMIFS('Daily NSE Equity Options'!$M:$M,'Daily NSE Equity Options'!$A:$A,$A295))</f>
        <v/>
      </c>
      <c r="V295" s="9">
        <f>IF(SUMIFS('Daily BSE Equity Options'!$M:$M,'Daily BSE Equity Options'!$A:$A,$A295)=0,"",SUMIFS('Daily BSE Equity Options'!$M:$M,'Daily BSE Equity Options'!$A:$A,$A295))</f>
        <v/>
      </c>
      <c r="W295" s="9">
        <f>IF(OR(U295="",V295=""),"",U295+V295)</f>
        <v/>
      </c>
      <c r="X295" s="25">
        <f>IF(W295="","",U295/W295)</f>
        <v/>
      </c>
      <c r="Y295" s="25">
        <f>IF(W295="","",V295/W295)</f>
        <v/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19">
        <f>IF(G296="","",E296/G296)</f>
        <v/>
      </c>
      <c r="I296" s="19">
        <f>IF(G296="","",F296/G296)</f>
        <v/>
      </c>
      <c r="J296" s="26">
        <f>IFERROR(IF(OR(E296="",INDEX(E:E,MATCH(DATE(YEAR($A296)-1,MONTH($A296),DAY($A296)),$A:$A,0))=""),"",E296/INDEX(E:E,MATCH(DATE(YEAR($A296)-1,MONTH($A296),DAY($A296)),$A:$A,0))-1),"")</f>
        <v/>
      </c>
      <c r="K296" s="19">
        <f>IFERROR(IF(OR(F296="",INDEX(F:F,MATCH(DATE(YEAR($A296)-1,MONTH($A296),DAY($A296)),$A:$A,0))=""),"",F296/INDEX(F:F,MATCH(DATE(YEAR($A296)-1,MONTH($A296),DAY($A296)),$A:$A,0))-1),"")</f>
        <v/>
      </c>
      <c r="L296" s="19">
        <f>IFERROR(IF(OR(G296="",INDEX(G:G,MATCH(DATE(YEAR($A296)-1,MONTH($A296),DAY($A296)),$A:$A,0))=""),"",G296/INDEX(G:G,MATCH(DATE(YEAR($A296)-1,MONTH($A296),DAY($A296)),$A:$A,0))-1),"")</f>
        <v/>
      </c>
      <c r="M296" s="19">
        <f>IF(OR(E296="",E295=""),"",E296/E295-1)</f>
        <v/>
      </c>
      <c r="N296" s="19">
        <f>IF(OR(F296="",F295=""),"",F296/F295-1)</f>
        <v/>
      </c>
      <c r="O296" s="19">
        <f>IF(OR(G296="",G295=""),"",G296/G295-1)</f>
        <v/>
      </c>
      <c r="P296" s="22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IF(R296="","",P296/R296)</f>
        <v/>
      </c>
      <c r="T296" s="23">
        <f>IF(R296="","",Q296/R296)</f>
        <v/>
      </c>
      <c r="U296" s="24">
        <f>IF(SUMIFS('Daily NSE Equity Options'!$M:$M,'Daily NSE Equity Options'!$A:$A,$A296)=0,"",SUMIFS('Daily NSE Equity Options'!$M:$M,'Daily NSE Equity Options'!$A:$A,$A296))</f>
        <v/>
      </c>
      <c r="V296" s="9">
        <f>IF(SUMIFS('Daily BSE Equity Options'!$M:$M,'Daily BSE Equity Options'!$A:$A,$A296)=0,"",SUMIFS('Daily BSE Equity Options'!$M:$M,'Daily BSE Equity Options'!$A:$A,$A296))</f>
        <v/>
      </c>
      <c r="W296" s="9">
        <f>IF(OR(U296="",V296=""),"",U296+V296)</f>
        <v/>
      </c>
      <c r="X296" s="25">
        <f>IF(W296="","",U296/W296)</f>
        <v/>
      </c>
      <c r="Y296" s="25">
        <f>IF(W296="","",V296/W296)</f>
        <v/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19">
        <f>IF(G297="","",E297/G297)</f>
        <v/>
      </c>
      <c r="I297" s="19">
        <f>IF(G297="","",F297/G297)</f>
        <v/>
      </c>
      <c r="J297" s="26">
        <f>IFERROR(IF(OR(E297="",INDEX(E:E,MATCH(DATE(YEAR($A297)-1,MONTH($A297),DAY($A297)),$A:$A,0))=""),"",E297/INDEX(E:E,MATCH(DATE(YEAR($A297)-1,MONTH($A297),DAY($A297)),$A:$A,0))-1),"")</f>
        <v/>
      </c>
      <c r="K297" s="19">
        <f>IFERROR(IF(OR(F297="",INDEX(F:F,MATCH(DATE(YEAR($A297)-1,MONTH($A297),DAY($A297)),$A:$A,0))=""),"",F297/INDEX(F:F,MATCH(DATE(YEAR($A297)-1,MONTH($A297),DAY($A297)),$A:$A,0))-1),"")</f>
        <v/>
      </c>
      <c r="L297" s="19">
        <f>IFERROR(IF(OR(G297="",INDEX(G:G,MATCH(DATE(YEAR($A297)-1,MONTH($A297),DAY($A297)),$A:$A,0))=""),"",G297/INDEX(G:G,MATCH(DATE(YEAR($A297)-1,MONTH($A297),DAY($A297)),$A:$A,0))-1),"")</f>
        <v/>
      </c>
      <c r="M297" s="19">
        <f>IF(OR(E297="",E296=""),"",E297/E296-1)</f>
        <v/>
      </c>
      <c r="N297" s="19">
        <f>IF(OR(F297="",F296=""),"",F297/F296-1)</f>
        <v/>
      </c>
      <c r="O297" s="19">
        <f>IF(OR(G297="",G296=""),"",G297/G296-1)</f>
        <v/>
      </c>
      <c r="P297" s="22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IF(R297="","",P297/R297)</f>
        <v/>
      </c>
      <c r="T297" s="23">
        <f>IF(R297="","",Q297/R297)</f>
        <v/>
      </c>
      <c r="U297" s="24">
        <f>IF(SUMIFS('Daily NSE Equity Options'!$M:$M,'Daily NSE Equity Options'!$A:$A,$A297)=0,"",SUMIFS('Daily NSE Equity Options'!$M:$M,'Daily NSE Equity Options'!$A:$A,$A297))</f>
        <v/>
      </c>
      <c r="V297" s="9">
        <f>IF(SUMIFS('Daily BSE Equity Options'!$M:$M,'Daily BSE Equity Options'!$A:$A,$A297)=0,"",SUMIFS('Daily BSE Equity Options'!$M:$M,'Daily BSE Equity Options'!$A:$A,$A297))</f>
        <v/>
      </c>
      <c r="W297" s="9">
        <f>IF(OR(U297="",V297=""),"",U297+V297)</f>
        <v/>
      </c>
      <c r="X297" s="25">
        <f>IF(W297="","",U297/W297)</f>
        <v/>
      </c>
      <c r="Y297" s="25">
        <f>IF(W297="","",V297/W297)</f>
        <v/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19">
        <f>IF(G298="","",E298/G298)</f>
        <v/>
      </c>
      <c r="I298" s="19">
        <f>IF(G298="","",F298/G298)</f>
        <v/>
      </c>
      <c r="J298" s="26">
        <f>IFERROR(IF(OR(E298="",INDEX(E:E,MATCH(DATE(YEAR($A298)-1,MONTH($A298),DAY($A298)),$A:$A,0))=""),"",E298/INDEX(E:E,MATCH(DATE(YEAR($A298)-1,MONTH($A298),DAY($A298)),$A:$A,0))-1),"")</f>
        <v/>
      </c>
      <c r="K298" s="19">
        <f>IFERROR(IF(OR(F298="",INDEX(F:F,MATCH(DATE(YEAR($A298)-1,MONTH($A298),DAY($A298)),$A:$A,0))=""),"",F298/INDEX(F:F,MATCH(DATE(YEAR($A298)-1,MONTH($A298),DAY($A298)),$A:$A,0))-1),"")</f>
        <v/>
      </c>
      <c r="L298" s="19">
        <f>IFERROR(IF(OR(G298="",INDEX(G:G,MATCH(DATE(YEAR($A298)-1,MONTH($A298),DAY($A298)),$A:$A,0))=""),"",G298/INDEX(G:G,MATCH(DATE(YEAR($A298)-1,MONTH($A298),DAY($A298)),$A:$A,0))-1),"")</f>
        <v/>
      </c>
      <c r="M298" s="19">
        <f>IF(OR(E298="",E297=""),"",E298/E297-1)</f>
        <v/>
      </c>
      <c r="N298" s="19">
        <f>IF(OR(F298="",F297=""),"",F298/F297-1)</f>
        <v/>
      </c>
      <c r="O298" s="19">
        <f>IF(OR(G298="",G297=""),"",G298/G297-1)</f>
        <v/>
      </c>
      <c r="P298" s="22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IF(R298="","",P298/R298)</f>
        <v/>
      </c>
      <c r="T298" s="23">
        <f>IF(R298="","",Q298/R298)</f>
        <v/>
      </c>
      <c r="U298" s="24">
        <f>IF(SUMIFS('Daily NSE Equity Options'!$M:$M,'Daily NSE Equity Options'!$A:$A,$A298)=0,"",SUMIFS('Daily NSE Equity Options'!$M:$M,'Daily NSE Equity Options'!$A:$A,$A298))</f>
        <v/>
      </c>
      <c r="V298" s="9">
        <f>IF(SUMIFS('Daily BSE Equity Options'!$M:$M,'Daily BSE Equity Options'!$A:$A,$A298)=0,"",SUMIFS('Daily BSE Equity Options'!$M:$M,'Daily BSE Equity Options'!$A:$A,$A298))</f>
        <v/>
      </c>
      <c r="W298" s="9">
        <f>IF(OR(U298="",V298=""),"",U298+V298)</f>
        <v/>
      </c>
      <c r="X298" s="25">
        <f>IF(W298="","",U298/W298)</f>
        <v/>
      </c>
      <c r="Y298" s="25">
        <f>IF(W298="","",V298/W298)</f>
        <v/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19">
        <f>IF(G299="","",E299/G299)</f>
        <v/>
      </c>
      <c r="I299" s="19">
        <f>IF(G299="","",F299/G299)</f>
        <v/>
      </c>
      <c r="J299" s="26">
        <f>IFERROR(IF(OR(E299="",INDEX(E:E,MATCH(DATE(YEAR($A299)-1,MONTH($A299),DAY($A299)),$A:$A,0))=""),"",E299/INDEX(E:E,MATCH(DATE(YEAR($A299)-1,MONTH($A299),DAY($A299)),$A:$A,0))-1),"")</f>
        <v/>
      </c>
      <c r="K299" s="19">
        <f>IFERROR(IF(OR(F299="",INDEX(F:F,MATCH(DATE(YEAR($A299)-1,MONTH($A299),DAY($A299)),$A:$A,0))=""),"",F299/INDEX(F:F,MATCH(DATE(YEAR($A299)-1,MONTH($A299),DAY($A299)),$A:$A,0))-1),"")</f>
        <v/>
      </c>
      <c r="L299" s="19">
        <f>IFERROR(IF(OR(G299="",INDEX(G:G,MATCH(DATE(YEAR($A299)-1,MONTH($A299),DAY($A299)),$A:$A,0))=""),"",G299/INDEX(G:G,MATCH(DATE(YEAR($A299)-1,MONTH($A299),DAY($A299)),$A:$A,0))-1),"")</f>
        <v/>
      </c>
      <c r="M299" s="19">
        <f>IF(OR(E299="",E298=""),"",E299/E298-1)</f>
        <v/>
      </c>
      <c r="N299" s="19">
        <f>IF(OR(F299="",F298=""),"",F299/F298-1)</f>
        <v/>
      </c>
      <c r="O299" s="19">
        <f>IF(OR(G299="",G298=""),"",G299/G298-1)</f>
        <v/>
      </c>
      <c r="P299" s="22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IF(R299="","",P299/R299)</f>
        <v/>
      </c>
      <c r="T299" s="23">
        <f>IF(R299="","",Q299/R299)</f>
        <v/>
      </c>
      <c r="U299" s="24">
        <f>IF(SUMIFS('Daily NSE Equity Options'!$M:$M,'Daily NSE Equity Options'!$A:$A,$A299)=0,"",SUMIFS('Daily NSE Equity Options'!$M:$M,'Daily NSE Equity Options'!$A:$A,$A299))</f>
        <v/>
      </c>
      <c r="V299" s="9">
        <f>IF(SUMIFS('Daily BSE Equity Options'!$M:$M,'Daily BSE Equity Options'!$A:$A,$A299)=0,"",SUMIFS('Daily BSE Equity Options'!$M:$M,'Daily BSE Equity Options'!$A:$A,$A299))</f>
        <v/>
      </c>
      <c r="W299" s="9">
        <f>IF(OR(U299="",V299=""),"",U299+V299)</f>
        <v/>
      </c>
      <c r="X299" s="25">
        <f>IF(W299="","",U299/W299)</f>
        <v/>
      </c>
      <c r="Y299" s="25">
        <f>IF(W299="","",V299/W299)</f>
        <v/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19">
        <f>IF(G300="","",E300/G300)</f>
        <v/>
      </c>
      <c r="I300" s="19">
        <f>IF(G300="","",F300/G300)</f>
        <v/>
      </c>
      <c r="J300" s="26">
        <f>IFERROR(IF(OR(E300="",INDEX(E:E,MATCH(DATE(YEAR($A300)-1,MONTH($A300),DAY($A300)),$A:$A,0))=""),"",E300/INDEX(E:E,MATCH(DATE(YEAR($A300)-1,MONTH($A300),DAY($A300)),$A:$A,0))-1),"")</f>
        <v/>
      </c>
      <c r="K300" s="19">
        <f>IFERROR(IF(OR(F300="",INDEX(F:F,MATCH(DATE(YEAR($A300)-1,MONTH($A300),DAY($A300)),$A:$A,0))=""),"",F300/INDEX(F:F,MATCH(DATE(YEAR($A300)-1,MONTH($A300),DAY($A300)),$A:$A,0))-1),"")</f>
        <v/>
      </c>
      <c r="L300" s="19">
        <f>IFERROR(IF(OR(G300="",INDEX(G:G,MATCH(DATE(YEAR($A300)-1,MONTH($A300),DAY($A300)),$A:$A,0))=""),"",G300/INDEX(G:G,MATCH(DATE(YEAR($A300)-1,MONTH($A300),DAY($A300)),$A:$A,0))-1),"")</f>
        <v/>
      </c>
      <c r="M300" s="19">
        <f>IF(OR(E300="",E299=""),"",E300/E299-1)</f>
        <v/>
      </c>
      <c r="N300" s="19">
        <f>IF(OR(F300="",F299=""),"",F300/F299-1)</f>
        <v/>
      </c>
      <c r="O300" s="19">
        <f>IF(OR(G300="",G299=""),"",G300/G299-1)</f>
        <v/>
      </c>
      <c r="P300" s="22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IF(R300="","",P300/R300)</f>
        <v/>
      </c>
      <c r="T300" s="23">
        <f>IF(R300="","",Q300/R300)</f>
        <v/>
      </c>
      <c r="U300" s="24">
        <f>IF(SUMIFS('Daily NSE Equity Options'!$M:$M,'Daily NSE Equity Options'!$A:$A,$A300)=0,"",SUMIFS('Daily NSE Equity Options'!$M:$M,'Daily NSE Equity Options'!$A:$A,$A300))</f>
        <v/>
      </c>
      <c r="V300" s="9">
        <f>IF(SUMIFS('Daily BSE Equity Options'!$M:$M,'Daily BSE Equity Options'!$A:$A,$A300)=0,"",SUMIFS('Daily BSE Equity Options'!$M:$M,'Daily BSE Equity Options'!$A:$A,$A300))</f>
        <v/>
      </c>
      <c r="W300" s="9">
        <f>IF(OR(U300="",V300=""),"",U300+V300)</f>
        <v/>
      </c>
      <c r="X300" s="25">
        <f>IF(W300="","",U300/W300)</f>
        <v/>
      </c>
      <c r="Y300" s="25">
        <f>IF(W300="","",V300/W300)</f>
        <v/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19">
        <f>IF(G301="","",E301/G301)</f>
        <v/>
      </c>
      <c r="I301" s="19">
        <f>IF(G301="","",F301/G301)</f>
        <v/>
      </c>
      <c r="J301" s="26">
        <f>IFERROR(IF(OR(E301="",INDEX(E:E,MATCH(DATE(YEAR($A301)-1,MONTH($A301),DAY($A301)),$A:$A,0))=""),"",E301/INDEX(E:E,MATCH(DATE(YEAR($A301)-1,MONTH($A301),DAY($A301)),$A:$A,0))-1),"")</f>
        <v/>
      </c>
      <c r="K301" s="19">
        <f>IFERROR(IF(OR(F301="",INDEX(F:F,MATCH(DATE(YEAR($A301)-1,MONTH($A301),DAY($A301)),$A:$A,0))=""),"",F301/INDEX(F:F,MATCH(DATE(YEAR($A301)-1,MONTH($A301),DAY($A301)),$A:$A,0))-1),"")</f>
        <v/>
      </c>
      <c r="L301" s="19">
        <f>IFERROR(IF(OR(G301="",INDEX(G:G,MATCH(DATE(YEAR($A301)-1,MONTH($A301),DAY($A301)),$A:$A,0))=""),"",G301/INDEX(G:G,MATCH(DATE(YEAR($A301)-1,MONTH($A301),DAY($A301)),$A:$A,0))-1),"")</f>
        <v/>
      </c>
      <c r="M301" s="19">
        <f>IF(OR(E301="",E300=""),"",E301/E300-1)</f>
        <v/>
      </c>
      <c r="N301" s="19">
        <f>IF(OR(F301="",F300=""),"",F301/F300-1)</f>
        <v/>
      </c>
      <c r="O301" s="19">
        <f>IF(OR(G301="",G300=""),"",G301/G300-1)</f>
        <v/>
      </c>
      <c r="P301" s="22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IF(R301="","",P301/R301)</f>
        <v/>
      </c>
      <c r="T301" s="23">
        <f>IF(R301="","",Q301/R301)</f>
        <v/>
      </c>
      <c r="U301" s="24">
        <f>IF(SUMIFS('Daily NSE Equity Options'!$M:$M,'Daily NSE Equity Options'!$A:$A,$A301)=0,"",SUMIFS('Daily NSE Equity Options'!$M:$M,'Daily NSE Equity Options'!$A:$A,$A301))</f>
        <v/>
      </c>
      <c r="V301" s="9">
        <f>IF(SUMIFS('Daily BSE Equity Options'!$M:$M,'Daily BSE Equity Options'!$A:$A,$A301)=0,"",SUMIFS('Daily BSE Equity Options'!$M:$M,'Daily BSE Equity Options'!$A:$A,$A301))</f>
        <v/>
      </c>
      <c r="W301" s="9">
        <f>IF(OR(U301="",V301=""),"",U301+V301)</f>
        <v/>
      </c>
      <c r="X301" s="25">
        <f>IF(W301="","",U301/W301)</f>
        <v/>
      </c>
      <c r="Y301" s="25">
        <f>IF(W301="","",V301/W301)</f>
        <v/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19">
        <f>IF(G302="","",E302/G302)</f>
        <v/>
      </c>
      <c r="I302" s="19">
        <f>IF(G302="","",F302/G302)</f>
        <v/>
      </c>
      <c r="J302" s="26">
        <f>IFERROR(IF(OR(E302="",INDEX(E:E,MATCH(DATE(YEAR($A302)-1,MONTH($A302),DAY($A302)),$A:$A,0))=""),"",E302/INDEX(E:E,MATCH(DATE(YEAR($A302)-1,MONTH($A302),DAY($A302)),$A:$A,0))-1),"")</f>
        <v/>
      </c>
      <c r="K302" s="19">
        <f>IFERROR(IF(OR(F302="",INDEX(F:F,MATCH(DATE(YEAR($A302)-1,MONTH($A302),DAY($A302)),$A:$A,0))=""),"",F302/INDEX(F:F,MATCH(DATE(YEAR($A302)-1,MONTH($A302),DAY($A302)),$A:$A,0))-1),"")</f>
        <v/>
      </c>
      <c r="L302" s="19">
        <f>IFERROR(IF(OR(G302="",INDEX(G:G,MATCH(DATE(YEAR($A302)-1,MONTH($A302),DAY($A302)),$A:$A,0))=""),"",G302/INDEX(G:G,MATCH(DATE(YEAR($A302)-1,MONTH($A302),DAY($A302)),$A:$A,0))-1),"")</f>
        <v/>
      </c>
      <c r="M302" s="19">
        <f>IF(OR(E302="",E301=""),"",E302/E301-1)</f>
        <v/>
      </c>
      <c r="N302" s="19">
        <f>IF(OR(F302="",F301=""),"",F302/F301-1)</f>
        <v/>
      </c>
      <c r="O302" s="19">
        <f>IF(OR(G302="",G301=""),"",G302/G301-1)</f>
        <v/>
      </c>
      <c r="P302" s="22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IF(R302="","",P302/R302)</f>
        <v/>
      </c>
      <c r="T302" s="23">
        <f>IF(R302="","",Q302/R302)</f>
        <v/>
      </c>
      <c r="U302" s="24">
        <f>IF(SUMIFS('Daily NSE Equity Options'!$M:$M,'Daily NSE Equity Options'!$A:$A,$A302)=0,"",SUMIFS('Daily NSE Equity Options'!$M:$M,'Daily NSE Equity Options'!$A:$A,$A302))</f>
        <v/>
      </c>
      <c r="V302" s="9">
        <f>IF(SUMIFS('Daily BSE Equity Options'!$M:$M,'Daily BSE Equity Options'!$A:$A,$A302)=0,"",SUMIFS('Daily BSE Equity Options'!$M:$M,'Daily BSE Equity Options'!$A:$A,$A302))</f>
        <v/>
      </c>
      <c r="W302" s="9">
        <f>IF(OR(U302="",V302=""),"",U302+V302)</f>
        <v/>
      </c>
      <c r="X302" s="25">
        <f>IF(W302="","",U302/W302)</f>
        <v/>
      </c>
      <c r="Y302" s="25">
        <f>IF(W302="","",V302/W302)</f>
        <v/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19">
        <f>IF(G303="","",E303/G303)</f>
        <v/>
      </c>
      <c r="I303" s="19">
        <f>IF(G303="","",F303/G303)</f>
        <v/>
      </c>
      <c r="J303" s="26">
        <f>IFERROR(IF(OR(E303="",INDEX(E:E,MATCH(DATE(YEAR($A303)-1,MONTH($A303),DAY($A303)),$A:$A,0))=""),"",E303/INDEX(E:E,MATCH(DATE(YEAR($A303)-1,MONTH($A303),DAY($A303)),$A:$A,0))-1),"")</f>
        <v/>
      </c>
      <c r="K303" s="19">
        <f>IFERROR(IF(OR(F303="",INDEX(F:F,MATCH(DATE(YEAR($A303)-1,MONTH($A303),DAY($A303)),$A:$A,0))=""),"",F303/INDEX(F:F,MATCH(DATE(YEAR($A303)-1,MONTH($A303),DAY($A303)),$A:$A,0))-1),"")</f>
        <v/>
      </c>
      <c r="L303" s="19">
        <f>IFERROR(IF(OR(G303="",INDEX(G:G,MATCH(DATE(YEAR($A303)-1,MONTH($A303),DAY($A303)),$A:$A,0))=""),"",G303/INDEX(G:G,MATCH(DATE(YEAR($A303)-1,MONTH($A303),DAY($A303)),$A:$A,0))-1),"")</f>
        <v/>
      </c>
      <c r="M303" s="19">
        <f>IF(OR(E303="",E302=""),"",E303/E302-1)</f>
        <v/>
      </c>
      <c r="N303" s="19">
        <f>IF(OR(F303="",F302=""),"",F303/F302-1)</f>
        <v/>
      </c>
      <c r="O303" s="19">
        <f>IF(OR(G303="",G302=""),"",G303/G302-1)</f>
        <v/>
      </c>
      <c r="P303" s="22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IF(R303="","",P303/R303)</f>
        <v/>
      </c>
      <c r="T303" s="23">
        <f>IF(R303="","",Q303/R303)</f>
        <v/>
      </c>
      <c r="U303" s="24">
        <f>IF(SUMIFS('Daily NSE Equity Options'!$M:$M,'Daily NSE Equity Options'!$A:$A,$A303)=0,"",SUMIFS('Daily NSE Equity Options'!$M:$M,'Daily NSE Equity Options'!$A:$A,$A303))</f>
        <v/>
      </c>
      <c r="V303" s="9">
        <f>IF(SUMIFS('Daily BSE Equity Options'!$M:$M,'Daily BSE Equity Options'!$A:$A,$A303)=0,"",SUMIFS('Daily BSE Equity Options'!$M:$M,'Daily BSE Equity Options'!$A:$A,$A303))</f>
        <v/>
      </c>
      <c r="W303" s="9">
        <f>IF(OR(U303="",V303=""),"",U303+V303)</f>
        <v/>
      </c>
      <c r="X303" s="25">
        <f>IF(W303="","",U303/W303)</f>
        <v/>
      </c>
      <c r="Y303" s="25">
        <f>IF(W303="","",V303/W303)</f>
        <v/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19">
        <f>IF(G304="","",E304/G304)</f>
        <v/>
      </c>
      <c r="I304" s="19">
        <f>IF(G304="","",F304/G304)</f>
        <v/>
      </c>
      <c r="J304" s="26">
        <f>IFERROR(IF(OR(E304="",INDEX(E:E,MATCH(DATE(YEAR($A304)-1,MONTH($A304),DAY($A304)),$A:$A,0))=""),"",E304/INDEX(E:E,MATCH(DATE(YEAR($A304)-1,MONTH($A304),DAY($A304)),$A:$A,0))-1),"")</f>
        <v/>
      </c>
      <c r="K304" s="19">
        <f>IFERROR(IF(OR(F304="",INDEX(F:F,MATCH(DATE(YEAR($A304)-1,MONTH($A304),DAY($A304)),$A:$A,0))=""),"",F304/INDEX(F:F,MATCH(DATE(YEAR($A304)-1,MONTH($A304),DAY($A304)),$A:$A,0))-1),"")</f>
        <v/>
      </c>
      <c r="L304" s="19">
        <f>IFERROR(IF(OR(G304="",INDEX(G:G,MATCH(DATE(YEAR($A304)-1,MONTH($A304),DAY($A304)),$A:$A,0))=""),"",G304/INDEX(G:G,MATCH(DATE(YEAR($A304)-1,MONTH($A304),DAY($A304)),$A:$A,0))-1),"")</f>
        <v/>
      </c>
      <c r="M304" s="19">
        <f>IF(OR(E304="",E303=""),"",E304/E303-1)</f>
        <v/>
      </c>
      <c r="N304" s="19">
        <f>IF(OR(F304="",F303=""),"",F304/F303-1)</f>
        <v/>
      </c>
      <c r="O304" s="19">
        <f>IF(OR(G304="",G303=""),"",G304/G303-1)</f>
        <v/>
      </c>
      <c r="P304" s="22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IF(R304="","",P304/R304)</f>
        <v/>
      </c>
      <c r="T304" s="23">
        <f>IF(R304="","",Q304/R304)</f>
        <v/>
      </c>
      <c r="U304" s="24">
        <f>IF(SUMIFS('Daily NSE Equity Options'!$M:$M,'Daily NSE Equity Options'!$A:$A,$A304)=0,"",SUMIFS('Daily NSE Equity Options'!$M:$M,'Daily NSE Equity Options'!$A:$A,$A304))</f>
        <v/>
      </c>
      <c r="V304" s="9">
        <f>IF(SUMIFS('Daily BSE Equity Options'!$M:$M,'Daily BSE Equity Options'!$A:$A,$A304)=0,"",SUMIFS('Daily BSE Equity Options'!$M:$M,'Daily BSE Equity Options'!$A:$A,$A304))</f>
        <v/>
      </c>
      <c r="W304" s="9">
        <f>IF(OR(U304="",V304=""),"",U304+V304)</f>
        <v/>
      </c>
      <c r="X304" s="25">
        <f>IF(W304="","",U304/W304)</f>
        <v/>
      </c>
      <c r="Y304" s="25">
        <f>IF(W304="","",V304/W304)</f>
        <v/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19">
        <f>IF(G305="","",E305/G305)</f>
        <v/>
      </c>
      <c r="I305" s="19">
        <f>IF(G305="","",F305/G305)</f>
        <v/>
      </c>
      <c r="J305" s="26">
        <f>IFERROR(IF(OR(E305="",INDEX(E:E,MATCH(DATE(YEAR($A305)-1,MONTH($A305),DAY($A305)),$A:$A,0))=""),"",E305/INDEX(E:E,MATCH(DATE(YEAR($A305)-1,MONTH($A305),DAY($A305)),$A:$A,0))-1),"")</f>
        <v/>
      </c>
      <c r="K305" s="19">
        <f>IFERROR(IF(OR(F305="",INDEX(F:F,MATCH(DATE(YEAR($A305)-1,MONTH($A305),DAY($A305)),$A:$A,0))=""),"",F305/INDEX(F:F,MATCH(DATE(YEAR($A305)-1,MONTH($A305),DAY($A305)),$A:$A,0))-1),"")</f>
        <v/>
      </c>
      <c r="L305" s="19">
        <f>IFERROR(IF(OR(G305="",INDEX(G:G,MATCH(DATE(YEAR($A305)-1,MONTH($A305),DAY($A305)),$A:$A,0))=""),"",G305/INDEX(G:G,MATCH(DATE(YEAR($A305)-1,MONTH($A305),DAY($A305)),$A:$A,0))-1),"")</f>
        <v/>
      </c>
      <c r="M305" s="19">
        <f>IF(OR(E305="",E304=""),"",E305/E304-1)</f>
        <v/>
      </c>
      <c r="N305" s="19">
        <f>IF(OR(F305="",F304=""),"",F305/F304-1)</f>
        <v/>
      </c>
      <c r="O305" s="19">
        <f>IF(OR(G305="",G304=""),"",G305/G304-1)</f>
        <v/>
      </c>
      <c r="P305" s="22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IF(R305="","",P305/R305)</f>
        <v/>
      </c>
      <c r="T305" s="23">
        <f>IF(R305="","",Q305/R305)</f>
        <v/>
      </c>
      <c r="U305" s="24">
        <f>IF(SUMIFS('Daily NSE Equity Options'!$M:$M,'Daily NSE Equity Options'!$A:$A,$A305)=0,"",SUMIFS('Daily NSE Equity Options'!$M:$M,'Daily NSE Equity Options'!$A:$A,$A305))</f>
        <v/>
      </c>
      <c r="V305" s="9">
        <f>IF(SUMIFS('Daily BSE Equity Options'!$M:$M,'Daily BSE Equity Options'!$A:$A,$A305)=0,"",SUMIFS('Daily BSE Equity Options'!$M:$M,'Daily BSE Equity Options'!$A:$A,$A305))</f>
        <v/>
      </c>
      <c r="W305" s="9">
        <f>IF(OR(U305="",V305=""),"",U305+V305)</f>
        <v/>
      </c>
      <c r="X305" s="25">
        <f>IF(W305="","",U305/W305)</f>
        <v/>
      </c>
      <c r="Y305" s="25">
        <f>IF(W305="","",V305/W305)</f>
        <v/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19">
        <f>IF(G306="","",E306/G306)</f>
        <v/>
      </c>
      <c r="I306" s="19">
        <f>IF(G306="","",F306/G306)</f>
        <v/>
      </c>
      <c r="J306" s="26">
        <f>IFERROR(IF(OR(E306="",INDEX(E:E,MATCH(DATE(YEAR($A306)-1,MONTH($A306),DAY($A306)),$A:$A,0))=""),"",E306/INDEX(E:E,MATCH(DATE(YEAR($A306)-1,MONTH($A306),DAY($A306)),$A:$A,0))-1),"")</f>
        <v/>
      </c>
      <c r="K306" s="19">
        <f>IFERROR(IF(OR(F306="",INDEX(F:F,MATCH(DATE(YEAR($A306)-1,MONTH($A306),DAY($A306)),$A:$A,0))=""),"",F306/INDEX(F:F,MATCH(DATE(YEAR($A306)-1,MONTH($A306),DAY($A306)),$A:$A,0))-1),"")</f>
        <v/>
      </c>
      <c r="L306" s="19">
        <f>IFERROR(IF(OR(G306="",INDEX(G:G,MATCH(DATE(YEAR($A306)-1,MONTH($A306),DAY($A306)),$A:$A,0))=""),"",G306/INDEX(G:G,MATCH(DATE(YEAR($A306)-1,MONTH($A306),DAY($A306)),$A:$A,0))-1),"")</f>
        <v/>
      </c>
      <c r="M306" s="19">
        <f>IF(OR(E306="",E305=""),"",E306/E305-1)</f>
        <v/>
      </c>
      <c r="N306" s="19">
        <f>IF(OR(F306="",F305=""),"",F306/F305-1)</f>
        <v/>
      </c>
      <c r="O306" s="19">
        <f>IF(OR(G306="",G305=""),"",G306/G305-1)</f>
        <v/>
      </c>
      <c r="P306" s="22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IF(R306="","",P306/R306)</f>
        <v/>
      </c>
      <c r="T306" s="23">
        <f>IF(R306="","",Q306/R306)</f>
        <v/>
      </c>
      <c r="U306" s="24">
        <f>IF(SUMIFS('Daily NSE Equity Options'!$M:$M,'Daily NSE Equity Options'!$A:$A,$A306)=0,"",SUMIFS('Daily NSE Equity Options'!$M:$M,'Daily NSE Equity Options'!$A:$A,$A306))</f>
        <v/>
      </c>
      <c r="V306" s="9">
        <f>IF(SUMIFS('Daily BSE Equity Options'!$M:$M,'Daily BSE Equity Options'!$A:$A,$A306)=0,"",SUMIFS('Daily BSE Equity Options'!$M:$M,'Daily BSE Equity Options'!$A:$A,$A306))</f>
        <v/>
      </c>
      <c r="W306" s="9">
        <f>IF(OR(U306="",V306=""),"",U306+V306)</f>
        <v/>
      </c>
      <c r="X306" s="25">
        <f>IF(W306="","",U306/W306)</f>
        <v/>
      </c>
      <c r="Y306" s="25">
        <f>IF(W306="","",V306/W306)</f>
        <v/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19">
        <f>IF(G307="","",E307/G307)</f>
        <v/>
      </c>
      <c r="I307" s="19">
        <f>IF(G307="","",F307/G307)</f>
        <v/>
      </c>
      <c r="J307" s="26">
        <f>IFERROR(IF(OR(E307="",INDEX(E:E,MATCH(DATE(YEAR($A307)-1,MONTH($A307),DAY($A307)),$A:$A,0))=""),"",E307/INDEX(E:E,MATCH(DATE(YEAR($A307)-1,MONTH($A307),DAY($A307)),$A:$A,0))-1),"")</f>
        <v/>
      </c>
      <c r="K307" s="19">
        <f>IFERROR(IF(OR(F307="",INDEX(F:F,MATCH(DATE(YEAR($A307)-1,MONTH($A307),DAY($A307)),$A:$A,0))=""),"",F307/INDEX(F:F,MATCH(DATE(YEAR($A307)-1,MONTH($A307),DAY($A307)),$A:$A,0))-1),"")</f>
        <v/>
      </c>
      <c r="L307" s="19">
        <f>IFERROR(IF(OR(G307="",INDEX(G:G,MATCH(DATE(YEAR($A307)-1,MONTH($A307),DAY($A307)),$A:$A,0))=""),"",G307/INDEX(G:G,MATCH(DATE(YEAR($A307)-1,MONTH($A307),DAY($A307)),$A:$A,0))-1),"")</f>
        <v/>
      </c>
      <c r="M307" s="19">
        <f>IF(OR(E307="",E306=""),"",E307/E306-1)</f>
        <v/>
      </c>
      <c r="N307" s="19">
        <f>IF(OR(F307="",F306=""),"",F307/F306-1)</f>
        <v/>
      </c>
      <c r="O307" s="19">
        <f>IF(OR(G307="",G306=""),"",G307/G306-1)</f>
        <v/>
      </c>
      <c r="P307" s="22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IF(R307="","",P307/R307)</f>
        <v/>
      </c>
      <c r="T307" s="23">
        <f>IF(R307="","",Q307/R307)</f>
        <v/>
      </c>
      <c r="U307" s="24">
        <f>IF(SUMIFS('Daily NSE Equity Options'!$M:$M,'Daily NSE Equity Options'!$A:$A,$A307)=0,"",SUMIFS('Daily NSE Equity Options'!$M:$M,'Daily NSE Equity Options'!$A:$A,$A307))</f>
        <v/>
      </c>
      <c r="V307" s="9">
        <f>IF(SUMIFS('Daily BSE Equity Options'!$M:$M,'Daily BSE Equity Options'!$A:$A,$A307)=0,"",SUMIFS('Daily BSE Equity Options'!$M:$M,'Daily BSE Equity Options'!$A:$A,$A307))</f>
        <v/>
      </c>
      <c r="W307" s="9">
        <f>IF(OR(U307="",V307=""),"",U307+V307)</f>
        <v/>
      </c>
      <c r="X307" s="25">
        <f>IF(W307="","",U307/W307)</f>
        <v/>
      </c>
      <c r="Y307" s="25">
        <f>IF(W307="","",V307/W307)</f>
        <v/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19">
        <f>IF(G308="","",E308/G308)</f>
        <v/>
      </c>
      <c r="I308" s="19">
        <f>IF(G308="","",F308/G308)</f>
        <v/>
      </c>
      <c r="J308" s="26">
        <f>IFERROR(IF(OR(E308="",INDEX(E:E,MATCH(DATE(YEAR($A308)-1,MONTH($A308),DAY($A308)),$A:$A,0))=""),"",E308/INDEX(E:E,MATCH(DATE(YEAR($A308)-1,MONTH($A308),DAY($A308)),$A:$A,0))-1),"")</f>
        <v/>
      </c>
      <c r="K308" s="19">
        <f>IFERROR(IF(OR(F308="",INDEX(F:F,MATCH(DATE(YEAR($A308)-1,MONTH($A308),DAY($A308)),$A:$A,0))=""),"",F308/INDEX(F:F,MATCH(DATE(YEAR($A308)-1,MONTH($A308),DAY($A308)),$A:$A,0))-1),"")</f>
        <v/>
      </c>
      <c r="L308" s="19">
        <f>IFERROR(IF(OR(G308="",INDEX(G:G,MATCH(DATE(YEAR($A308)-1,MONTH($A308),DAY($A308)),$A:$A,0))=""),"",G308/INDEX(G:G,MATCH(DATE(YEAR($A308)-1,MONTH($A308),DAY($A308)),$A:$A,0))-1),"")</f>
        <v/>
      </c>
      <c r="M308" s="19">
        <f>IF(OR(E308="",E307=""),"",E308/E307-1)</f>
        <v/>
      </c>
      <c r="N308" s="19">
        <f>IF(OR(F308="",F307=""),"",F308/F307-1)</f>
        <v/>
      </c>
      <c r="O308" s="19">
        <f>IF(OR(G308="",G307=""),"",G308/G307-1)</f>
        <v/>
      </c>
      <c r="P308" s="22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IF(R308="","",P308/R308)</f>
        <v/>
      </c>
      <c r="T308" s="23">
        <f>IF(R308="","",Q308/R308)</f>
        <v/>
      </c>
      <c r="U308" s="24">
        <f>IF(SUMIFS('Daily NSE Equity Options'!$M:$M,'Daily NSE Equity Options'!$A:$A,$A308)=0,"",SUMIFS('Daily NSE Equity Options'!$M:$M,'Daily NSE Equity Options'!$A:$A,$A308))</f>
        <v/>
      </c>
      <c r="V308" s="9">
        <f>IF(SUMIFS('Daily BSE Equity Options'!$M:$M,'Daily BSE Equity Options'!$A:$A,$A308)=0,"",SUMIFS('Daily BSE Equity Options'!$M:$M,'Daily BSE Equity Options'!$A:$A,$A308))</f>
        <v/>
      </c>
      <c r="W308" s="9">
        <f>IF(OR(U308="",V308=""),"",U308+V308)</f>
        <v/>
      </c>
      <c r="X308" s="25">
        <f>IF(W308="","",U308/W308)</f>
        <v/>
      </c>
      <c r="Y308" s="25">
        <f>IF(W308="","",V308/W308)</f>
        <v/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19">
        <f>IF(G309="","",E309/G309)</f>
        <v/>
      </c>
      <c r="I309" s="19">
        <f>IF(G309="","",F309/G309)</f>
        <v/>
      </c>
      <c r="J309" s="26">
        <f>IFERROR(IF(OR(E309="",INDEX(E:E,MATCH(DATE(YEAR($A309)-1,MONTH($A309),DAY($A309)),$A:$A,0))=""),"",E309/INDEX(E:E,MATCH(DATE(YEAR($A309)-1,MONTH($A309),DAY($A309)),$A:$A,0))-1),"")</f>
        <v/>
      </c>
      <c r="K309" s="19">
        <f>IFERROR(IF(OR(F309="",INDEX(F:F,MATCH(DATE(YEAR($A309)-1,MONTH($A309),DAY($A309)),$A:$A,0))=""),"",F309/INDEX(F:F,MATCH(DATE(YEAR($A309)-1,MONTH($A309),DAY($A309)),$A:$A,0))-1),"")</f>
        <v/>
      </c>
      <c r="L309" s="19">
        <f>IFERROR(IF(OR(G309="",INDEX(G:G,MATCH(DATE(YEAR($A309)-1,MONTH($A309),DAY($A309)),$A:$A,0))=""),"",G309/INDEX(G:G,MATCH(DATE(YEAR($A309)-1,MONTH($A309),DAY($A309)),$A:$A,0))-1),"")</f>
        <v/>
      </c>
      <c r="M309" s="19">
        <f>IF(OR(E309="",E308=""),"",E309/E308-1)</f>
        <v/>
      </c>
      <c r="N309" s="19">
        <f>IF(OR(F309="",F308=""),"",F309/F308-1)</f>
        <v/>
      </c>
      <c r="O309" s="19">
        <f>IF(OR(G309="",G308=""),"",G309/G308-1)</f>
        <v/>
      </c>
      <c r="P309" s="22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IF(R309="","",P309/R309)</f>
        <v/>
      </c>
      <c r="T309" s="23">
        <f>IF(R309="","",Q309/R309)</f>
        <v/>
      </c>
      <c r="U309" s="24">
        <f>IF(SUMIFS('Daily NSE Equity Options'!$M:$M,'Daily NSE Equity Options'!$A:$A,$A309)=0,"",SUMIFS('Daily NSE Equity Options'!$M:$M,'Daily NSE Equity Options'!$A:$A,$A309))</f>
        <v/>
      </c>
      <c r="V309" s="9">
        <f>IF(SUMIFS('Daily BSE Equity Options'!$M:$M,'Daily BSE Equity Options'!$A:$A,$A309)=0,"",SUMIFS('Daily BSE Equity Options'!$M:$M,'Daily BSE Equity Options'!$A:$A,$A309))</f>
        <v/>
      </c>
      <c r="W309" s="9">
        <f>IF(OR(U309="",V309=""),"",U309+V309)</f>
        <v/>
      </c>
      <c r="X309" s="25">
        <f>IF(W309="","",U309/W309)</f>
        <v/>
      </c>
      <c r="Y309" s="25">
        <f>IF(W309="","",V309/W309)</f>
        <v/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19">
        <f>IF(G310="","",E310/G310)</f>
        <v/>
      </c>
      <c r="I310" s="19">
        <f>IF(G310="","",F310/G310)</f>
        <v/>
      </c>
      <c r="J310" s="26">
        <f>IFERROR(IF(OR(E310="",INDEX(E:E,MATCH(DATE(YEAR($A310)-1,MONTH($A310),DAY($A310)),$A:$A,0))=""),"",E310/INDEX(E:E,MATCH(DATE(YEAR($A310)-1,MONTH($A310),DAY($A310)),$A:$A,0))-1),"")</f>
        <v/>
      </c>
      <c r="K310" s="19">
        <f>IFERROR(IF(OR(F310="",INDEX(F:F,MATCH(DATE(YEAR($A310)-1,MONTH($A310),DAY($A310)),$A:$A,0))=""),"",F310/INDEX(F:F,MATCH(DATE(YEAR($A310)-1,MONTH($A310),DAY($A310)),$A:$A,0))-1),"")</f>
        <v/>
      </c>
      <c r="L310" s="19">
        <f>IFERROR(IF(OR(G310="",INDEX(G:G,MATCH(DATE(YEAR($A310)-1,MONTH($A310),DAY($A310)),$A:$A,0))=""),"",G310/INDEX(G:G,MATCH(DATE(YEAR($A310)-1,MONTH($A310),DAY($A310)),$A:$A,0))-1),"")</f>
        <v/>
      </c>
      <c r="M310" s="19">
        <f>IF(OR(E310="",E309=""),"",E310/E309-1)</f>
        <v/>
      </c>
      <c r="N310" s="19">
        <f>IF(OR(F310="",F309=""),"",F310/F309-1)</f>
        <v/>
      </c>
      <c r="O310" s="19">
        <f>IF(OR(G310="",G309=""),"",G310/G309-1)</f>
        <v/>
      </c>
      <c r="P310" s="22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IF(R310="","",P310/R310)</f>
        <v/>
      </c>
      <c r="T310" s="23">
        <f>IF(R310="","",Q310/R310)</f>
        <v/>
      </c>
      <c r="U310" s="24">
        <f>IF(SUMIFS('Daily NSE Equity Options'!$M:$M,'Daily NSE Equity Options'!$A:$A,$A310)=0,"",SUMIFS('Daily NSE Equity Options'!$M:$M,'Daily NSE Equity Options'!$A:$A,$A310))</f>
        <v/>
      </c>
      <c r="V310" s="9">
        <f>IF(SUMIFS('Daily BSE Equity Options'!$M:$M,'Daily BSE Equity Options'!$A:$A,$A310)=0,"",SUMIFS('Daily BSE Equity Options'!$M:$M,'Daily BSE Equity Options'!$A:$A,$A310))</f>
        <v/>
      </c>
      <c r="W310" s="9">
        <f>IF(OR(U310="",V310=""),"",U310+V310)</f>
        <v/>
      </c>
      <c r="X310" s="25">
        <f>IF(W310="","",U310/W310)</f>
        <v/>
      </c>
      <c r="Y310" s="25">
        <f>IF(W310="","",V310/W310)</f>
        <v/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19">
        <f>IF(G311="","",E311/G311)</f>
        <v/>
      </c>
      <c r="I311" s="19">
        <f>IF(G311="","",F311/G311)</f>
        <v/>
      </c>
      <c r="J311" s="26">
        <f>IFERROR(IF(OR(E311="",INDEX(E:E,MATCH(DATE(YEAR($A311)-1,MONTH($A311),DAY($A311)),$A:$A,0))=""),"",E311/INDEX(E:E,MATCH(DATE(YEAR($A311)-1,MONTH($A311),DAY($A311)),$A:$A,0))-1),"")</f>
        <v/>
      </c>
      <c r="K311" s="19">
        <f>IFERROR(IF(OR(F311="",INDEX(F:F,MATCH(DATE(YEAR($A311)-1,MONTH($A311),DAY($A311)),$A:$A,0))=""),"",F311/INDEX(F:F,MATCH(DATE(YEAR($A311)-1,MONTH($A311),DAY($A311)),$A:$A,0))-1),"")</f>
        <v/>
      </c>
      <c r="L311" s="19">
        <f>IFERROR(IF(OR(G311="",INDEX(G:G,MATCH(DATE(YEAR($A311)-1,MONTH($A311),DAY($A311)),$A:$A,0))=""),"",G311/INDEX(G:G,MATCH(DATE(YEAR($A311)-1,MONTH($A311),DAY($A311)),$A:$A,0))-1),"")</f>
        <v/>
      </c>
      <c r="M311" s="19">
        <f>IF(OR(E311="",E310=""),"",E311/E310-1)</f>
        <v/>
      </c>
      <c r="N311" s="19">
        <f>IF(OR(F311="",F310=""),"",F311/F310-1)</f>
        <v/>
      </c>
      <c r="O311" s="19">
        <f>IF(OR(G311="",G310=""),"",G311/G310-1)</f>
        <v/>
      </c>
      <c r="P311" s="22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IF(R311="","",P311/R311)</f>
        <v/>
      </c>
      <c r="T311" s="23">
        <f>IF(R311="","",Q311/R311)</f>
        <v/>
      </c>
      <c r="U311" s="24">
        <f>IF(SUMIFS('Daily NSE Equity Options'!$M:$M,'Daily NSE Equity Options'!$A:$A,$A311)=0,"",SUMIFS('Daily NSE Equity Options'!$M:$M,'Daily NSE Equity Options'!$A:$A,$A311))</f>
        <v/>
      </c>
      <c r="V311" s="9">
        <f>IF(SUMIFS('Daily BSE Equity Options'!$M:$M,'Daily BSE Equity Options'!$A:$A,$A311)=0,"",SUMIFS('Daily BSE Equity Options'!$M:$M,'Daily BSE Equity Options'!$A:$A,$A311))</f>
        <v/>
      </c>
      <c r="W311" s="9">
        <f>IF(OR(U311="",V311=""),"",U311+V311)</f>
        <v/>
      </c>
      <c r="X311" s="25">
        <f>IF(W311="","",U311/W311)</f>
        <v/>
      </c>
      <c r="Y311" s="25">
        <f>IF(W311="","",V311/W311)</f>
        <v/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19">
        <f>IF(G312="","",E312/G312)</f>
        <v/>
      </c>
      <c r="I312" s="19">
        <f>IF(G312="","",F312/G312)</f>
        <v/>
      </c>
      <c r="J312" s="26">
        <f>IFERROR(IF(OR(E312="",INDEX(E:E,MATCH(DATE(YEAR($A312)-1,MONTH($A312),DAY($A312)),$A:$A,0))=""),"",E312/INDEX(E:E,MATCH(DATE(YEAR($A312)-1,MONTH($A312),DAY($A312)),$A:$A,0))-1),"")</f>
        <v/>
      </c>
      <c r="K312" s="19">
        <f>IFERROR(IF(OR(F312="",INDEX(F:F,MATCH(DATE(YEAR($A312)-1,MONTH($A312),DAY($A312)),$A:$A,0))=""),"",F312/INDEX(F:F,MATCH(DATE(YEAR($A312)-1,MONTH($A312),DAY($A312)),$A:$A,0))-1),"")</f>
        <v/>
      </c>
      <c r="L312" s="19">
        <f>IFERROR(IF(OR(G312="",INDEX(G:G,MATCH(DATE(YEAR($A312)-1,MONTH($A312),DAY($A312)),$A:$A,0))=""),"",G312/INDEX(G:G,MATCH(DATE(YEAR($A312)-1,MONTH($A312),DAY($A312)),$A:$A,0))-1),"")</f>
        <v/>
      </c>
      <c r="M312" s="19">
        <f>IF(OR(E312="",E311=""),"",E312/E311-1)</f>
        <v/>
      </c>
      <c r="N312" s="19">
        <f>IF(OR(F312="",F311=""),"",F312/F311-1)</f>
        <v/>
      </c>
      <c r="O312" s="19">
        <f>IF(OR(G312="",G311=""),"",G312/G311-1)</f>
        <v/>
      </c>
      <c r="P312" s="22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IF(R312="","",P312/R312)</f>
        <v/>
      </c>
      <c r="T312" s="23">
        <f>IF(R312="","",Q312/R312)</f>
        <v/>
      </c>
      <c r="U312" s="24">
        <f>IF(SUMIFS('Daily NSE Equity Options'!$M:$M,'Daily NSE Equity Options'!$A:$A,$A312)=0,"",SUMIFS('Daily NSE Equity Options'!$M:$M,'Daily NSE Equity Options'!$A:$A,$A312))</f>
        <v/>
      </c>
      <c r="V312" s="9">
        <f>IF(SUMIFS('Daily BSE Equity Options'!$M:$M,'Daily BSE Equity Options'!$A:$A,$A312)=0,"",SUMIFS('Daily BSE Equity Options'!$M:$M,'Daily BSE Equity Options'!$A:$A,$A312))</f>
        <v/>
      </c>
      <c r="W312" s="9">
        <f>IF(OR(U312="",V312=""),"",U312+V312)</f>
        <v/>
      </c>
      <c r="X312" s="25">
        <f>IF(W312="","",U312/W312)</f>
        <v/>
      </c>
      <c r="Y312" s="25">
        <f>IF(W312="","",V312/W312)</f>
        <v/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19">
        <f>IF(G313="","",E313/G313)</f>
        <v/>
      </c>
      <c r="I313" s="19">
        <f>IF(G313="","",F313/G313)</f>
        <v/>
      </c>
      <c r="J313" s="26">
        <f>IFERROR(IF(OR(E313="",INDEX(E:E,MATCH(DATE(YEAR($A313)-1,MONTH($A313),DAY($A313)),$A:$A,0))=""),"",E313/INDEX(E:E,MATCH(DATE(YEAR($A313)-1,MONTH($A313),DAY($A313)),$A:$A,0))-1),"")</f>
        <v/>
      </c>
      <c r="K313" s="19">
        <f>IFERROR(IF(OR(F313="",INDEX(F:F,MATCH(DATE(YEAR($A313)-1,MONTH($A313),DAY($A313)),$A:$A,0))=""),"",F313/INDEX(F:F,MATCH(DATE(YEAR($A313)-1,MONTH($A313),DAY($A313)),$A:$A,0))-1),"")</f>
        <v/>
      </c>
      <c r="L313" s="19">
        <f>IFERROR(IF(OR(G313="",INDEX(G:G,MATCH(DATE(YEAR($A313)-1,MONTH($A313),DAY($A313)),$A:$A,0))=""),"",G313/INDEX(G:G,MATCH(DATE(YEAR($A313)-1,MONTH($A313),DAY($A313)),$A:$A,0))-1),"")</f>
        <v/>
      </c>
      <c r="M313" s="19">
        <f>IF(OR(E313="",E312=""),"",E313/E312-1)</f>
        <v/>
      </c>
      <c r="N313" s="19">
        <f>IF(OR(F313="",F312=""),"",F313/F312-1)</f>
        <v/>
      </c>
      <c r="O313" s="19">
        <f>IF(OR(G313="",G312=""),"",G313/G312-1)</f>
        <v/>
      </c>
      <c r="P313" s="22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IF(R313="","",P313/R313)</f>
        <v/>
      </c>
      <c r="T313" s="23">
        <f>IF(R313="","",Q313/R313)</f>
        <v/>
      </c>
      <c r="U313" s="24">
        <f>IF(SUMIFS('Daily NSE Equity Options'!$M:$M,'Daily NSE Equity Options'!$A:$A,$A313)=0,"",SUMIFS('Daily NSE Equity Options'!$M:$M,'Daily NSE Equity Options'!$A:$A,$A313))</f>
        <v/>
      </c>
      <c r="V313" s="9">
        <f>IF(SUMIFS('Daily BSE Equity Options'!$M:$M,'Daily BSE Equity Options'!$A:$A,$A313)=0,"",SUMIFS('Daily BSE Equity Options'!$M:$M,'Daily BSE Equity Options'!$A:$A,$A313))</f>
        <v/>
      </c>
      <c r="W313" s="9">
        <f>IF(OR(U313="",V313=""),"",U313+V313)</f>
        <v/>
      </c>
      <c r="X313" s="25">
        <f>IF(W313="","",U313/W313)</f>
        <v/>
      </c>
      <c r="Y313" s="25">
        <f>IF(W313="","",V313/W313)</f>
        <v/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19">
        <f>IF(G314="","",E314/G314)</f>
        <v/>
      </c>
      <c r="I314" s="19">
        <f>IF(G314="","",F314/G314)</f>
        <v/>
      </c>
      <c r="J314" s="26">
        <f>IFERROR(IF(OR(E314="",INDEX(E:E,MATCH(DATE(YEAR($A314)-1,MONTH($A314),DAY($A314)),$A:$A,0))=""),"",E314/INDEX(E:E,MATCH(DATE(YEAR($A314)-1,MONTH($A314),DAY($A314)),$A:$A,0))-1),"")</f>
        <v/>
      </c>
      <c r="K314" s="19">
        <f>IFERROR(IF(OR(F314="",INDEX(F:F,MATCH(DATE(YEAR($A314)-1,MONTH($A314),DAY($A314)),$A:$A,0))=""),"",F314/INDEX(F:F,MATCH(DATE(YEAR($A314)-1,MONTH($A314),DAY($A314)),$A:$A,0))-1),"")</f>
        <v/>
      </c>
      <c r="L314" s="19">
        <f>IFERROR(IF(OR(G314="",INDEX(G:G,MATCH(DATE(YEAR($A314)-1,MONTH($A314),DAY($A314)),$A:$A,0))=""),"",G314/INDEX(G:G,MATCH(DATE(YEAR($A314)-1,MONTH($A314),DAY($A314)),$A:$A,0))-1),"")</f>
        <v/>
      </c>
      <c r="M314" s="19">
        <f>IF(OR(E314="",E313=""),"",E314/E313-1)</f>
        <v/>
      </c>
      <c r="N314" s="19">
        <f>IF(OR(F314="",F313=""),"",F314/F313-1)</f>
        <v/>
      </c>
      <c r="O314" s="19">
        <f>IF(OR(G314="",G313=""),"",G314/G313-1)</f>
        <v/>
      </c>
      <c r="P314" s="22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IF(R314="","",P314/R314)</f>
        <v/>
      </c>
      <c r="T314" s="23">
        <f>IF(R314="","",Q314/R314)</f>
        <v/>
      </c>
      <c r="U314" s="24">
        <f>IF(SUMIFS('Daily NSE Equity Options'!$M:$M,'Daily NSE Equity Options'!$A:$A,$A314)=0,"",SUMIFS('Daily NSE Equity Options'!$M:$M,'Daily NSE Equity Options'!$A:$A,$A314))</f>
        <v/>
      </c>
      <c r="V314" s="9">
        <f>IF(SUMIFS('Daily BSE Equity Options'!$M:$M,'Daily BSE Equity Options'!$A:$A,$A314)=0,"",SUMIFS('Daily BSE Equity Options'!$M:$M,'Daily BSE Equity Options'!$A:$A,$A314))</f>
        <v/>
      </c>
      <c r="W314" s="9">
        <f>IF(OR(U314="",V314=""),"",U314+V314)</f>
        <v/>
      </c>
      <c r="X314" s="25">
        <f>IF(W314="","",U314/W314)</f>
        <v/>
      </c>
      <c r="Y314" s="25">
        <f>IF(W314="","",V314/W314)</f>
        <v/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19">
        <f>IF(G315="","",E315/G315)</f>
        <v/>
      </c>
      <c r="I315" s="19">
        <f>IF(G315="","",F315/G315)</f>
        <v/>
      </c>
      <c r="J315" s="26">
        <f>IFERROR(IF(OR(E315="",INDEX(E:E,MATCH(DATE(YEAR($A315)-1,MONTH($A315),DAY($A315)),$A:$A,0))=""),"",E315/INDEX(E:E,MATCH(DATE(YEAR($A315)-1,MONTH($A315),DAY($A315)),$A:$A,0))-1),"")</f>
        <v/>
      </c>
      <c r="K315" s="19">
        <f>IFERROR(IF(OR(F315="",INDEX(F:F,MATCH(DATE(YEAR($A315)-1,MONTH($A315),DAY($A315)),$A:$A,0))=""),"",F315/INDEX(F:F,MATCH(DATE(YEAR($A315)-1,MONTH($A315),DAY($A315)),$A:$A,0))-1),"")</f>
        <v/>
      </c>
      <c r="L315" s="19">
        <f>IFERROR(IF(OR(G315="",INDEX(G:G,MATCH(DATE(YEAR($A315)-1,MONTH($A315),DAY($A315)),$A:$A,0))=""),"",G315/INDEX(G:G,MATCH(DATE(YEAR($A315)-1,MONTH($A315),DAY($A315)),$A:$A,0))-1),"")</f>
        <v/>
      </c>
      <c r="M315" s="19">
        <f>IF(OR(E315="",E314=""),"",E315/E314-1)</f>
        <v/>
      </c>
      <c r="N315" s="19">
        <f>IF(OR(F315="",F314=""),"",F315/F314-1)</f>
        <v/>
      </c>
      <c r="O315" s="19">
        <f>IF(OR(G315="",G314=""),"",G315/G314-1)</f>
        <v/>
      </c>
      <c r="P315" s="22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IF(R315="","",P315/R315)</f>
        <v/>
      </c>
      <c r="T315" s="23">
        <f>IF(R315="","",Q315/R315)</f>
        <v/>
      </c>
      <c r="U315" s="24">
        <f>IF(SUMIFS('Daily NSE Equity Options'!$M:$M,'Daily NSE Equity Options'!$A:$A,$A315)=0,"",SUMIFS('Daily NSE Equity Options'!$M:$M,'Daily NSE Equity Options'!$A:$A,$A315))</f>
        <v/>
      </c>
      <c r="V315" s="9">
        <f>IF(SUMIFS('Daily BSE Equity Options'!$M:$M,'Daily BSE Equity Options'!$A:$A,$A315)=0,"",SUMIFS('Daily BSE Equity Options'!$M:$M,'Daily BSE Equity Options'!$A:$A,$A315))</f>
        <v/>
      </c>
      <c r="W315" s="9">
        <f>IF(OR(U315="",V315=""),"",U315+V315)</f>
        <v/>
      </c>
      <c r="X315" s="25">
        <f>IF(W315="","",U315/W315)</f>
        <v/>
      </c>
      <c r="Y315" s="25">
        <f>IF(W315="","",V315/W315)</f>
        <v/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19">
        <f>IF(G316="","",E316/G316)</f>
        <v/>
      </c>
      <c r="I316" s="19">
        <f>IF(G316="","",F316/G316)</f>
        <v/>
      </c>
      <c r="J316" s="26">
        <f>IFERROR(IF(OR(E316="",INDEX(E:E,MATCH(DATE(YEAR($A316)-1,MONTH($A316),DAY($A316)),$A:$A,0))=""),"",E316/INDEX(E:E,MATCH(DATE(YEAR($A316)-1,MONTH($A316),DAY($A316)),$A:$A,0))-1),"")</f>
        <v/>
      </c>
      <c r="K316" s="19">
        <f>IFERROR(IF(OR(F316="",INDEX(F:F,MATCH(DATE(YEAR($A316)-1,MONTH($A316),DAY($A316)),$A:$A,0))=""),"",F316/INDEX(F:F,MATCH(DATE(YEAR($A316)-1,MONTH($A316),DAY($A316)),$A:$A,0))-1),"")</f>
        <v/>
      </c>
      <c r="L316" s="19">
        <f>IFERROR(IF(OR(G316="",INDEX(G:G,MATCH(DATE(YEAR($A316)-1,MONTH($A316),DAY($A316)),$A:$A,0))=""),"",G316/INDEX(G:G,MATCH(DATE(YEAR($A316)-1,MONTH($A316),DAY($A316)),$A:$A,0))-1),"")</f>
        <v/>
      </c>
      <c r="M316" s="19">
        <f>IF(OR(E316="",E315=""),"",E316/E315-1)</f>
        <v/>
      </c>
      <c r="N316" s="19">
        <f>IF(OR(F316="",F315=""),"",F316/F315-1)</f>
        <v/>
      </c>
      <c r="O316" s="19">
        <f>IF(OR(G316="",G315=""),"",G316/G315-1)</f>
        <v/>
      </c>
      <c r="P316" s="22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IF(R316="","",P316/R316)</f>
        <v/>
      </c>
      <c r="T316" s="23">
        <f>IF(R316="","",Q316/R316)</f>
        <v/>
      </c>
      <c r="U316" s="24">
        <f>IF(SUMIFS('Daily NSE Equity Options'!$M:$M,'Daily NSE Equity Options'!$A:$A,$A316)=0,"",SUMIFS('Daily NSE Equity Options'!$M:$M,'Daily NSE Equity Options'!$A:$A,$A316))</f>
        <v/>
      </c>
      <c r="V316" s="9">
        <f>IF(SUMIFS('Daily BSE Equity Options'!$M:$M,'Daily BSE Equity Options'!$A:$A,$A316)=0,"",SUMIFS('Daily BSE Equity Options'!$M:$M,'Daily BSE Equity Options'!$A:$A,$A316))</f>
        <v/>
      </c>
      <c r="W316" s="9">
        <f>IF(OR(U316="",V316=""),"",U316+V316)</f>
        <v/>
      </c>
      <c r="X316" s="25">
        <f>IF(W316="","",U316/W316)</f>
        <v/>
      </c>
      <c r="Y316" s="25">
        <f>IF(W316="","",V316/W316)</f>
        <v/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19">
        <f>IF(G317="","",E317/G317)</f>
        <v/>
      </c>
      <c r="I317" s="19">
        <f>IF(G317="","",F317/G317)</f>
        <v/>
      </c>
      <c r="J317" s="26">
        <f>IFERROR(IF(OR(E317="",INDEX(E:E,MATCH(DATE(YEAR($A317)-1,MONTH($A317),DAY($A317)),$A:$A,0))=""),"",E317/INDEX(E:E,MATCH(DATE(YEAR($A317)-1,MONTH($A317),DAY($A317)),$A:$A,0))-1),"")</f>
        <v/>
      </c>
      <c r="K317" s="19">
        <f>IFERROR(IF(OR(F317="",INDEX(F:F,MATCH(DATE(YEAR($A317)-1,MONTH($A317),DAY($A317)),$A:$A,0))=""),"",F317/INDEX(F:F,MATCH(DATE(YEAR($A317)-1,MONTH($A317),DAY($A317)),$A:$A,0))-1),"")</f>
        <v/>
      </c>
      <c r="L317" s="19">
        <f>IFERROR(IF(OR(G317="",INDEX(G:G,MATCH(DATE(YEAR($A317)-1,MONTH($A317),DAY($A317)),$A:$A,0))=""),"",G317/INDEX(G:G,MATCH(DATE(YEAR($A317)-1,MONTH($A317),DAY($A317)),$A:$A,0))-1),"")</f>
        <v/>
      </c>
      <c r="M317" s="19">
        <f>IF(OR(E317="",E316=""),"",E317/E316-1)</f>
        <v/>
      </c>
      <c r="N317" s="19">
        <f>IF(OR(F317="",F316=""),"",F317/F316-1)</f>
        <v/>
      </c>
      <c r="O317" s="19">
        <f>IF(OR(G317="",G316=""),"",G317/G316-1)</f>
        <v/>
      </c>
      <c r="P317" s="22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IF(R317="","",P317/R317)</f>
        <v/>
      </c>
      <c r="T317" s="23">
        <f>IF(R317="","",Q317/R317)</f>
        <v/>
      </c>
      <c r="U317" s="24">
        <f>IF(SUMIFS('Daily NSE Equity Options'!$M:$M,'Daily NSE Equity Options'!$A:$A,$A317)=0,"",SUMIFS('Daily NSE Equity Options'!$M:$M,'Daily NSE Equity Options'!$A:$A,$A317))</f>
        <v/>
      </c>
      <c r="V317" s="9">
        <f>IF(SUMIFS('Daily BSE Equity Options'!$M:$M,'Daily BSE Equity Options'!$A:$A,$A317)=0,"",SUMIFS('Daily BSE Equity Options'!$M:$M,'Daily BSE Equity Options'!$A:$A,$A317))</f>
        <v/>
      </c>
      <c r="W317" s="9">
        <f>IF(OR(U317="",V317=""),"",U317+V317)</f>
        <v/>
      </c>
      <c r="X317" s="25">
        <f>IF(W317="","",U317/W317)</f>
        <v/>
      </c>
      <c r="Y317" s="25">
        <f>IF(W317="","",V317/W317)</f>
        <v/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19">
        <f>IF(G318="","",E318/G318)</f>
        <v/>
      </c>
      <c r="I318" s="19">
        <f>IF(G318="","",F318/G318)</f>
        <v/>
      </c>
      <c r="J318" s="26">
        <f>IFERROR(IF(OR(E318="",INDEX(E:E,MATCH(DATE(YEAR($A318)-1,MONTH($A318),DAY($A318)),$A:$A,0))=""),"",E318/INDEX(E:E,MATCH(DATE(YEAR($A318)-1,MONTH($A318),DAY($A318)),$A:$A,0))-1),"")</f>
        <v/>
      </c>
      <c r="K318" s="19">
        <f>IFERROR(IF(OR(F318="",INDEX(F:F,MATCH(DATE(YEAR($A318)-1,MONTH($A318),DAY($A318)),$A:$A,0))=""),"",F318/INDEX(F:F,MATCH(DATE(YEAR($A318)-1,MONTH($A318),DAY($A318)),$A:$A,0))-1),"")</f>
        <v/>
      </c>
      <c r="L318" s="19">
        <f>IFERROR(IF(OR(G318="",INDEX(G:G,MATCH(DATE(YEAR($A318)-1,MONTH($A318),DAY($A318)),$A:$A,0))=""),"",G318/INDEX(G:G,MATCH(DATE(YEAR($A318)-1,MONTH($A318),DAY($A318)),$A:$A,0))-1),"")</f>
        <v/>
      </c>
      <c r="M318" s="19">
        <f>IF(OR(E318="",E317=""),"",E318/E317-1)</f>
        <v/>
      </c>
      <c r="N318" s="19">
        <f>IF(OR(F318="",F317=""),"",F318/F317-1)</f>
        <v/>
      </c>
      <c r="O318" s="19">
        <f>IF(OR(G318="",G317=""),"",G318/G317-1)</f>
        <v/>
      </c>
      <c r="P318" s="22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IF(R318="","",P318/R318)</f>
        <v/>
      </c>
      <c r="T318" s="23">
        <f>IF(R318="","",Q318/R318)</f>
        <v/>
      </c>
      <c r="U318" s="24">
        <f>IF(SUMIFS('Daily NSE Equity Options'!$M:$M,'Daily NSE Equity Options'!$A:$A,$A318)=0,"",SUMIFS('Daily NSE Equity Options'!$M:$M,'Daily NSE Equity Options'!$A:$A,$A318))</f>
        <v/>
      </c>
      <c r="V318" s="9">
        <f>IF(SUMIFS('Daily BSE Equity Options'!$M:$M,'Daily BSE Equity Options'!$A:$A,$A318)=0,"",SUMIFS('Daily BSE Equity Options'!$M:$M,'Daily BSE Equity Options'!$A:$A,$A318))</f>
        <v/>
      </c>
      <c r="W318" s="9">
        <f>IF(OR(U318="",V318=""),"",U318+V318)</f>
        <v/>
      </c>
      <c r="X318" s="25">
        <f>IF(W318="","",U318/W318)</f>
        <v/>
      </c>
      <c r="Y318" s="25">
        <f>IF(W318="","",V318/W318)</f>
        <v/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19">
        <f>IF(G319="","",E319/G319)</f>
        <v/>
      </c>
      <c r="I319" s="19">
        <f>IF(G319="","",F319/G319)</f>
        <v/>
      </c>
      <c r="J319" s="26">
        <f>IFERROR(IF(OR(E319="",INDEX(E:E,MATCH(DATE(YEAR($A319)-1,MONTH($A319),DAY($A319)),$A:$A,0))=""),"",E319/INDEX(E:E,MATCH(DATE(YEAR($A319)-1,MONTH($A319),DAY($A319)),$A:$A,0))-1),"")</f>
        <v/>
      </c>
      <c r="K319" s="19">
        <f>IFERROR(IF(OR(F319="",INDEX(F:F,MATCH(DATE(YEAR($A319)-1,MONTH($A319),DAY($A319)),$A:$A,0))=""),"",F319/INDEX(F:F,MATCH(DATE(YEAR($A319)-1,MONTH($A319),DAY($A319)),$A:$A,0))-1),"")</f>
        <v/>
      </c>
      <c r="L319" s="19">
        <f>IFERROR(IF(OR(G319="",INDEX(G:G,MATCH(DATE(YEAR($A319)-1,MONTH($A319),DAY($A319)),$A:$A,0))=""),"",G319/INDEX(G:G,MATCH(DATE(YEAR($A319)-1,MONTH($A319),DAY($A319)),$A:$A,0))-1),"")</f>
        <v/>
      </c>
      <c r="M319" s="19">
        <f>IF(OR(E319="",E318=""),"",E319/E318-1)</f>
        <v/>
      </c>
      <c r="N319" s="19">
        <f>IF(OR(F319="",F318=""),"",F319/F318-1)</f>
        <v/>
      </c>
      <c r="O319" s="19">
        <f>IF(OR(G319="",G318=""),"",G319/G318-1)</f>
        <v/>
      </c>
      <c r="P319" s="22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IF(R319="","",P319/R319)</f>
        <v/>
      </c>
      <c r="T319" s="23">
        <f>IF(R319="","",Q319/R319)</f>
        <v/>
      </c>
      <c r="U319" s="24">
        <f>IF(SUMIFS('Daily NSE Equity Options'!$M:$M,'Daily NSE Equity Options'!$A:$A,$A319)=0,"",SUMIFS('Daily NSE Equity Options'!$M:$M,'Daily NSE Equity Options'!$A:$A,$A319))</f>
        <v/>
      </c>
      <c r="V319" s="9">
        <f>IF(SUMIFS('Daily BSE Equity Options'!$M:$M,'Daily BSE Equity Options'!$A:$A,$A319)=0,"",SUMIFS('Daily BSE Equity Options'!$M:$M,'Daily BSE Equity Options'!$A:$A,$A319))</f>
        <v/>
      </c>
      <c r="W319" s="9">
        <f>IF(OR(U319="",V319=""),"",U319+V319)</f>
        <v/>
      </c>
      <c r="X319" s="25">
        <f>IF(W319="","",U319/W319)</f>
        <v/>
      </c>
      <c r="Y319" s="25">
        <f>IF(W319="","",V319/W319)</f>
        <v/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19">
        <f>IF(G320="","",E320/G320)</f>
        <v/>
      </c>
      <c r="I320" s="19">
        <f>IF(G320="","",F320/G320)</f>
        <v/>
      </c>
      <c r="J320" s="26">
        <f>IFERROR(IF(OR(E320="",INDEX(E:E,MATCH(DATE(YEAR($A320)-1,MONTH($A320),DAY($A320)),$A:$A,0))=""),"",E320/INDEX(E:E,MATCH(DATE(YEAR($A320)-1,MONTH($A320),DAY($A320)),$A:$A,0))-1),"")</f>
        <v/>
      </c>
      <c r="K320" s="19">
        <f>IFERROR(IF(OR(F320="",INDEX(F:F,MATCH(DATE(YEAR($A320)-1,MONTH($A320),DAY($A320)),$A:$A,0))=""),"",F320/INDEX(F:F,MATCH(DATE(YEAR($A320)-1,MONTH($A320),DAY($A320)),$A:$A,0))-1),"")</f>
        <v/>
      </c>
      <c r="L320" s="19">
        <f>IFERROR(IF(OR(G320="",INDEX(G:G,MATCH(DATE(YEAR($A320)-1,MONTH($A320),DAY($A320)),$A:$A,0))=""),"",G320/INDEX(G:G,MATCH(DATE(YEAR($A320)-1,MONTH($A320),DAY($A320)),$A:$A,0))-1),"")</f>
        <v/>
      </c>
      <c r="M320" s="19">
        <f>IF(OR(E320="",E319=""),"",E320/E319-1)</f>
        <v/>
      </c>
      <c r="N320" s="19">
        <f>IF(OR(F320="",F319=""),"",F320/F319-1)</f>
        <v/>
      </c>
      <c r="O320" s="19">
        <f>IF(OR(G320="",G319=""),"",G320/G319-1)</f>
        <v/>
      </c>
      <c r="P320" s="22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IF(R320="","",P320/R320)</f>
        <v/>
      </c>
      <c r="T320" s="23">
        <f>IF(R320="","",Q320/R320)</f>
        <v/>
      </c>
      <c r="U320" s="24">
        <f>IF(SUMIFS('Daily NSE Equity Options'!$M:$M,'Daily NSE Equity Options'!$A:$A,$A320)=0,"",SUMIFS('Daily NSE Equity Options'!$M:$M,'Daily NSE Equity Options'!$A:$A,$A320))</f>
        <v/>
      </c>
      <c r="V320" s="9">
        <f>IF(SUMIFS('Daily BSE Equity Options'!$M:$M,'Daily BSE Equity Options'!$A:$A,$A320)=0,"",SUMIFS('Daily BSE Equity Options'!$M:$M,'Daily BSE Equity Options'!$A:$A,$A320))</f>
        <v/>
      </c>
      <c r="W320" s="9">
        <f>IF(OR(U320="",V320=""),"",U320+V320)</f>
        <v/>
      </c>
      <c r="X320" s="25">
        <f>IF(W320="","",U320/W320)</f>
        <v/>
      </c>
      <c r="Y320" s="25">
        <f>IF(W320="","",V320/W320)</f>
        <v/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19">
        <f>IF(G321="","",E321/G321)</f>
        <v/>
      </c>
      <c r="I321" s="19">
        <f>IF(G321="","",F321/G321)</f>
        <v/>
      </c>
      <c r="J321" s="26">
        <f>IFERROR(IF(OR(E321="",INDEX(E:E,MATCH(DATE(YEAR($A321)-1,MONTH($A321),DAY($A321)),$A:$A,0))=""),"",E321/INDEX(E:E,MATCH(DATE(YEAR($A321)-1,MONTH($A321),DAY($A321)),$A:$A,0))-1),"")</f>
        <v/>
      </c>
      <c r="K321" s="19">
        <f>IFERROR(IF(OR(F321="",INDEX(F:F,MATCH(DATE(YEAR($A321)-1,MONTH($A321),DAY($A321)),$A:$A,0))=""),"",F321/INDEX(F:F,MATCH(DATE(YEAR($A321)-1,MONTH($A321),DAY($A321)),$A:$A,0))-1),"")</f>
        <v/>
      </c>
      <c r="L321" s="19">
        <f>IFERROR(IF(OR(G321="",INDEX(G:G,MATCH(DATE(YEAR($A321)-1,MONTH($A321),DAY($A321)),$A:$A,0))=""),"",G321/INDEX(G:G,MATCH(DATE(YEAR($A321)-1,MONTH($A321),DAY($A321)),$A:$A,0))-1),"")</f>
        <v/>
      </c>
      <c r="M321" s="19">
        <f>IF(OR(E321="",E320=""),"",E321/E320-1)</f>
        <v/>
      </c>
      <c r="N321" s="19">
        <f>IF(OR(F321="",F320=""),"",F321/F320-1)</f>
        <v/>
      </c>
      <c r="O321" s="19">
        <f>IF(OR(G321="",G320=""),"",G321/G320-1)</f>
        <v/>
      </c>
      <c r="P321" s="22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IF(R321="","",P321/R321)</f>
        <v/>
      </c>
      <c r="T321" s="23">
        <f>IF(R321="","",Q321/R321)</f>
        <v/>
      </c>
      <c r="U321" s="24">
        <f>IF(SUMIFS('Daily NSE Equity Options'!$M:$M,'Daily NSE Equity Options'!$A:$A,$A321)=0,"",SUMIFS('Daily NSE Equity Options'!$M:$M,'Daily NSE Equity Options'!$A:$A,$A321))</f>
        <v/>
      </c>
      <c r="V321" s="9">
        <f>IF(SUMIFS('Daily BSE Equity Options'!$M:$M,'Daily BSE Equity Options'!$A:$A,$A321)=0,"",SUMIFS('Daily BSE Equity Options'!$M:$M,'Daily BSE Equity Options'!$A:$A,$A321))</f>
        <v/>
      </c>
      <c r="W321" s="9">
        <f>IF(OR(U321="",V321=""),"",U321+V321)</f>
        <v/>
      </c>
      <c r="X321" s="25">
        <f>IF(W321="","",U321/W321)</f>
        <v/>
      </c>
      <c r="Y321" s="25">
        <f>IF(W321="","",V321/W321)</f>
        <v/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19">
        <f>IF(G322="","",E322/G322)</f>
        <v/>
      </c>
      <c r="I322" s="19">
        <f>IF(G322="","",F322/G322)</f>
        <v/>
      </c>
      <c r="J322" s="26">
        <f>IFERROR(IF(OR(E322="",INDEX(E:E,MATCH(DATE(YEAR($A322)-1,MONTH($A322),DAY($A322)),$A:$A,0))=""),"",E322/INDEX(E:E,MATCH(DATE(YEAR($A322)-1,MONTH($A322),DAY($A322)),$A:$A,0))-1),"")</f>
        <v/>
      </c>
      <c r="K322" s="19">
        <f>IFERROR(IF(OR(F322="",INDEX(F:F,MATCH(DATE(YEAR($A322)-1,MONTH($A322),DAY($A322)),$A:$A,0))=""),"",F322/INDEX(F:F,MATCH(DATE(YEAR($A322)-1,MONTH($A322),DAY($A322)),$A:$A,0))-1),"")</f>
        <v/>
      </c>
      <c r="L322" s="19">
        <f>IFERROR(IF(OR(G322="",INDEX(G:G,MATCH(DATE(YEAR($A322)-1,MONTH($A322),DAY($A322)),$A:$A,0))=""),"",G322/INDEX(G:G,MATCH(DATE(YEAR($A322)-1,MONTH($A322),DAY($A322)),$A:$A,0))-1),"")</f>
        <v/>
      </c>
      <c r="M322" s="19">
        <f>IF(OR(E322="",E321=""),"",E322/E321-1)</f>
        <v/>
      </c>
      <c r="N322" s="19">
        <f>IF(OR(F322="",F321=""),"",F322/F321-1)</f>
        <v/>
      </c>
      <c r="O322" s="19">
        <f>IF(OR(G322="",G321=""),"",G322/G321-1)</f>
        <v/>
      </c>
      <c r="P322" s="22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IF(R322="","",P322/R322)</f>
        <v/>
      </c>
      <c r="T322" s="23">
        <f>IF(R322="","",Q322/R322)</f>
        <v/>
      </c>
      <c r="U322" s="24">
        <f>IF(SUMIFS('Daily NSE Equity Options'!$M:$M,'Daily NSE Equity Options'!$A:$A,$A322)=0,"",SUMIFS('Daily NSE Equity Options'!$M:$M,'Daily NSE Equity Options'!$A:$A,$A322))</f>
        <v/>
      </c>
      <c r="V322" s="9">
        <f>IF(SUMIFS('Daily BSE Equity Options'!$M:$M,'Daily BSE Equity Options'!$A:$A,$A322)=0,"",SUMIFS('Daily BSE Equity Options'!$M:$M,'Daily BSE Equity Options'!$A:$A,$A322))</f>
        <v/>
      </c>
      <c r="W322" s="9">
        <f>IF(OR(U322="",V322=""),"",U322+V322)</f>
        <v/>
      </c>
      <c r="X322" s="25">
        <f>IF(W322="","",U322/W322)</f>
        <v/>
      </c>
      <c r="Y322" s="25">
        <f>IF(W322="","",V322/W322)</f>
        <v/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19">
        <f>IF(G323="","",E323/G323)</f>
        <v/>
      </c>
      <c r="I323" s="19">
        <f>IF(G323="","",F323/G323)</f>
        <v/>
      </c>
      <c r="J323" s="26">
        <f>IFERROR(IF(OR(E323="",INDEX(E:E,MATCH(DATE(YEAR($A323)-1,MONTH($A323),DAY($A323)),$A:$A,0))=""),"",E323/INDEX(E:E,MATCH(DATE(YEAR($A323)-1,MONTH($A323),DAY($A323)),$A:$A,0))-1),"")</f>
        <v/>
      </c>
      <c r="K323" s="19">
        <f>IFERROR(IF(OR(F323="",INDEX(F:F,MATCH(DATE(YEAR($A323)-1,MONTH($A323),DAY($A323)),$A:$A,0))=""),"",F323/INDEX(F:F,MATCH(DATE(YEAR($A323)-1,MONTH($A323),DAY($A323)),$A:$A,0))-1),"")</f>
        <v/>
      </c>
      <c r="L323" s="19">
        <f>IFERROR(IF(OR(G323="",INDEX(G:G,MATCH(DATE(YEAR($A323)-1,MONTH($A323),DAY($A323)),$A:$A,0))=""),"",G323/INDEX(G:G,MATCH(DATE(YEAR($A323)-1,MONTH($A323),DAY($A323)),$A:$A,0))-1),"")</f>
        <v/>
      </c>
      <c r="M323" s="19">
        <f>IF(OR(E323="",E322=""),"",E323/E322-1)</f>
        <v/>
      </c>
      <c r="N323" s="19">
        <f>IF(OR(F323="",F322=""),"",F323/F322-1)</f>
        <v/>
      </c>
      <c r="O323" s="19">
        <f>IF(OR(G323="",G322=""),"",G323/G322-1)</f>
        <v/>
      </c>
      <c r="P323" s="22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IF(R323="","",P323/R323)</f>
        <v/>
      </c>
      <c r="T323" s="23">
        <f>IF(R323="","",Q323/R323)</f>
        <v/>
      </c>
      <c r="U323" s="24">
        <f>IF(SUMIFS('Daily NSE Equity Options'!$M:$M,'Daily NSE Equity Options'!$A:$A,$A323)=0,"",SUMIFS('Daily NSE Equity Options'!$M:$M,'Daily NSE Equity Options'!$A:$A,$A323))</f>
        <v/>
      </c>
      <c r="V323" s="9">
        <f>IF(SUMIFS('Daily BSE Equity Options'!$M:$M,'Daily BSE Equity Options'!$A:$A,$A323)=0,"",SUMIFS('Daily BSE Equity Options'!$M:$M,'Daily BSE Equity Options'!$A:$A,$A323))</f>
        <v/>
      </c>
      <c r="W323" s="9">
        <f>IF(OR(U323="",V323=""),"",U323+V323)</f>
        <v/>
      </c>
      <c r="X323" s="25">
        <f>IF(W323="","",U323/W323)</f>
        <v/>
      </c>
      <c r="Y323" s="25">
        <f>IF(W323="","",V323/W323)</f>
        <v/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19">
        <f>IF(G324="","",E324/G324)</f>
        <v/>
      </c>
      <c r="I324" s="19">
        <f>IF(G324="","",F324/G324)</f>
        <v/>
      </c>
      <c r="J324" s="26">
        <f>IFERROR(IF(OR(E324="",INDEX(E:E,MATCH(DATE(YEAR($A324)-1,MONTH($A324),DAY($A324)),$A:$A,0))=""),"",E324/INDEX(E:E,MATCH(DATE(YEAR($A324)-1,MONTH($A324),DAY($A324)),$A:$A,0))-1),"")</f>
        <v/>
      </c>
      <c r="K324" s="19">
        <f>IFERROR(IF(OR(F324="",INDEX(F:F,MATCH(DATE(YEAR($A324)-1,MONTH($A324),DAY($A324)),$A:$A,0))=""),"",F324/INDEX(F:F,MATCH(DATE(YEAR($A324)-1,MONTH($A324),DAY($A324)),$A:$A,0))-1),"")</f>
        <v/>
      </c>
      <c r="L324" s="19">
        <f>IFERROR(IF(OR(G324="",INDEX(G:G,MATCH(DATE(YEAR($A324)-1,MONTH($A324),DAY($A324)),$A:$A,0))=""),"",G324/INDEX(G:G,MATCH(DATE(YEAR($A324)-1,MONTH($A324),DAY($A324)),$A:$A,0))-1),"")</f>
        <v/>
      </c>
      <c r="M324" s="19">
        <f>IF(OR(E324="",E323=""),"",E324/E323-1)</f>
        <v/>
      </c>
      <c r="N324" s="19">
        <f>IF(OR(F324="",F323=""),"",F324/F323-1)</f>
        <v/>
      </c>
      <c r="O324" s="19">
        <f>IF(OR(G324="",G323=""),"",G324/G323-1)</f>
        <v/>
      </c>
      <c r="P324" s="22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IF(R324="","",P324/R324)</f>
        <v/>
      </c>
      <c r="T324" s="23">
        <f>IF(R324="","",Q324/R324)</f>
        <v/>
      </c>
      <c r="U324" s="24">
        <f>IF(SUMIFS('Daily NSE Equity Options'!$M:$M,'Daily NSE Equity Options'!$A:$A,$A324)=0,"",SUMIFS('Daily NSE Equity Options'!$M:$M,'Daily NSE Equity Options'!$A:$A,$A324))</f>
        <v/>
      </c>
      <c r="V324" s="9">
        <f>IF(SUMIFS('Daily BSE Equity Options'!$M:$M,'Daily BSE Equity Options'!$A:$A,$A324)=0,"",SUMIFS('Daily BSE Equity Options'!$M:$M,'Daily BSE Equity Options'!$A:$A,$A324))</f>
        <v/>
      </c>
      <c r="W324" s="9">
        <f>IF(OR(U324="",V324=""),"",U324+V324)</f>
        <v/>
      </c>
      <c r="X324" s="25">
        <f>IF(W324="","",U324/W324)</f>
        <v/>
      </c>
      <c r="Y324" s="25">
        <f>IF(W324="","",V324/W324)</f>
        <v/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19">
        <f>IF(G325="","",E325/G325)</f>
        <v/>
      </c>
      <c r="I325" s="19">
        <f>IF(G325="","",F325/G325)</f>
        <v/>
      </c>
      <c r="J325" s="26">
        <f>IFERROR(IF(OR(E325="",INDEX(E:E,MATCH(DATE(YEAR($A325)-1,MONTH($A325),DAY($A325)),$A:$A,0))=""),"",E325/INDEX(E:E,MATCH(DATE(YEAR($A325)-1,MONTH($A325),DAY($A325)),$A:$A,0))-1),"")</f>
        <v/>
      </c>
      <c r="K325" s="19">
        <f>IFERROR(IF(OR(F325="",INDEX(F:F,MATCH(DATE(YEAR($A325)-1,MONTH($A325),DAY($A325)),$A:$A,0))=""),"",F325/INDEX(F:F,MATCH(DATE(YEAR($A325)-1,MONTH($A325),DAY($A325)),$A:$A,0))-1),"")</f>
        <v/>
      </c>
      <c r="L325" s="19">
        <f>IFERROR(IF(OR(G325="",INDEX(G:G,MATCH(DATE(YEAR($A325)-1,MONTH($A325),DAY($A325)),$A:$A,0))=""),"",G325/INDEX(G:G,MATCH(DATE(YEAR($A325)-1,MONTH($A325),DAY($A325)),$A:$A,0))-1),"")</f>
        <v/>
      </c>
      <c r="M325" s="19">
        <f>IF(OR(E325="",E324=""),"",E325/E324-1)</f>
        <v/>
      </c>
      <c r="N325" s="19">
        <f>IF(OR(F325="",F324=""),"",F325/F324-1)</f>
        <v/>
      </c>
      <c r="O325" s="19">
        <f>IF(OR(G325="",G324=""),"",G325/G324-1)</f>
        <v/>
      </c>
      <c r="P325" s="22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IF(R325="","",P325/R325)</f>
        <v/>
      </c>
      <c r="T325" s="23">
        <f>IF(R325="","",Q325/R325)</f>
        <v/>
      </c>
      <c r="U325" s="24">
        <f>IF(SUMIFS('Daily NSE Equity Options'!$M:$M,'Daily NSE Equity Options'!$A:$A,$A325)=0,"",SUMIFS('Daily NSE Equity Options'!$M:$M,'Daily NSE Equity Options'!$A:$A,$A325))</f>
        <v/>
      </c>
      <c r="V325" s="9">
        <f>IF(SUMIFS('Daily BSE Equity Options'!$M:$M,'Daily BSE Equity Options'!$A:$A,$A325)=0,"",SUMIFS('Daily BSE Equity Options'!$M:$M,'Daily BSE Equity Options'!$A:$A,$A325))</f>
        <v/>
      </c>
      <c r="W325" s="9">
        <f>IF(OR(U325="",V325=""),"",U325+V325)</f>
        <v/>
      </c>
      <c r="X325" s="25">
        <f>IF(W325="","",U325/W325)</f>
        <v/>
      </c>
      <c r="Y325" s="25">
        <f>IF(W325="","",V325/W325)</f>
        <v/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19">
        <f>IF(G326="","",E326/G326)</f>
        <v/>
      </c>
      <c r="I326" s="19">
        <f>IF(G326="","",F326/G326)</f>
        <v/>
      </c>
      <c r="J326" s="26">
        <f>IFERROR(IF(OR(E326="",INDEX(E:E,MATCH(DATE(YEAR($A326)-1,MONTH($A326),DAY($A326)),$A:$A,0))=""),"",E326/INDEX(E:E,MATCH(DATE(YEAR($A326)-1,MONTH($A326),DAY($A326)),$A:$A,0))-1),"")</f>
        <v/>
      </c>
      <c r="K326" s="19">
        <f>IFERROR(IF(OR(F326="",INDEX(F:F,MATCH(DATE(YEAR($A326)-1,MONTH($A326),DAY($A326)),$A:$A,0))=""),"",F326/INDEX(F:F,MATCH(DATE(YEAR($A326)-1,MONTH($A326),DAY($A326)),$A:$A,0))-1),"")</f>
        <v/>
      </c>
      <c r="L326" s="19">
        <f>IFERROR(IF(OR(G326="",INDEX(G:G,MATCH(DATE(YEAR($A326)-1,MONTH($A326),DAY($A326)),$A:$A,0))=""),"",G326/INDEX(G:G,MATCH(DATE(YEAR($A326)-1,MONTH($A326),DAY($A326)),$A:$A,0))-1),"")</f>
        <v/>
      </c>
      <c r="M326" s="19">
        <f>IF(OR(E326="",E325=""),"",E326/E325-1)</f>
        <v/>
      </c>
      <c r="N326" s="19">
        <f>IF(OR(F326="",F325=""),"",F326/F325-1)</f>
        <v/>
      </c>
      <c r="O326" s="19">
        <f>IF(OR(G326="",G325=""),"",G326/G325-1)</f>
        <v/>
      </c>
      <c r="P326" s="22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IF(R326="","",P326/R326)</f>
        <v/>
      </c>
      <c r="T326" s="23">
        <f>IF(R326="","",Q326/R326)</f>
        <v/>
      </c>
      <c r="U326" s="24">
        <f>IF(SUMIFS('Daily NSE Equity Options'!$M:$M,'Daily NSE Equity Options'!$A:$A,$A326)=0,"",SUMIFS('Daily NSE Equity Options'!$M:$M,'Daily NSE Equity Options'!$A:$A,$A326))</f>
        <v/>
      </c>
      <c r="V326" s="9">
        <f>IF(SUMIFS('Daily BSE Equity Options'!$M:$M,'Daily BSE Equity Options'!$A:$A,$A326)=0,"",SUMIFS('Daily BSE Equity Options'!$M:$M,'Daily BSE Equity Options'!$A:$A,$A326))</f>
        <v/>
      </c>
      <c r="W326" s="9">
        <f>IF(OR(U326="",V326=""),"",U326+V326)</f>
        <v/>
      </c>
      <c r="X326" s="25">
        <f>IF(W326="","",U326/W326)</f>
        <v/>
      </c>
      <c r="Y326" s="25">
        <f>IF(W326="","",V326/W326)</f>
        <v/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19">
        <f>IF(G327="","",E327/G327)</f>
        <v/>
      </c>
      <c r="I327" s="19">
        <f>IF(G327="","",F327/G327)</f>
        <v/>
      </c>
      <c r="J327" s="26">
        <f>IFERROR(IF(OR(E327="",INDEX(E:E,MATCH(DATE(YEAR($A327)-1,MONTH($A327),DAY($A327)),$A:$A,0))=""),"",E327/INDEX(E:E,MATCH(DATE(YEAR($A327)-1,MONTH($A327),DAY($A327)),$A:$A,0))-1),"")</f>
        <v/>
      </c>
      <c r="K327" s="19">
        <f>IFERROR(IF(OR(F327="",INDEX(F:F,MATCH(DATE(YEAR($A327)-1,MONTH($A327),DAY($A327)),$A:$A,0))=""),"",F327/INDEX(F:F,MATCH(DATE(YEAR($A327)-1,MONTH($A327),DAY($A327)),$A:$A,0))-1),"")</f>
        <v/>
      </c>
      <c r="L327" s="19">
        <f>IFERROR(IF(OR(G327="",INDEX(G:G,MATCH(DATE(YEAR($A327)-1,MONTH($A327),DAY($A327)),$A:$A,0))=""),"",G327/INDEX(G:G,MATCH(DATE(YEAR($A327)-1,MONTH($A327),DAY($A327)),$A:$A,0))-1),"")</f>
        <v/>
      </c>
      <c r="M327" s="19">
        <f>IF(OR(E327="",E326=""),"",E327/E326-1)</f>
        <v/>
      </c>
      <c r="N327" s="19">
        <f>IF(OR(F327="",F326=""),"",F327/F326-1)</f>
        <v/>
      </c>
      <c r="O327" s="19">
        <f>IF(OR(G327="",G326=""),"",G327/G326-1)</f>
        <v/>
      </c>
      <c r="P327" s="22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IF(R327="","",P327/R327)</f>
        <v/>
      </c>
      <c r="T327" s="23">
        <f>IF(R327="","",Q327/R327)</f>
        <v/>
      </c>
      <c r="U327" s="24">
        <f>IF(SUMIFS('Daily NSE Equity Options'!$M:$M,'Daily NSE Equity Options'!$A:$A,$A327)=0,"",SUMIFS('Daily NSE Equity Options'!$M:$M,'Daily NSE Equity Options'!$A:$A,$A327))</f>
        <v/>
      </c>
      <c r="V327" s="9">
        <f>IF(SUMIFS('Daily BSE Equity Options'!$M:$M,'Daily BSE Equity Options'!$A:$A,$A327)=0,"",SUMIFS('Daily BSE Equity Options'!$M:$M,'Daily BSE Equity Options'!$A:$A,$A327))</f>
        <v/>
      </c>
      <c r="W327" s="9">
        <f>IF(OR(U327="",V327=""),"",U327+V327)</f>
        <v/>
      </c>
      <c r="X327" s="25">
        <f>IF(W327="","",U327/W327)</f>
        <v/>
      </c>
      <c r="Y327" s="25">
        <f>IF(W327="","",V327/W327)</f>
        <v/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19">
        <f>IF(G328="","",E328/G328)</f>
        <v/>
      </c>
      <c r="I328" s="19">
        <f>IF(G328="","",F328/G328)</f>
        <v/>
      </c>
      <c r="J328" s="26">
        <f>IFERROR(IF(OR(E328="",INDEX(E:E,MATCH(DATE(YEAR($A328)-1,MONTH($A328),DAY($A328)),$A:$A,0))=""),"",E328/INDEX(E:E,MATCH(DATE(YEAR($A328)-1,MONTH($A328),DAY($A328)),$A:$A,0))-1),"")</f>
        <v/>
      </c>
      <c r="K328" s="19">
        <f>IFERROR(IF(OR(F328="",INDEX(F:F,MATCH(DATE(YEAR($A328)-1,MONTH($A328),DAY($A328)),$A:$A,0))=""),"",F328/INDEX(F:F,MATCH(DATE(YEAR($A328)-1,MONTH($A328),DAY($A328)),$A:$A,0))-1),"")</f>
        <v/>
      </c>
      <c r="L328" s="19">
        <f>IFERROR(IF(OR(G328="",INDEX(G:G,MATCH(DATE(YEAR($A328)-1,MONTH($A328),DAY($A328)),$A:$A,0))=""),"",G328/INDEX(G:G,MATCH(DATE(YEAR($A328)-1,MONTH($A328),DAY($A328)),$A:$A,0))-1),"")</f>
        <v/>
      </c>
      <c r="M328" s="19">
        <f>IF(OR(E328="",E327=""),"",E328/E327-1)</f>
        <v/>
      </c>
      <c r="N328" s="19">
        <f>IF(OR(F328="",F327=""),"",F328/F327-1)</f>
        <v/>
      </c>
      <c r="O328" s="19">
        <f>IF(OR(G328="",G327=""),"",G328/G327-1)</f>
        <v/>
      </c>
      <c r="P328" s="22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IF(R328="","",P328/R328)</f>
        <v/>
      </c>
      <c r="T328" s="23">
        <f>IF(R328="","",Q328/R328)</f>
        <v/>
      </c>
      <c r="U328" s="24">
        <f>IF(SUMIFS('Daily NSE Equity Options'!$M:$M,'Daily NSE Equity Options'!$A:$A,$A328)=0,"",SUMIFS('Daily NSE Equity Options'!$M:$M,'Daily NSE Equity Options'!$A:$A,$A328))</f>
        <v/>
      </c>
      <c r="V328" s="9">
        <f>IF(SUMIFS('Daily BSE Equity Options'!$M:$M,'Daily BSE Equity Options'!$A:$A,$A328)=0,"",SUMIFS('Daily BSE Equity Options'!$M:$M,'Daily BSE Equity Options'!$A:$A,$A328))</f>
        <v/>
      </c>
      <c r="W328" s="9">
        <f>IF(OR(U328="",V328=""),"",U328+V328)</f>
        <v/>
      </c>
      <c r="X328" s="25">
        <f>IF(W328="","",U328/W328)</f>
        <v/>
      </c>
      <c r="Y328" s="25">
        <f>IF(W328="","",V328/W328)</f>
        <v/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19">
        <f>IF(G329="","",E329/G329)</f>
        <v/>
      </c>
      <c r="I329" s="19">
        <f>IF(G329="","",F329/G329)</f>
        <v/>
      </c>
      <c r="J329" s="26">
        <f>IFERROR(IF(OR(E329="",INDEX(E:E,MATCH(DATE(YEAR($A329)-1,MONTH($A329),DAY($A329)),$A:$A,0))=""),"",E329/INDEX(E:E,MATCH(DATE(YEAR($A329)-1,MONTH($A329),DAY($A329)),$A:$A,0))-1),"")</f>
        <v/>
      </c>
      <c r="K329" s="19">
        <f>IFERROR(IF(OR(F329="",INDEX(F:F,MATCH(DATE(YEAR($A329)-1,MONTH($A329),DAY($A329)),$A:$A,0))=""),"",F329/INDEX(F:F,MATCH(DATE(YEAR($A329)-1,MONTH($A329),DAY($A329)),$A:$A,0))-1),"")</f>
        <v/>
      </c>
      <c r="L329" s="19">
        <f>IFERROR(IF(OR(G329="",INDEX(G:G,MATCH(DATE(YEAR($A329)-1,MONTH($A329),DAY($A329)),$A:$A,0))=""),"",G329/INDEX(G:G,MATCH(DATE(YEAR($A329)-1,MONTH($A329),DAY($A329)),$A:$A,0))-1),"")</f>
        <v/>
      </c>
      <c r="M329" s="19">
        <f>IF(OR(E329="",E328=""),"",E329/E328-1)</f>
        <v/>
      </c>
      <c r="N329" s="19">
        <f>IF(OR(F329="",F328=""),"",F329/F328-1)</f>
        <v/>
      </c>
      <c r="O329" s="19">
        <f>IF(OR(G329="",G328=""),"",G329/G328-1)</f>
        <v/>
      </c>
      <c r="P329" s="22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IF(R329="","",P329/R329)</f>
        <v/>
      </c>
      <c r="T329" s="23">
        <f>IF(R329="","",Q329/R329)</f>
        <v/>
      </c>
      <c r="U329" s="24">
        <f>IF(SUMIFS('Daily NSE Equity Options'!$M:$M,'Daily NSE Equity Options'!$A:$A,$A329)=0,"",SUMIFS('Daily NSE Equity Options'!$M:$M,'Daily NSE Equity Options'!$A:$A,$A329))</f>
        <v/>
      </c>
      <c r="V329" s="9">
        <f>IF(SUMIFS('Daily BSE Equity Options'!$M:$M,'Daily BSE Equity Options'!$A:$A,$A329)=0,"",SUMIFS('Daily BSE Equity Options'!$M:$M,'Daily BSE Equity Options'!$A:$A,$A329))</f>
        <v/>
      </c>
      <c r="W329" s="9">
        <f>IF(OR(U329="",V329=""),"",U329+V329)</f>
        <v/>
      </c>
      <c r="X329" s="25">
        <f>IF(W329="","",U329/W329)</f>
        <v/>
      </c>
      <c r="Y329" s="25">
        <f>IF(W329="","",V329/W329)</f>
        <v/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19">
        <f>IF(G330="","",E330/G330)</f>
        <v/>
      </c>
      <c r="I330" s="19">
        <f>IF(G330="","",F330/G330)</f>
        <v/>
      </c>
      <c r="J330" s="26">
        <f>IFERROR(IF(OR(E330="",INDEX(E:E,MATCH(DATE(YEAR($A330)-1,MONTH($A330),DAY($A330)),$A:$A,0))=""),"",E330/INDEX(E:E,MATCH(DATE(YEAR($A330)-1,MONTH($A330),DAY($A330)),$A:$A,0))-1),"")</f>
        <v/>
      </c>
      <c r="K330" s="19">
        <f>IFERROR(IF(OR(F330="",INDEX(F:F,MATCH(DATE(YEAR($A330)-1,MONTH($A330),DAY($A330)),$A:$A,0))=""),"",F330/INDEX(F:F,MATCH(DATE(YEAR($A330)-1,MONTH($A330),DAY($A330)),$A:$A,0))-1),"")</f>
        <v/>
      </c>
      <c r="L330" s="19">
        <f>IFERROR(IF(OR(G330="",INDEX(G:G,MATCH(DATE(YEAR($A330)-1,MONTH($A330),DAY($A330)),$A:$A,0))=""),"",G330/INDEX(G:G,MATCH(DATE(YEAR($A330)-1,MONTH($A330),DAY($A330)),$A:$A,0))-1),"")</f>
        <v/>
      </c>
      <c r="M330" s="19">
        <f>IF(OR(E330="",E329=""),"",E330/E329-1)</f>
        <v/>
      </c>
      <c r="N330" s="19">
        <f>IF(OR(F330="",F329=""),"",F330/F329-1)</f>
        <v/>
      </c>
      <c r="O330" s="19">
        <f>IF(OR(G330="",G329=""),"",G330/G329-1)</f>
        <v/>
      </c>
      <c r="P330" s="22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IF(R330="","",P330/R330)</f>
        <v/>
      </c>
      <c r="T330" s="23">
        <f>IF(R330="","",Q330/R330)</f>
        <v/>
      </c>
      <c r="U330" s="24">
        <f>IF(SUMIFS('Daily NSE Equity Options'!$M:$M,'Daily NSE Equity Options'!$A:$A,$A330)=0,"",SUMIFS('Daily NSE Equity Options'!$M:$M,'Daily NSE Equity Options'!$A:$A,$A330))</f>
        <v/>
      </c>
      <c r="V330" s="9">
        <f>IF(SUMIFS('Daily BSE Equity Options'!$M:$M,'Daily BSE Equity Options'!$A:$A,$A330)=0,"",SUMIFS('Daily BSE Equity Options'!$M:$M,'Daily BSE Equity Options'!$A:$A,$A330))</f>
        <v/>
      </c>
      <c r="W330" s="9">
        <f>IF(OR(U330="",V330=""),"",U330+V330)</f>
        <v/>
      </c>
      <c r="X330" s="25">
        <f>IF(W330="","",U330/W330)</f>
        <v/>
      </c>
      <c r="Y330" s="25">
        <f>IF(W330="","",V330/W330)</f>
        <v/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19">
        <f>IF(G331="","",E331/G331)</f>
        <v/>
      </c>
      <c r="I331" s="19">
        <f>IF(G331="","",F331/G331)</f>
        <v/>
      </c>
      <c r="J331" s="26">
        <f>IFERROR(IF(OR(E331="",INDEX(E:E,MATCH(DATE(YEAR($A331)-1,MONTH($A331),DAY($A331)),$A:$A,0))=""),"",E331/INDEX(E:E,MATCH(DATE(YEAR($A331)-1,MONTH($A331),DAY($A331)),$A:$A,0))-1),"")</f>
        <v/>
      </c>
      <c r="K331" s="19">
        <f>IFERROR(IF(OR(F331="",INDEX(F:F,MATCH(DATE(YEAR($A331)-1,MONTH($A331),DAY($A331)),$A:$A,0))=""),"",F331/INDEX(F:F,MATCH(DATE(YEAR($A331)-1,MONTH($A331),DAY($A331)),$A:$A,0))-1),"")</f>
        <v/>
      </c>
      <c r="L331" s="19">
        <f>IFERROR(IF(OR(G331="",INDEX(G:G,MATCH(DATE(YEAR($A331)-1,MONTH($A331),DAY($A331)),$A:$A,0))=""),"",G331/INDEX(G:G,MATCH(DATE(YEAR($A331)-1,MONTH($A331),DAY($A331)),$A:$A,0))-1),"")</f>
        <v/>
      </c>
      <c r="M331" s="19">
        <f>IF(OR(E331="",E330=""),"",E331/E330-1)</f>
        <v/>
      </c>
      <c r="N331" s="19">
        <f>IF(OR(F331="",F330=""),"",F331/F330-1)</f>
        <v/>
      </c>
      <c r="O331" s="19">
        <f>IF(OR(G331="",G330=""),"",G331/G330-1)</f>
        <v/>
      </c>
      <c r="P331" s="22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IF(R331="","",P331/R331)</f>
        <v/>
      </c>
      <c r="T331" s="23">
        <f>IF(R331="","",Q331/R331)</f>
        <v/>
      </c>
      <c r="U331" s="24">
        <f>IF(SUMIFS('Daily NSE Equity Options'!$M:$M,'Daily NSE Equity Options'!$A:$A,$A331)=0,"",SUMIFS('Daily NSE Equity Options'!$M:$M,'Daily NSE Equity Options'!$A:$A,$A331))</f>
        <v/>
      </c>
      <c r="V331" s="9">
        <f>IF(SUMIFS('Daily BSE Equity Options'!$M:$M,'Daily BSE Equity Options'!$A:$A,$A331)=0,"",SUMIFS('Daily BSE Equity Options'!$M:$M,'Daily BSE Equity Options'!$A:$A,$A331))</f>
        <v/>
      </c>
      <c r="W331" s="9">
        <f>IF(OR(U331="",V331=""),"",U331+V331)</f>
        <v/>
      </c>
      <c r="X331" s="25">
        <f>IF(W331="","",U331/W331)</f>
        <v/>
      </c>
      <c r="Y331" s="25">
        <f>IF(W331="","",V331/W331)</f>
        <v/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19">
        <f>IF(G332="","",E332/G332)</f>
        <v/>
      </c>
      <c r="I332" s="19">
        <f>IF(G332="","",F332/G332)</f>
        <v/>
      </c>
      <c r="J332" s="26">
        <f>IFERROR(IF(OR(E332="",INDEX(E:E,MATCH(DATE(YEAR($A332)-1,MONTH($A332),DAY($A332)),$A:$A,0))=""),"",E332/INDEX(E:E,MATCH(DATE(YEAR($A332)-1,MONTH($A332),DAY($A332)),$A:$A,0))-1),"")</f>
        <v/>
      </c>
      <c r="K332" s="19">
        <f>IFERROR(IF(OR(F332="",INDEX(F:F,MATCH(DATE(YEAR($A332)-1,MONTH($A332),DAY($A332)),$A:$A,0))=""),"",F332/INDEX(F:F,MATCH(DATE(YEAR($A332)-1,MONTH($A332),DAY($A332)),$A:$A,0))-1),"")</f>
        <v/>
      </c>
      <c r="L332" s="19">
        <f>IFERROR(IF(OR(G332="",INDEX(G:G,MATCH(DATE(YEAR($A332)-1,MONTH($A332),DAY($A332)),$A:$A,0))=""),"",G332/INDEX(G:G,MATCH(DATE(YEAR($A332)-1,MONTH($A332),DAY($A332)),$A:$A,0))-1),"")</f>
        <v/>
      </c>
      <c r="M332" s="19">
        <f>IF(OR(E332="",E331=""),"",E332/E331-1)</f>
        <v/>
      </c>
      <c r="N332" s="19">
        <f>IF(OR(F332="",F331=""),"",F332/F331-1)</f>
        <v/>
      </c>
      <c r="O332" s="19">
        <f>IF(OR(G332="",G331=""),"",G332/G331-1)</f>
        <v/>
      </c>
      <c r="P332" s="22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IF(R332="","",P332/R332)</f>
        <v/>
      </c>
      <c r="T332" s="23">
        <f>IF(R332="","",Q332/R332)</f>
        <v/>
      </c>
      <c r="U332" s="24">
        <f>IF(SUMIFS('Daily NSE Equity Options'!$M:$M,'Daily NSE Equity Options'!$A:$A,$A332)=0,"",SUMIFS('Daily NSE Equity Options'!$M:$M,'Daily NSE Equity Options'!$A:$A,$A332))</f>
        <v/>
      </c>
      <c r="V332" s="9">
        <f>IF(SUMIFS('Daily BSE Equity Options'!$M:$M,'Daily BSE Equity Options'!$A:$A,$A332)=0,"",SUMIFS('Daily BSE Equity Options'!$M:$M,'Daily BSE Equity Options'!$A:$A,$A332))</f>
        <v/>
      </c>
      <c r="W332" s="9">
        <f>IF(OR(U332="",V332=""),"",U332+V332)</f>
        <v/>
      </c>
      <c r="X332" s="25">
        <f>IF(W332="","",U332/W332)</f>
        <v/>
      </c>
      <c r="Y332" s="25">
        <f>IF(W332="","",V332/W332)</f>
        <v/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19">
        <f>IF(G333="","",E333/G333)</f>
        <v/>
      </c>
      <c r="I333" s="19">
        <f>IF(G333="","",F333/G333)</f>
        <v/>
      </c>
      <c r="J333" s="26">
        <f>IFERROR(IF(OR(E333="",INDEX(E:E,MATCH(DATE(YEAR($A333)-1,MONTH($A333),DAY($A333)),$A:$A,0))=""),"",E333/INDEX(E:E,MATCH(DATE(YEAR($A333)-1,MONTH($A333),DAY($A333)),$A:$A,0))-1),"")</f>
        <v/>
      </c>
      <c r="K333" s="19">
        <f>IFERROR(IF(OR(F333="",INDEX(F:F,MATCH(DATE(YEAR($A333)-1,MONTH($A333),DAY($A333)),$A:$A,0))=""),"",F333/INDEX(F:F,MATCH(DATE(YEAR($A333)-1,MONTH($A333),DAY($A333)),$A:$A,0))-1),"")</f>
        <v/>
      </c>
      <c r="L333" s="19">
        <f>IFERROR(IF(OR(G333="",INDEX(G:G,MATCH(DATE(YEAR($A333)-1,MONTH($A333),DAY($A333)),$A:$A,0))=""),"",G333/INDEX(G:G,MATCH(DATE(YEAR($A333)-1,MONTH($A333),DAY($A333)),$A:$A,0))-1),"")</f>
        <v/>
      </c>
      <c r="M333" s="19">
        <f>IF(OR(E333="",E332=""),"",E333/E332-1)</f>
        <v/>
      </c>
      <c r="N333" s="19">
        <f>IF(OR(F333="",F332=""),"",F333/F332-1)</f>
        <v/>
      </c>
      <c r="O333" s="19">
        <f>IF(OR(G333="",G332=""),"",G333/G332-1)</f>
        <v/>
      </c>
      <c r="P333" s="22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IF(R333="","",P333/R333)</f>
        <v/>
      </c>
      <c r="T333" s="23">
        <f>IF(R333="","",Q333/R333)</f>
        <v/>
      </c>
      <c r="U333" s="24">
        <f>IF(SUMIFS('Daily NSE Equity Options'!$M:$M,'Daily NSE Equity Options'!$A:$A,$A333)=0,"",SUMIFS('Daily NSE Equity Options'!$M:$M,'Daily NSE Equity Options'!$A:$A,$A333))</f>
        <v/>
      </c>
      <c r="V333" s="9">
        <f>IF(SUMIFS('Daily BSE Equity Options'!$M:$M,'Daily BSE Equity Options'!$A:$A,$A333)=0,"",SUMIFS('Daily BSE Equity Options'!$M:$M,'Daily BSE Equity Options'!$A:$A,$A333))</f>
        <v/>
      </c>
      <c r="W333" s="9">
        <f>IF(OR(U333="",V333=""),"",U333+V333)</f>
        <v/>
      </c>
      <c r="X333" s="25">
        <f>IF(W333="","",U333/W333)</f>
        <v/>
      </c>
      <c r="Y333" s="25">
        <f>IF(W333="","",V333/W333)</f>
        <v/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19">
        <f>IF(G334="","",E334/G334)</f>
        <v/>
      </c>
      <c r="I334" s="19">
        <f>IF(G334="","",F334/G334)</f>
        <v/>
      </c>
      <c r="J334" s="26">
        <f>IFERROR(IF(OR(E334="",INDEX(E:E,MATCH(DATE(YEAR($A334)-1,MONTH($A334),DAY($A334)),$A:$A,0))=""),"",E334/INDEX(E:E,MATCH(DATE(YEAR($A334)-1,MONTH($A334),DAY($A334)),$A:$A,0))-1),"")</f>
        <v/>
      </c>
      <c r="K334" s="19">
        <f>IFERROR(IF(OR(F334="",INDEX(F:F,MATCH(DATE(YEAR($A334)-1,MONTH($A334),DAY($A334)),$A:$A,0))=""),"",F334/INDEX(F:F,MATCH(DATE(YEAR($A334)-1,MONTH($A334),DAY($A334)),$A:$A,0))-1),"")</f>
        <v/>
      </c>
      <c r="L334" s="19">
        <f>IFERROR(IF(OR(G334="",INDEX(G:G,MATCH(DATE(YEAR($A334)-1,MONTH($A334),DAY($A334)),$A:$A,0))=""),"",G334/INDEX(G:G,MATCH(DATE(YEAR($A334)-1,MONTH($A334),DAY($A334)),$A:$A,0))-1),"")</f>
        <v/>
      </c>
      <c r="M334" s="19">
        <f>IF(OR(E334="",E333=""),"",E334/E333-1)</f>
        <v/>
      </c>
      <c r="N334" s="19">
        <f>IF(OR(F334="",F333=""),"",F334/F333-1)</f>
        <v/>
      </c>
      <c r="O334" s="19">
        <f>IF(OR(G334="",G333=""),"",G334/G333-1)</f>
        <v/>
      </c>
      <c r="P334" s="22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IF(R334="","",P334/R334)</f>
        <v/>
      </c>
      <c r="T334" s="23">
        <f>IF(R334="","",Q334/R334)</f>
        <v/>
      </c>
      <c r="U334" s="24">
        <f>IF(SUMIFS('Daily NSE Equity Options'!$M:$M,'Daily NSE Equity Options'!$A:$A,$A334)=0,"",SUMIFS('Daily NSE Equity Options'!$M:$M,'Daily NSE Equity Options'!$A:$A,$A334))</f>
        <v/>
      </c>
      <c r="V334" s="9">
        <f>IF(SUMIFS('Daily BSE Equity Options'!$M:$M,'Daily BSE Equity Options'!$A:$A,$A334)=0,"",SUMIFS('Daily BSE Equity Options'!$M:$M,'Daily BSE Equity Options'!$A:$A,$A334))</f>
        <v/>
      </c>
      <c r="W334" s="9">
        <f>IF(OR(U334="",V334=""),"",U334+V334)</f>
        <v/>
      </c>
      <c r="X334" s="25">
        <f>IF(W334="","",U334/W334)</f>
        <v/>
      </c>
      <c r="Y334" s="25">
        <f>IF(W334="","",V334/W334)</f>
        <v/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19">
        <f>IF(G335="","",E335/G335)</f>
        <v/>
      </c>
      <c r="I335" s="19">
        <f>IF(G335="","",F335/G335)</f>
        <v/>
      </c>
      <c r="J335" s="26">
        <f>IFERROR(IF(OR(E335="",INDEX(E:E,MATCH(DATE(YEAR($A335)-1,MONTH($A335),DAY($A335)),$A:$A,0))=""),"",E335/INDEX(E:E,MATCH(DATE(YEAR($A335)-1,MONTH($A335),DAY($A335)),$A:$A,0))-1),"")</f>
        <v/>
      </c>
      <c r="K335" s="19">
        <f>IFERROR(IF(OR(F335="",INDEX(F:F,MATCH(DATE(YEAR($A335)-1,MONTH($A335),DAY($A335)),$A:$A,0))=""),"",F335/INDEX(F:F,MATCH(DATE(YEAR($A335)-1,MONTH($A335),DAY($A335)),$A:$A,0))-1),"")</f>
        <v/>
      </c>
      <c r="L335" s="19">
        <f>IFERROR(IF(OR(G335="",INDEX(G:G,MATCH(DATE(YEAR($A335)-1,MONTH($A335),DAY($A335)),$A:$A,0))=""),"",G335/INDEX(G:G,MATCH(DATE(YEAR($A335)-1,MONTH($A335),DAY($A335)),$A:$A,0))-1),"")</f>
        <v/>
      </c>
      <c r="M335" s="19">
        <f>IF(OR(E335="",E334=""),"",E335/E334-1)</f>
        <v/>
      </c>
      <c r="N335" s="19">
        <f>IF(OR(F335="",F334=""),"",F335/F334-1)</f>
        <v/>
      </c>
      <c r="O335" s="19">
        <f>IF(OR(G335="",G334=""),"",G335/G334-1)</f>
        <v/>
      </c>
      <c r="P335" s="22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IF(R335="","",P335/R335)</f>
        <v/>
      </c>
      <c r="T335" s="23">
        <f>IF(R335="","",Q335/R335)</f>
        <v/>
      </c>
      <c r="U335" s="24">
        <f>IF(SUMIFS('Daily NSE Equity Options'!$M:$M,'Daily NSE Equity Options'!$A:$A,$A335)=0,"",SUMIFS('Daily NSE Equity Options'!$M:$M,'Daily NSE Equity Options'!$A:$A,$A335))</f>
        <v/>
      </c>
      <c r="V335" s="9">
        <f>IF(SUMIFS('Daily BSE Equity Options'!$M:$M,'Daily BSE Equity Options'!$A:$A,$A335)=0,"",SUMIFS('Daily BSE Equity Options'!$M:$M,'Daily BSE Equity Options'!$A:$A,$A335))</f>
        <v/>
      </c>
      <c r="W335" s="9">
        <f>IF(OR(U335="",V335=""),"",U335+V335)</f>
        <v/>
      </c>
      <c r="X335" s="25">
        <f>IF(W335="","",U335/W335)</f>
        <v/>
      </c>
      <c r="Y335" s="25">
        <f>IF(W335="","",V335/W335)</f>
        <v/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19">
        <f>IF(G336="","",E336/G336)</f>
        <v/>
      </c>
      <c r="I336" s="19">
        <f>IF(G336="","",F336/G336)</f>
        <v/>
      </c>
      <c r="J336" s="26">
        <f>IFERROR(IF(OR(E336="",INDEX(E:E,MATCH(DATE(YEAR($A336)-1,MONTH($A336),DAY($A336)),$A:$A,0))=""),"",E336/INDEX(E:E,MATCH(DATE(YEAR($A336)-1,MONTH($A336),DAY($A336)),$A:$A,0))-1),"")</f>
        <v/>
      </c>
      <c r="K336" s="19">
        <f>IFERROR(IF(OR(F336="",INDEX(F:F,MATCH(DATE(YEAR($A336)-1,MONTH($A336),DAY($A336)),$A:$A,0))=""),"",F336/INDEX(F:F,MATCH(DATE(YEAR($A336)-1,MONTH($A336),DAY($A336)),$A:$A,0))-1),"")</f>
        <v/>
      </c>
      <c r="L336" s="19">
        <f>IFERROR(IF(OR(G336="",INDEX(G:G,MATCH(DATE(YEAR($A336)-1,MONTH($A336),DAY($A336)),$A:$A,0))=""),"",G336/INDEX(G:G,MATCH(DATE(YEAR($A336)-1,MONTH($A336),DAY($A336)),$A:$A,0))-1),"")</f>
        <v/>
      </c>
      <c r="M336" s="19">
        <f>IF(OR(E336="",E335=""),"",E336/E335-1)</f>
        <v/>
      </c>
      <c r="N336" s="19">
        <f>IF(OR(F336="",F335=""),"",F336/F335-1)</f>
        <v/>
      </c>
      <c r="O336" s="19">
        <f>IF(OR(G336="",G335=""),"",G336/G335-1)</f>
        <v/>
      </c>
      <c r="P336" s="22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IF(R336="","",P336/R336)</f>
        <v/>
      </c>
      <c r="T336" s="23">
        <f>IF(R336="","",Q336/R336)</f>
        <v/>
      </c>
      <c r="U336" s="24">
        <f>IF(SUMIFS('Daily NSE Equity Options'!$M:$M,'Daily NSE Equity Options'!$A:$A,$A336)=0,"",SUMIFS('Daily NSE Equity Options'!$M:$M,'Daily NSE Equity Options'!$A:$A,$A336))</f>
        <v/>
      </c>
      <c r="V336" s="9">
        <f>IF(SUMIFS('Daily BSE Equity Options'!$M:$M,'Daily BSE Equity Options'!$A:$A,$A336)=0,"",SUMIFS('Daily BSE Equity Options'!$M:$M,'Daily BSE Equity Options'!$A:$A,$A336))</f>
        <v/>
      </c>
      <c r="W336" s="9">
        <f>IF(OR(U336="",V336=""),"",U336+V336)</f>
        <v/>
      </c>
      <c r="X336" s="25">
        <f>IF(W336="","",U336/W336)</f>
        <v/>
      </c>
      <c r="Y336" s="25">
        <f>IF(W336="","",V336/W336)</f>
        <v/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19">
        <f>IF(G337="","",E337/G337)</f>
        <v/>
      </c>
      <c r="I337" s="19">
        <f>IF(G337="","",F337/G337)</f>
        <v/>
      </c>
      <c r="J337" s="26">
        <f>IFERROR(IF(OR(E337="",INDEX(E:E,MATCH(DATE(YEAR($A337)-1,MONTH($A337),DAY($A337)),$A:$A,0))=""),"",E337/INDEX(E:E,MATCH(DATE(YEAR($A337)-1,MONTH($A337),DAY($A337)),$A:$A,0))-1),"")</f>
        <v/>
      </c>
      <c r="K337" s="19">
        <f>IFERROR(IF(OR(F337="",INDEX(F:F,MATCH(DATE(YEAR($A337)-1,MONTH($A337),DAY($A337)),$A:$A,0))=""),"",F337/INDEX(F:F,MATCH(DATE(YEAR($A337)-1,MONTH($A337),DAY($A337)),$A:$A,0))-1),"")</f>
        <v/>
      </c>
      <c r="L337" s="19">
        <f>IFERROR(IF(OR(G337="",INDEX(G:G,MATCH(DATE(YEAR($A337)-1,MONTH($A337),DAY($A337)),$A:$A,0))=""),"",G337/INDEX(G:G,MATCH(DATE(YEAR($A337)-1,MONTH($A337),DAY($A337)),$A:$A,0))-1),"")</f>
        <v/>
      </c>
      <c r="M337" s="19">
        <f>IF(OR(E337="",E336=""),"",E337/E336-1)</f>
        <v/>
      </c>
      <c r="N337" s="19">
        <f>IF(OR(F337="",F336=""),"",F337/F336-1)</f>
        <v/>
      </c>
      <c r="O337" s="19">
        <f>IF(OR(G337="",G336=""),"",G337/G336-1)</f>
        <v/>
      </c>
      <c r="P337" s="22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IF(R337="","",P337/R337)</f>
        <v/>
      </c>
      <c r="T337" s="23">
        <f>IF(R337="","",Q337/R337)</f>
        <v/>
      </c>
      <c r="U337" s="24">
        <f>IF(SUMIFS('Daily NSE Equity Options'!$M:$M,'Daily NSE Equity Options'!$A:$A,$A337)=0,"",SUMIFS('Daily NSE Equity Options'!$M:$M,'Daily NSE Equity Options'!$A:$A,$A337))</f>
        <v/>
      </c>
      <c r="V337" s="9">
        <f>IF(SUMIFS('Daily BSE Equity Options'!$M:$M,'Daily BSE Equity Options'!$A:$A,$A337)=0,"",SUMIFS('Daily BSE Equity Options'!$M:$M,'Daily BSE Equity Options'!$A:$A,$A337))</f>
        <v/>
      </c>
      <c r="W337" s="9">
        <f>IF(OR(U337="",V337=""),"",U337+V337)</f>
        <v/>
      </c>
      <c r="X337" s="25">
        <f>IF(W337="","",U337/W337)</f>
        <v/>
      </c>
      <c r="Y337" s="25">
        <f>IF(W337="","",V337/W337)</f>
        <v/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19">
        <f>IF(G338="","",E338/G338)</f>
        <v/>
      </c>
      <c r="I338" s="19">
        <f>IF(G338="","",F338/G338)</f>
        <v/>
      </c>
      <c r="J338" s="26">
        <f>IFERROR(IF(OR(E338="",INDEX(E:E,MATCH(DATE(YEAR($A338)-1,MONTH($A338),DAY($A338)),$A:$A,0))=""),"",E338/INDEX(E:E,MATCH(DATE(YEAR($A338)-1,MONTH($A338),DAY($A338)),$A:$A,0))-1),"")</f>
        <v/>
      </c>
      <c r="K338" s="19">
        <f>IFERROR(IF(OR(F338="",INDEX(F:F,MATCH(DATE(YEAR($A338)-1,MONTH($A338),DAY($A338)),$A:$A,0))=""),"",F338/INDEX(F:F,MATCH(DATE(YEAR($A338)-1,MONTH($A338),DAY($A338)),$A:$A,0))-1),"")</f>
        <v/>
      </c>
      <c r="L338" s="19">
        <f>IFERROR(IF(OR(G338="",INDEX(G:G,MATCH(DATE(YEAR($A338)-1,MONTH($A338),DAY($A338)),$A:$A,0))=""),"",G338/INDEX(G:G,MATCH(DATE(YEAR($A338)-1,MONTH($A338),DAY($A338)),$A:$A,0))-1),"")</f>
        <v/>
      </c>
      <c r="M338" s="19">
        <f>IF(OR(E338="",E337=""),"",E338/E337-1)</f>
        <v/>
      </c>
      <c r="N338" s="19">
        <f>IF(OR(F338="",F337=""),"",F338/F337-1)</f>
        <v/>
      </c>
      <c r="O338" s="19">
        <f>IF(OR(G338="",G337=""),"",G338/G337-1)</f>
        <v/>
      </c>
      <c r="P338" s="22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IF(R338="","",P338/R338)</f>
        <v/>
      </c>
      <c r="T338" s="23">
        <f>IF(R338="","",Q338/R338)</f>
        <v/>
      </c>
      <c r="U338" s="24">
        <f>IF(SUMIFS('Daily NSE Equity Options'!$M:$M,'Daily NSE Equity Options'!$A:$A,$A338)=0,"",SUMIFS('Daily NSE Equity Options'!$M:$M,'Daily NSE Equity Options'!$A:$A,$A338))</f>
        <v/>
      </c>
      <c r="V338" s="9">
        <f>IF(SUMIFS('Daily BSE Equity Options'!$M:$M,'Daily BSE Equity Options'!$A:$A,$A338)=0,"",SUMIFS('Daily BSE Equity Options'!$M:$M,'Daily BSE Equity Options'!$A:$A,$A338))</f>
        <v/>
      </c>
      <c r="W338" s="9">
        <f>IF(OR(U338="",V338=""),"",U338+V338)</f>
        <v/>
      </c>
      <c r="X338" s="25">
        <f>IF(W338="","",U338/W338)</f>
        <v/>
      </c>
      <c r="Y338" s="25">
        <f>IF(W338="","",V338/W338)</f>
        <v/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19">
        <f>IF(G339="","",E339/G339)</f>
        <v/>
      </c>
      <c r="I339" s="19">
        <f>IF(G339="","",F339/G339)</f>
        <v/>
      </c>
      <c r="J339" s="26">
        <f>IFERROR(IF(OR(E339="",INDEX(E:E,MATCH(DATE(YEAR($A339)-1,MONTH($A339),DAY($A339)),$A:$A,0))=""),"",E339/INDEX(E:E,MATCH(DATE(YEAR($A339)-1,MONTH($A339),DAY($A339)),$A:$A,0))-1),"")</f>
        <v/>
      </c>
      <c r="K339" s="19">
        <f>IFERROR(IF(OR(F339="",INDEX(F:F,MATCH(DATE(YEAR($A339)-1,MONTH($A339),DAY($A339)),$A:$A,0))=""),"",F339/INDEX(F:F,MATCH(DATE(YEAR($A339)-1,MONTH($A339),DAY($A339)),$A:$A,0))-1),"")</f>
        <v/>
      </c>
      <c r="L339" s="19">
        <f>IFERROR(IF(OR(G339="",INDEX(G:G,MATCH(DATE(YEAR($A339)-1,MONTH($A339),DAY($A339)),$A:$A,0))=""),"",G339/INDEX(G:G,MATCH(DATE(YEAR($A339)-1,MONTH($A339),DAY($A339)),$A:$A,0))-1),"")</f>
        <v/>
      </c>
      <c r="M339" s="19">
        <f>IF(OR(E339="",E338=""),"",E339/E338-1)</f>
        <v/>
      </c>
      <c r="N339" s="19">
        <f>IF(OR(F339="",F338=""),"",F339/F338-1)</f>
        <v/>
      </c>
      <c r="O339" s="19">
        <f>IF(OR(G339="",G338=""),"",G339/G338-1)</f>
        <v/>
      </c>
      <c r="P339" s="22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IF(R339="","",P339/R339)</f>
        <v/>
      </c>
      <c r="T339" s="23">
        <f>IF(R339="","",Q339/R339)</f>
        <v/>
      </c>
      <c r="U339" s="24">
        <f>IF(SUMIFS('Daily NSE Equity Options'!$M:$M,'Daily NSE Equity Options'!$A:$A,$A339)=0,"",SUMIFS('Daily NSE Equity Options'!$M:$M,'Daily NSE Equity Options'!$A:$A,$A339))</f>
        <v/>
      </c>
      <c r="V339" s="9">
        <f>IF(SUMIFS('Daily BSE Equity Options'!$M:$M,'Daily BSE Equity Options'!$A:$A,$A339)=0,"",SUMIFS('Daily BSE Equity Options'!$M:$M,'Daily BSE Equity Options'!$A:$A,$A339))</f>
        <v/>
      </c>
      <c r="W339" s="9">
        <f>IF(OR(U339="",V339=""),"",U339+V339)</f>
        <v/>
      </c>
      <c r="X339" s="25">
        <f>IF(W339="","",U339/W339)</f>
        <v/>
      </c>
      <c r="Y339" s="25">
        <f>IF(W339="","",V339/W339)</f>
        <v/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19">
        <f>IF(G340="","",E340/G340)</f>
        <v/>
      </c>
      <c r="I340" s="19">
        <f>IF(G340="","",F340/G340)</f>
        <v/>
      </c>
      <c r="J340" s="26">
        <f>IFERROR(IF(OR(E340="",INDEX(E:E,MATCH(DATE(YEAR($A340)-1,MONTH($A340),DAY($A340)),$A:$A,0))=""),"",E340/INDEX(E:E,MATCH(DATE(YEAR($A340)-1,MONTH($A340),DAY($A340)),$A:$A,0))-1),"")</f>
        <v/>
      </c>
      <c r="K340" s="19">
        <f>IFERROR(IF(OR(F340="",INDEX(F:F,MATCH(DATE(YEAR($A340)-1,MONTH($A340),DAY($A340)),$A:$A,0))=""),"",F340/INDEX(F:F,MATCH(DATE(YEAR($A340)-1,MONTH($A340),DAY($A340)),$A:$A,0))-1),"")</f>
        <v/>
      </c>
      <c r="L340" s="19">
        <f>IFERROR(IF(OR(G340="",INDEX(G:G,MATCH(DATE(YEAR($A340)-1,MONTH($A340),DAY($A340)),$A:$A,0))=""),"",G340/INDEX(G:G,MATCH(DATE(YEAR($A340)-1,MONTH($A340),DAY($A340)),$A:$A,0))-1),"")</f>
        <v/>
      </c>
      <c r="M340" s="19">
        <f>IF(OR(E340="",E339=""),"",E340/E339-1)</f>
        <v/>
      </c>
      <c r="N340" s="19">
        <f>IF(OR(F340="",F339=""),"",F340/F339-1)</f>
        <v/>
      </c>
      <c r="O340" s="19">
        <f>IF(OR(G340="",G339=""),"",G340/G339-1)</f>
        <v/>
      </c>
      <c r="P340" s="22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IF(R340="","",P340/R340)</f>
        <v/>
      </c>
      <c r="T340" s="23">
        <f>IF(R340="","",Q340/R340)</f>
        <v/>
      </c>
      <c r="U340" s="24">
        <f>IF(SUMIFS('Daily NSE Equity Options'!$M:$M,'Daily NSE Equity Options'!$A:$A,$A340)=0,"",SUMIFS('Daily NSE Equity Options'!$M:$M,'Daily NSE Equity Options'!$A:$A,$A340))</f>
        <v/>
      </c>
      <c r="V340" s="9">
        <f>IF(SUMIFS('Daily BSE Equity Options'!$M:$M,'Daily BSE Equity Options'!$A:$A,$A340)=0,"",SUMIFS('Daily BSE Equity Options'!$M:$M,'Daily BSE Equity Options'!$A:$A,$A340))</f>
        <v/>
      </c>
      <c r="W340" s="9">
        <f>IF(OR(U340="",V340=""),"",U340+V340)</f>
        <v/>
      </c>
      <c r="X340" s="25">
        <f>IF(W340="","",U340/W340)</f>
        <v/>
      </c>
      <c r="Y340" s="25">
        <f>IF(W340="","",V340/W340)</f>
        <v/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19">
        <f>IF(G341="","",E341/G341)</f>
        <v/>
      </c>
      <c r="I341" s="19">
        <f>IF(G341="","",F341/G341)</f>
        <v/>
      </c>
      <c r="J341" s="26">
        <f>IFERROR(IF(OR(E341="",INDEX(E:E,MATCH(DATE(YEAR($A341)-1,MONTH($A341),DAY($A341)),$A:$A,0))=""),"",E341/INDEX(E:E,MATCH(DATE(YEAR($A341)-1,MONTH($A341),DAY($A341)),$A:$A,0))-1),"")</f>
        <v/>
      </c>
      <c r="K341" s="19">
        <f>IFERROR(IF(OR(F341="",INDEX(F:F,MATCH(DATE(YEAR($A341)-1,MONTH($A341),DAY($A341)),$A:$A,0))=""),"",F341/INDEX(F:F,MATCH(DATE(YEAR($A341)-1,MONTH($A341),DAY($A341)),$A:$A,0))-1),"")</f>
        <v/>
      </c>
      <c r="L341" s="19">
        <f>IFERROR(IF(OR(G341="",INDEX(G:G,MATCH(DATE(YEAR($A341)-1,MONTH($A341),DAY($A341)),$A:$A,0))=""),"",G341/INDEX(G:G,MATCH(DATE(YEAR($A341)-1,MONTH($A341),DAY($A341)),$A:$A,0))-1),"")</f>
        <v/>
      </c>
      <c r="M341" s="19">
        <f>IF(OR(E341="",E340=""),"",E341/E340-1)</f>
        <v/>
      </c>
      <c r="N341" s="19">
        <f>IF(OR(F341="",F340=""),"",F341/F340-1)</f>
        <v/>
      </c>
      <c r="O341" s="19">
        <f>IF(OR(G341="",G340=""),"",G341/G340-1)</f>
        <v/>
      </c>
      <c r="P341" s="22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IF(R341="","",P341/R341)</f>
        <v/>
      </c>
      <c r="T341" s="23">
        <f>IF(R341="","",Q341/R341)</f>
        <v/>
      </c>
      <c r="U341" s="24">
        <f>IF(SUMIFS('Daily NSE Equity Options'!$M:$M,'Daily NSE Equity Options'!$A:$A,$A341)=0,"",SUMIFS('Daily NSE Equity Options'!$M:$M,'Daily NSE Equity Options'!$A:$A,$A341))</f>
        <v/>
      </c>
      <c r="V341" s="9">
        <f>IF(SUMIFS('Daily BSE Equity Options'!$M:$M,'Daily BSE Equity Options'!$A:$A,$A341)=0,"",SUMIFS('Daily BSE Equity Options'!$M:$M,'Daily BSE Equity Options'!$A:$A,$A341))</f>
        <v/>
      </c>
      <c r="W341" s="9">
        <f>IF(OR(U341="",V341=""),"",U341+V341)</f>
        <v/>
      </c>
      <c r="X341" s="25">
        <f>IF(W341="","",U341/W341)</f>
        <v/>
      </c>
      <c r="Y341" s="25">
        <f>IF(W341="","",V341/W341)</f>
        <v/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19">
        <f>IF(G342="","",E342/G342)</f>
        <v/>
      </c>
      <c r="I342" s="19">
        <f>IF(G342="","",F342/G342)</f>
        <v/>
      </c>
      <c r="J342" s="26">
        <f>IFERROR(IF(OR(E342="",INDEX(E:E,MATCH(DATE(YEAR($A342)-1,MONTH($A342),DAY($A342)),$A:$A,0))=""),"",E342/INDEX(E:E,MATCH(DATE(YEAR($A342)-1,MONTH($A342),DAY($A342)),$A:$A,0))-1),"")</f>
        <v/>
      </c>
      <c r="K342" s="19">
        <f>IFERROR(IF(OR(F342="",INDEX(F:F,MATCH(DATE(YEAR($A342)-1,MONTH($A342),DAY($A342)),$A:$A,0))=""),"",F342/INDEX(F:F,MATCH(DATE(YEAR($A342)-1,MONTH($A342),DAY($A342)),$A:$A,0))-1),"")</f>
        <v/>
      </c>
      <c r="L342" s="19">
        <f>IFERROR(IF(OR(G342="",INDEX(G:G,MATCH(DATE(YEAR($A342)-1,MONTH($A342),DAY($A342)),$A:$A,0))=""),"",G342/INDEX(G:G,MATCH(DATE(YEAR($A342)-1,MONTH($A342),DAY($A342)),$A:$A,0))-1),"")</f>
        <v/>
      </c>
      <c r="M342" s="19">
        <f>IF(OR(E342="",E341=""),"",E342/E341-1)</f>
        <v/>
      </c>
      <c r="N342" s="19">
        <f>IF(OR(F342="",F341=""),"",F342/F341-1)</f>
        <v/>
      </c>
      <c r="O342" s="19">
        <f>IF(OR(G342="",G341=""),"",G342/G341-1)</f>
        <v/>
      </c>
      <c r="P342" s="22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IF(R342="","",P342/R342)</f>
        <v/>
      </c>
      <c r="T342" s="23">
        <f>IF(R342="","",Q342/R342)</f>
        <v/>
      </c>
      <c r="U342" s="24">
        <f>IF(SUMIFS('Daily NSE Equity Options'!$M:$M,'Daily NSE Equity Options'!$A:$A,$A342)=0,"",SUMIFS('Daily NSE Equity Options'!$M:$M,'Daily NSE Equity Options'!$A:$A,$A342))</f>
        <v/>
      </c>
      <c r="V342" s="9">
        <f>IF(SUMIFS('Daily BSE Equity Options'!$M:$M,'Daily BSE Equity Options'!$A:$A,$A342)=0,"",SUMIFS('Daily BSE Equity Options'!$M:$M,'Daily BSE Equity Options'!$A:$A,$A342))</f>
        <v/>
      </c>
      <c r="W342" s="9">
        <f>IF(OR(U342="",V342=""),"",U342+V342)</f>
        <v/>
      </c>
      <c r="X342" s="25">
        <f>IF(W342="","",U342/W342)</f>
        <v/>
      </c>
      <c r="Y342" s="25">
        <f>IF(W342="","",V342/W342)</f>
        <v/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19">
        <f>IF(G343="","",E343/G343)</f>
        <v/>
      </c>
      <c r="I343" s="19">
        <f>IF(G343="","",F343/G343)</f>
        <v/>
      </c>
      <c r="J343" s="26">
        <f>IFERROR(IF(OR(E343="",INDEX(E:E,MATCH(DATE(YEAR($A343)-1,MONTH($A343),DAY($A343)),$A:$A,0))=""),"",E343/INDEX(E:E,MATCH(DATE(YEAR($A343)-1,MONTH($A343),DAY($A343)),$A:$A,0))-1),"")</f>
        <v/>
      </c>
      <c r="K343" s="19">
        <f>IFERROR(IF(OR(F343="",INDEX(F:F,MATCH(DATE(YEAR($A343)-1,MONTH($A343),DAY($A343)),$A:$A,0))=""),"",F343/INDEX(F:F,MATCH(DATE(YEAR($A343)-1,MONTH($A343),DAY($A343)),$A:$A,0))-1),"")</f>
        <v/>
      </c>
      <c r="L343" s="19">
        <f>IFERROR(IF(OR(G343="",INDEX(G:G,MATCH(DATE(YEAR($A343)-1,MONTH($A343),DAY($A343)),$A:$A,0))=""),"",G343/INDEX(G:G,MATCH(DATE(YEAR($A343)-1,MONTH($A343),DAY($A343)),$A:$A,0))-1),"")</f>
        <v/>
      </c>
      <c r="M343" s="19">
        <f>IF(OR(E343="",E342=""),"",E343/E342-1)</f>
        <v/>
      </c>
      <c r="N343" s="19">
        <f>IF(OR(F343="",F342=""),"",F343/F342-1)</f>
        <v/>
      </c>
      <c r="O343" s="19">
        <f>IF(OR(G343="",G342=""),"",G343/G342-1)</f>
        <v/>
      </c>
      <c r="P343" s="22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IF(R343="","",P343/R343)</f>
        <v/>
      </c>
      <c r="T343" s="23">
        <f>IF(R343="","",Q343/R343)</f>
        <v/>
      </c>
      <c r="U343" s="24">
        <f>IF(SUMIFS('Daily NSE Equity Options'!$M:$M,'Daily NSE Equity Options'!$A:$A,$A343)=0,"",SUMIFS('Daily NSE Equity Options'!$M:$M,'Daily NSE Equity Options'!$A:$A,$A343))</f>
        <v/>
      </c>
      <c r="V343" s="9">
        <f>IF(SUMIFS('Daily BSE Equity Options'!$M:$M,'Daily BSE Equity Options'!$A:$A,$A343)=0,"",SUMIFS('Daily BSE Equity Options'!$M:$M,'Daily BSE Equity Options'!$A:$A,$A343))</f>
        <v/>
      </c>
      <c r="W343" s="9">
        <f>IF(OR(U343="",V343=""),"",U343+V343)</f>
        <v/>
      </c>
      <c r="X343" s="25">
        <f>IF(W343="","",U343/W343)</f>
        <v/>
      </c>
      <c r="Y343" s="25">
        <f>IF(W343="","",V343/W343)</f>
        <v/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19">
        <f>IF(G344="","",E344/G344)</f>
        <v/>
      </c>
      <c r="I344" s="19">
        <f>IF(G344="","",F344/G344)</f>
        <v/>
      </c>
      <c r="J344" s="26">
        <f>IFERROR(IF(OR(E344="",INDEX(E:E,MATCH(DATE(YEAR($A344)-1,MONTH($A344),DAY($A344)),$A:$A,0))=""),"",E344/INDEX(E:E,MATCH(DATE(YEAR($A344)-1,MONTH($A344),DAY($A344)),$A:$A,0))-1),"")</f>
        <v/>
      </c>
      <c r="K344" s="19">
        <f>IFERROR(IF(OR(F344="",INDEX(F:F,MATCH(DATE(YEAR($A344)-1,MONTH($A344),DAY($A344)),$A:$A,0))=""),"",F344/INDEX(F:F,MATCH(DATE(YEAR($A344)-1,MONTH($A344),DAY($A344)),$A:$A,0))-1),"")</f>
        <v/>
      </c>
      <c r="L344" s="19">
        <f>IFERROR(IF(OR(G344="",INDEX(G:G,MATCH(DATE(YEAR($A344)-1,MONTH($A344),DAY($A344)),$A:$A,0))=""),"",G344/INDEX(G:G,MATCH(DATE(YEAR($A344)-1,MONTH($A344),DAY($A344)),$A:$A,0))-1),"")</f>
        <v/>
      </c>
      <c r="M344" s="19">
        <f>IF(OR(E344="",E343=""),"",E344/E343-1)</f>
        <v/>
      </c>
      <c r="N344" s="19">
        <f>IF(OR(F344="",F343=""),"",F344/F343-1)</f>
        <v/>
      </c>
      <c r="O344" s="19">
        <f>IF(OR(G344="",G343=""),"",G344/G343-1)</f>
        <v/>
      </c>
      <c r="P344" s="22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IF(R344="","",P344/R344)</f>
        <v/>
      </c>
      <c r="T344" s="23">
        <f>IF(R344="","",Q344/R344)</f>
        <v/>
      </c>
      <c r="U344" s="24">
        <f>IF(SUMIFS('Daily NSE Equity Options'!$M:$M,'Daily NSE Equity Options'!$A:$A,$A344)=0,"",SUMIFS('Daily NSE Equity Options'!$M:$M,'Daily NSE Equity Options'!$A:$A,$A344))</f>
        <v/>
      </c>
      <c r="V344" s="9">
        <f>IF(SUMIFS('Daily BSE Equity Options'!$M:$M,'Daily BSE Equity Options'!$A:$A,$A344)=0,"",SUMIFS('Daily BSE Equity Options'!$M:$M,'Daily BSE Equity Options'!$A:$A,$A344))</f>
        <v/>
      </c>
      <c r="W344" s="9">
        <f>IF(OR(U344="",V344=""),"",U344+V344)</f>
        <v/>
      </c>
      <c r="X344" s="25">
        <f>IF(W344="","",U344/W344)</f>
        <v/>
      </c>
      <c r="Y344" s="25">
        <f>IF(W344="","",V344/W344)</f>
        <v/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19">
        <f>IF(G345="","",E345/G345)</f>
        <v/>
      </c>
      <c r="I345" s="19">
        <f>IF(G345="","",F345/G345)</f>
        <v/>
      </c>
      <c r="J345" s="26">
        <f>IFERROR(IF(OR(E345="",INDEX(E:E,MATCH(DATE(YEAR($A345)-1,MONTH($A345),DAY($A345)),$A:$A,0))=""),"",E345/INDEX(E:E,MATCH(DATE(YEAR($A345)-1,MONTH($A345),DAY($A345)),$A:$A,0))-1),"")</f>
        <v/>
      </c>
      <c r="K345" s="19">
        <f>IFERROR(IF(OR(F345="",INDEX(F:F,MATCH(DATE(YEAR($A345)-1,MONTH($A345),DAY($A345)),$A:$A,0))=""),"",F345/INDEX(F:F,MATCH(DATE(YEAR($A345)-1,MONTH($A345),DAY($A345)),$A:$A,0))-1),"")</f>
        <v/>
      </c>
      <c r="L345" s="19">
        <f>IFERROR(IF(OR(G345="",INDEX(G:G,MATCH(DATE(YEAR($A345)-1,MONTH($A345),DAY($A345)),$A:$A,0))=""),"",G345/INDEX(G:G,MATCH(DATE(YEAR($A345)-1,MONTH($A345),DAY($A345)),$A:$A,0))-1),"")</f>
        <v/>
      </c>
      <c r="M345" s="19">
        <f>IF(OR(E345="",E344=""),"",E345/E344-1)</f>
        <v/>
      </c>
      <c r="N345" s="19">
        <f>IF(OR(F345="",F344=""),"",F345/F344-1)</f>
        <v/>
      </c>
      <c r="O345" s="19">
        <f>IF(OR(G345="",G344=""),"",G345/G344-1)</f>
        <v/>
      </c>
      <c r="P345" s="22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IF(R345="","",P345/R345)</f>
        <v/>
      </c>
      <c r="T345" s="23">
        <f>IF(R345="","",Q345/R345)</f>
        <v/>
      </c>
      <c r="U345" s="24">
        <f>IF(SUMIFS('Daily NSE Equity Options'!$M:$M,'Daily NSE Equity Options'!$A:$A,$A345)=0,"",SUMIFS('Daily NSE Equity Options'!$M:$M,'Daily NSE Equity Options'!$A:$A,$A345))</f>
        <v/>
      </c>
      <c r="V345" s="9">
        <f>IF(SUMIFS('Daily BSE Equity Options'!$M:$M,'Daily BSE Equity Options'!$A:$A,$A345)=0,"",SUMIFS('Daily BSE Equity Options'!$M:$M,'Daily BSE Equity Options'!$A:$A,$A345))</f>
        <v/>
      </c>
      <c r="W345" s="9">
        <f>IF(OR(U345="",V345=""),"",U345+V345)</f>
        <v/>
      </c>
      <c r="X345" s="25">
        <f>IF(W345="","",U345/W345)</f>
        <v/>
      </c>
      <c r="Y345" s="25">
        <f>IF(W345="","",V345/W345)</f>
        <v/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19">
        <f>IF(G346="","",E346/G346)</f>
        <v/>
      </c>
      <c r="I346" s="19">
        <f>IF(G346="","",F346/G346)</f>
        <v/>
      </c>
      <c r="J346" s="26">
        <f>IFERROR(IF(OR(E346="",INDEX(E:E,MATCH(DATE(YEAR($A346)-1,MONTH($A346),DAY($A346)),$A:$A,0))=""),"",E346/INDEX(E:E,MATCH(DATE(YEAR($A346)-1,MONTH($A346),DAY($A346)),$A:$A,0))-1),"")</f>
        <v/>
      </c>
      <c r="K346" s="19">
        <f>IFERROR(IF(OR(F346="",INDEX(F:F,MATCH(DATE(YEAR($A346)-1,MONTH($A346),DAY($A346)),$A:$A,0))=""),"",F346/INDEX(F:F,MATCH(DATE(YEAR($A346)-1,MONTH($A346),DAY($A346)),$A:$A,0))-1),"")</f>
        <v/>
      </c>
      <c r="L346" s="19">
        <f>IFERROR(IF(OR(G346="",INDEX(G:G,MATCH(DATE(YEAR($A346)-1,MONTH($A346),DAY($A346)),$A:$A,0))=""),"",G346/INDEX(G:G,MATCH(DATE(YEAR($A346)-1,MONTH($A346),DAY($A346)),$A:$A,0))-1),"")</f>
        <v/>
      </c>
      <c r="M346" s="19">
        <f>IF(OR(E346="",E345=""),"",E346/E345-1)</f>
        <v/>
      </c>
      <c r="N346" s="19">
        <f>IF(OR(F346="",F345=""),"",F346/F345-1)</f>
        <v/>
      </c>
      <c r="O346" s="19">
        <f>IF(OR(G346="",G345=""),"",G346/G345-1)</f>
        <v/>
      </c>
      <c r="P346" s="22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IF(R346="","",P346/R346)</f>
        <v/>
      </c>
      <c r="T346" s="23">
        <f>IF(R346="","",Q346/R346)</f>
        <v/>
      </c>
      <c r="U346" s="24">
        <f>IF(SUMIFS('Daily NSE Equity Options'!$M:$M,'Daily NSE Equity Options'!$A:$A,$A346)=0,"",SUMIFS('Daily NSE Equity Options'!$M:$M,'Daily NSE Equity Options'!$A:$A,$A346))</f>
        <v/>
      </c>
      <c r="V346" s="9">
        <f>IF(SUMIFS('Daily BSE Equity Options'!$M:$M,'Daily BSE Equity Options'!$A:$A,$A346)=0,"",SUMIFS('Daily BSE Equity Options'!$M:$M,'Daily BSE Equity Options'!$A:$A,$A346))</f>
        <v/>
      </c>
      <c r="W346" s="9">
        <f>IF(OR(U346="",V346=""),"",U346+V346)</f>
        <v/>
      </c>
      <c r="X346" s="25">
        <f>IF(W346="","",U346/W346)</f>
        <v/>
      </c>
      <c r="Y346" s="25">
        <f>IF(W346="","",V346/W346)</f>
        <v/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19">
        <f>IF(G347="","",E347/G347)</f>
        <v/>
      </c>
      <c r="I347" s="19">
        <f>IF(G347="","",F347/G347)</f>
        <v/>
      </c>
      <c r="J347" s="26">
        <f>IFERROR(IF(OR(E347="",INDEX(E:E,MATCH(DATE(YEAR($A347)-1,MONTH($A347),DAY($A347)),$A:$A,0))=""),"",E347/INDEX(E:E,MATCH(DATE(YEAR($A347)-1,MONTH($A347),DAY($A347)),$A:$A,0))-1),"")</f>
        <v/>
      </c>
      <c r="K347" s="19">
        <f>IFERROR(IF(OR(F347="",INDEX(F:F,MATCH(DATE(YEAR($A347)-1,MONTH($A347),DAY($A347)),$A:$A,0))=""),"",F347/INDEX(F:F,MATCH(DATE(YEAR($A347)-1,MONTH($A347),DAY($A347)),$A:$A,0))-1),"")</f>
        <v/>
      </c>
      <c r="L347" s="19">
        <f>IFERROR(IF(OR(G347="",INDEX(G:G,MATCH(DATE(YEAR($A347)-1,MONTH($A347),DAY($A347)),$A:$A,0))=""),"",G347/INDEX(G:G,MATCH(DATE(YEAR($A347)-1,MONTH($A347),DAY($A347)),$A:$A,0))-1),"")</f>
        <v/>
      </c>
      <c r="M347" s="19">
        <f>IF(OR(E347="",E346=""),"",E347/E346-1)</f>
        <v/>
      </c>
      <c r="N347" s="19">
        <f>IF(OR(F347="",F346=""),"",F347/F346-1)</f>
        <v/>
      </c>
      <c r="O347" s="19">
        <f>IF(OR(G347="",G346=""),"",G347/G346-1)</f>
        <v/>
      </c>
      <c r="P347" s="22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IF(R347="","",P347/R347)</f>
        <v/>
      </c>
      <c r="T347" s="23">
        <f>IF(R347="","",Q347/R347)</f>
        <v/>
      </c>
      <c r="U347" s="24">
        <f>IF(SUMIFS('Daily NSE Equity Options'!$M:$M,'Daily NSE Equity Options'!$A:$A,$A347)=0,"",SUMIFS('Daily NSE Equity Options'!$M:$M,'Daily NSE Equity Options'!$A:$A,$A347))</f>
        <v/>
      </c>
      <c r="V347" s="9">
        <f>IF(SUMIFS('Daily BSE Equity Options'!$M:$M,'Daily BSE Equity Options'!$A:$A,$A347)=0,"",SUMIFS('Daily BSE Equity Options'!$M:$M,'Daily BSE Equity Options'!$A:$A,$A347))</f>
        <v/>
      </c>
      <c r="W347" s="9">
        <f>IF(OR(U347="",V347=""),"",U347+V347)</f>
        <v/>
      </c>
      <c r="X347" s="25">
        <f>IF(W347="","",U347/W347)</f>
        <v/>
      </c>
      <c r="Y347" s="25">
        <f>IF(W347="","",V347/W347)</f>
        <v/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19">
        <f>IF(G348="","",E348/G348)</f>
        <v/>
      </c>
      <c r="I348" s="19">
        <f>IF(G348="","",F348/G348)</f>
        <v/>
      </c>
      <c r="J348" s="26">
        <f>IFERROR(IF(OR(E348="",INDEX(E:E,MATCH(DATE(YEAR($A348)-1,MONTH($A348),DAY($A348)),$A:$A,0))=""),"",E348/INDEX(E:E,MATCH(DATE(YEAR($A348)-1,MONTH($A348),DAY($A348)),$A:$A,0))-1),"")</f>
        <v/>
      </c>
      <c r="K348" s="19">
        <f>IFERROR(IF(OR(F348="",INDEX(F:F,MATCH(DATE(YEAR($A348)-1,MONTH($A348),DAY($A348)),$A:$A,0))=""),"",F348/INDEX(F:F,MATCH(DATE(YEAR($A348)-1,MONTH($A348),DAY($A348)),$A:$A,0))-1),"")</f>
        <v/>
      </c>
      <c r="L348" s="19">
        <f>IFERROR(IF(OR(G348="",INDEX(G:G,MATCH(DATE(YEAR($A348)-1,MONTH($A348),DAY($A348)),$A:$A,0))=""),"",G348/INDEX(G:G,MATCH(DATE(YEAR($A348)-1,MONTH($A348),DAY($A348)),$A:$A,0))-1),"")</f>
        <v/>
      </c>
      <c r="M348" s="19">
        <f>IF(OR(E348="",E347=""),"",E348/E347-1)</f>
        <v/>
      </c>
      <c r="N348" s="19">
        <f>IF(OR(F348="",F347=""),"",F348/F347-1)</f>
        <v/>
      </c>
      <c r="O348" s="19">
        <f>IF(OR(G348="",G347=""),"",G348/G347-1)</f>
        <v/>
      </c>
      <c r="P348" s="22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IF(R348="","",P348/R348)</f>
        <v/>
      </c>
      <c r="T348" s="23">
        <f>IF(R348="","",Q348/R348)</f>
        <v/>
      </c>
      <c r="U348" s="24">
        <f>IF(SUMIFS('Daily NSE Equity Options'!$M:$M,'Daily NSE Equity Options'!$A:$A,$A348)=0,"",SUMIFS('Daily NSE Equity Options'!$M:$M,'Daily NSE Equity Options'!$A:$A,$A348))</f>
        <v/>
      </c>
      <c r="V348" s="9">
        <f>IF(SUMIFS('Daily BSE Equity Options'!$M:$M,'Daily BSE Equity Options'!$A:$A,$A348)=0,"",SUMIFS('Daily BSE Equity Options'!$M:$M,'Daily BSE Equity Options'!$A:$A,$A348))</f>
        <v/>
      </c>
      <c r="W348" s="9">
        <f>IF(OR(U348="",V348=""),"",U348+V348)</f>
        <v/>
      </c>
      <c r="X348" s="25">
        <f>IF(W348="","",U348/W348)</f>
        <v/>
      </c>
      <c r="Y348" s="25">
        <f>IF(W348="","",V348/W348)</f>
        <v/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19">
        <f>IF(G349="","",E349/G349)</f>
        <v/>
      </c>
      <c r="I349" s="19">
        <f>IF(G349="","",F349/G349)</f>
        <v/>
      </c>
      <c r="J349" s="26">
        <f>IFERROR(IF(OR(E349="",INDEX(E:E,MATCH(DATE(YEAR($A349)-1,MONTH($A349),DAY($A349)),$A:$A,0))=""),"",E349/INDEX(E:E,MATCH(DATE(YEAR($A349)-1,MONTH($A349),DAY($A349)),$A:$A,0))-1),"")</f>
        <v/>
      </c>
      <c r="K349" s="19">
        <f>IFERROR(IF(OR(F349="",INDEX(F:F,MATCH(DATE(YEAR($A349)-1,MONTH($A349),DAY($A349)),$A:$A,0))=""),"",F349/INDEX(F:F,MATCH(DATE(YEAR($A349)-1,MONTH($A349),DAY($A349)),$A:$A,0))-1),"")</f>
        <v/>
      </c>
      <c r="L349" s="19">
        <f>IFERROR(IF(OR(G349="",INDEX(G:G,MATCH(DATE(YEAR($A349)-1,MONTH($A349),DAY($A349)),$A:$A,0))=""),"",G349/INDEX(G:G,MATCH(DATE(YEAR($A349)-1,MONTH($A349),DAY($A349)),$A:$A,0))-1),"")</f>
        <v/>
      </c>
      <c r="M349" s="19">
        <f>IF(OR(E349="",E348=""),"",E349/E348-1)</f>
        <v/>
      </c>
      <c r="N349" s="19">
        <f>IF(OR(F349="",F348=""),"",F349/F348-1)</f>
        <v/>
      </c>
      <c r="O349" s="19">
        <f>IF(OR(G349="",G348=""),"",G349/G348-1)</f>
        <v/>
      </c>
      <c r="P349" s="22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IF(R349="","",P349/R349)</f>
        <v/>
      </c>
      <c r="T349" s="23">
        <f>IF(R349="","",Q349/R349)</f>
        <v/>
      </c>
      <c r="U349" s="24">
        <f>IF(SUMIFS('Daily NSE Equity Options'!$M:$M,'Daily NSE Equity Options'!$A:$A,$A349)=0,"",SUMIFS('Daily NSE Equity Options'!$M:$M,'Daily NSE Equity Options'!$A:$A,$A349))</f>
        <v/>
      </c>
      <c r="V349" s="9">
        <f>IF(SUMIFS('Daily BSE Equity Options'!$M:$M,'Daily BSE Equity Options'!$A:$A,$A349)=0,"",SUMIFS('Daily BSE Equity Options'!$M:$M,'Daily BSE Equity Options'!$A:$A,$A349))</f>
        <v/>
      </c>
      <c r="W349" s="9">
        <f>IF(OR(U349="",V349=""),"",U349+V349)</f>
        <v/>
      </c>
      <c r="X349" s="25">
        <f>IF(W349="","",U349/W349)</f>
        <v/>
      </c>
      <c r="Y349" s="25">
        <f>IF(W349="","",V349/W349)</f>
        <v/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19">
        <f>IF(G350="","",E350/G350)</f>
        <v/>
      </c>
      <c r="I350" s="19">
        <f>IF(G350="","",F350/G350)</f>
        <v/>
      </c>
      <c r="J350" s="26">
        <f>IFERROR(IF(OR(E350="",INDEX(E:E,MATCH(DATE(YEAR($A350)-1,MONTH($A350),DAY($A350)),$A:$A,0))=""),"",E350/INDEX(E:E,MATCH(DATE(YEAR($A350)-1,MONTH($A350),DAY($A350)),$A:$A,0))-1),"")</f>
        <v/>
      </c>
      <c r="K350" s="19">
        <f>IFERROR(IF(OR(F350="",INDEX(F:F,MATCH(DATE(YEAR($A350)-1,MONTH($A350),DAY($A350)),$A:$A,0))=""),"",F350/INDEX(F:F,MATCH(DATE(YEAR($A350)-1,MONTH($A350),DAY($A350)),$A:$A,0))-1),"")</f>
        <v/>
      </c>
      <c r="L350" s="19">
        <f>IFERROR(IF(OR(G350="",INDEX(G:G,MATCH(DATE(YEAR($A350)-1,MONTH($A350),DAY($A350)),$A:$A,0))=""),"",G350/INDEX(G:G,MATCH(DATE(YEAR($A350)-1,MONTH($A350),DAY($A350)),$A:$A,0))-1),"")</f>
        <v/>
      </c>
      <c r="M350" s="19">
        <f>IF(OR(E350="",E349=""),"",E350/E349-1)</f>
        <v/>
      </c>
      <c r="N350" s="19">
        <f>IF(OR(F350="",F349=""),"",F350/F349-1)</f>
        <v/>
      </c>
      <c r="O350" s="19">
        <f>IF(OR(G350="",G349=""),"",G350/G349-1)</f>
        <v/>
      </c>
      <c r="P350" s="22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IF(R350="","",P350/R350)</f>
        <v/>
      </c>
      <c r="T350" s="23">
        <f>IF(R350="","",Q350/R350)</f>
        <v/>
      </c>
      <c r="U350" s="24">
        <f>IF(SUMIFS('Daily NSE Equity Options'!$M:$M,'Daily NSE Equity Options'!$A:$A,$A350)=0,"",SUMIFS('Daily NSE Equity Options'!$M:$M,'Daily NSE Equity Options'!$A:$A,$A350))</f>
        <v/>
      </c>
      <c r="V350" s="9">
        <f>IF(SUMIFS('Daily BSE Equity Options'!$M:$M,'Daily BSE Equity Options'!$A:$A,$A350)=0,"",SUMIFS('Daily BSE Equity Options'!$M:$M,'Daily BSE Equity Options'!$A:$A,$A350))</f>
        <v/>
      </c>
      <c r="W350" s="9">
        <f>IF(OR(U350="",V350=""),"",U350+V350)</f>
        <v/>
      </c>
      <c r="X350" s="25">
        <f>IF(W350="","",U350/W350)</f>
        <v/>
      </c>
      <c r="Y350" s="25">
        <f>IF(W350="","",V350/W350)</f>
        <v/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19">
        <f>IF(G351="","",E351/G351)</f>
        <v/>
      </c>
      <c r="I351" s="19">
        <f>IF(G351="","",F351/G351)</f>
        <v/>
      </c>
      <c r="J351" s="26">
        <f>IFERROR(IF(OR(E351="",INDEX(E:E,MATCH(DATE(YEAR($A351)-1,MONTH($A351),DAY($A351)),$A:$A,0))=""),"",E351/INDEX(E:E,MATCH(DATE(YEAR($A351)-1,MONTH($A351),DAY($A351)),$A:$A,0))-1),"")</f>
        <v/>
      </c>
      <c r="K351" s="19">
        <f>IFERROR(IF(OR(F351="",INDEX(F:F,MATCH(DATE(YEAR($A351)-1,MONTH($A351),DAY($A351)),$A:$A,0))=""),"",F351/INDEX(F:F,MATCH(DATE(YEAR($A351)-1,MONTH($A351),DAY($A351)),$A:$A,0))-1),"")</f>
        <v/>
      </c>
      <c r="L351" s="19">
        <f>IFERROR(IF(OR(G351="",INDEX(G:G,MATCH(DATE(YEAR($A351)-1,MONTH($A351),DAY($A351)),$A:$A,0))=""),"",G351/INDEX(G:G,MATCH(DATE(YEAR($A351)-1,MONTH($A351),DAY($A351)),$A:$A,0))-1),"")</f>
        <v/>
      </c>
      <c r="M351" s="19">
        <f>IF(OR(E351="",E350=""),"",E351/E350-1)</f>
        <v/>
      </c>
      <c r="N351" s="19">
        <f>IF(OR(F351="",F350=""),"",F351/F350-1)</f>
        <v/>
      </c>
      <c r="O351" s="19">
        <f>IF(OR(G351="",G350=""),"",G351/G350-1)</f>
        <v/>
      </c>
      <c r="P351" s="22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IF(R351="","",P351/R351)</f>
        <v/>
      </c>
      <c r="T351" s="23">
        <f>IF(R351="","",Q351/R351)</f>
        <v/>
      </c>
      <c r="U351" s="24">
        <f>IF(SUMIFS('Daily NSE Equity Options'!$M:$M,'Daily NSE Equity Options'!$A:$A,$A351)=0,"",SUMIFS('Daily NSE Equity Options'!$M:$M,'Daily NSE Equity Options'!$A:$A,$A351))</f>
        <v/>
      </c>
      <c r="V351" s="9">
        <f>IF(SUMIFS('Daily BSE Equity Options'!$M:$M,'Daily BSE Equity Options'!$A:$A,$A351)=0,"",SUMIFS('Daily BSE Equity Options'!$M:$M,'Daily BSE Equity Options'!$A:$A,$A351))</f>
        <v/>
      </c>
      <c r="W351" s="9">
        <f>IF(OR(U351="",V351=""),"",U351+V351)</f>
        <v/>
      </c>
      <c r="X351" s="25">
        <f>IF(W351="","",U351/W351)</f>
        <v/>
      </c>
      <c r="Y351" s="25">
        <f>IF(W351="","",V351/W351)</f>
        <v/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19">
        <f>IF(G352="","",E352/G352)</f>
        <v/>
      </c>
      <c r="I352" s="19">
        <f>IF(G352="","",F352/G352)</f>
        <v/>
      </c>
      <c r="J352" s="26">
        <f>IFERROR(IF(OR(E352="",INDEX(E:E,MATCH(DATE(YEAR($A352)-1,MONTH($A352),DAY($A352)),$A:$A,0))=""),"",E352/INDEX(E:E,MATCH(DATE(YEAR($A352)-1,MONTH($A352),DAY($A352)),$A:$A,0))-1),"")</f>
        <v/>
      </c>
      <c r="K352" s="19">
        <f>IFERROR(IF(OR(F352="",INDEX(F:F,MATCH(DATE(YEAR($A352)-1,MONTH($A352),DAY($A352)),$A:$A,0))=""),"",F352/INDEX(F:F,MATCH(DATE(YEAR($A352)-1,MONTH($A352),DAY($A352)),$A:$A,0))-1),"")</f>
        <v/>
      </c>
      <c r="L352" s="19">
        <f>IFERROR(IF(OR(G352="",INDEX(G:G,MATCH(DATE(YEAR($A352)-1,MONTH($A352),DAY($A352)),$A:$A,0))=""),"",G352/INDEX(G:G,MATCH(DATE(YEAR($A352)-1,MONTH($A352),DAY($A352)),$A:$A,0))-1),"")</f>
        <v/>
      </c>
      <c r="M352" s="19">
        <f>IF(OR(E352="",E351=""),"",E352/E351-1)</f>
        <v/>
      </c>
      <c r="N352" s="19">
        <f>IF(OR(F352="",F351=""),"",F352/F351-1)</f>
        <v/>
      </c>
      <c r="O352" s="19">
        <f>IF(OR(G352="",G351=""),"",G352/G351-1)</f>
        <v/>
      </c>
      <c r="P352" s="22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IF(R352="","",P352/R352)</f>
        <v/>
      </c>
      <c r="T352" s="23">
        <f>IF(R352="","",Q352/R352)</f>
        <v/>
      </c>
      <c r="U352" s="24">
        <f>IF(SUMIFS('Daily NSE Equity Options'!$M:$M,'Daily NSE Equity Options'!$A:$A,$A352)=0,"",SUMIFS('Daily NSE Equity Options'!$M:$M,'Daily NSE Equity Options'!$A:$A,$A352))</f>
        <v/>
      </c>
      <c r="V352" s="9">
        <f>IF(SUMIFS('Daily BSE Equity Options'!$M:$M,'Daily BSE Equity Options'!$A:$A,$A352)=0,"",SUMIFS('Daily BSE Equity Options'!$M:$M,'Daily BSE Equity Options'!$A:$A,$A352))</f>
        <v/>
      </c>
      <c r="W352" s="9">
        <f>IF(OR(U352="",V352=""),"",U352+V352)</f>
        <v/>
      </c>
      <c r="X352" s="25">
        <f>IF(W352="","",U352/W352)</f>
        <v/>
      </c>
      <c r="Y352" s="25">
        <f>IF(W352="","",V352/W352)</f>
        <v/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19">
        <f>IF(G353="","",E353/G353)</f>
        <v/>
      </c>
      <c r="I353" s="19">
        <f>IF(G353="","",F353/G353)</f>
        <v/>
      </c>
      <c r="J353" s="26">
        <f>IFERROR(IF(OR(E353="",INDEX(E:E,MATCH(DATE(YEAR($A353)-1,MONTH($A353),DAY($A353)),$A:$A,0))=""),"",E353/INDEX(E:E,MATCH(DATE(YEAR($A353)-1,MONTH($A353),DAY($A353)),$A:$A,0))-1),"")</f>
        <v/>
      </c>
      <c r="K353" s="19">
        <f>IFERROR(IF(OR(F353="",INDEX(F:F,MATCH(DATE(YEAR($A353)-1,MONTH($A353),DAY($A353)),$A:$A,0))=""),"",F353/INDEX(F:F,MATCH(DATE(YEAR($A353)-1,MONTH($A353),DAY($A353)),$A:$A,0))-1),"")</f>
        <v/>
      </c>
      <c r="L353" s="19">
        <f>IFERROR(IF(OR(G353="",INDEX(G:G,MATCH(DATE(YEAR($A353)-1,MONTH($A353),DAY($A353)),$A:$A,0))=""),"",G353/INDEX(G:G,MATCH(DATE(YEAR($A353)-1,MONTH($A353),DAY($A353)),$A:$A,0))-1),"")</f>
        <v/>
      </c>
      <c r="M353" s="19">
        <f>IF(OR(E353="",E352=""),"",E353/E352-1)</f>
        <v/>
      </c>
      <c r="N353" s="19">
        <f>IF(OR(F353="",F352=""),"",F353/F352-1)</f>
        <v/>
      </c>
      <c r="O353" s="19">
        <f>IF(OR(G353="",G352=""),"",G353/G352-1)</f>
        <v/>
      </c>
      <c r="P353" s="22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IF(R353="","",P353/R353)</f>
        <v/>
      </c>
      <c r="T353" s="23">
        <f>IF(R353="","",Q353/R353)</f>
        <v/>
      </c>
      <c r="U353" s="24">
        <f>IF(SUMIFS('Daily NSE Equity Options'!$M:$M,'Daily NSE Equity Options'!$A:$A,$A353)=0,"",SUMIFS('Daily NSE Equity Options'!$M:$M,'Daily NSE Equity Options'!$A:$A,$A353))</f>
        <v/>
      </c>
      <c r="V353" s="9">
        <f>IF(SUMIFS('Daily BSE Equity Options'!$M:$M,'Daily BSE Equity Options'!$A:$A,$A353)=0,"",SUMIFS('Daily BSE Equity Options'!$M:$M,'Daily BSE Equity Options'!$A:$A,$A353))</f>
        <v/>
      </c>
      <c r="W353" s="9">
        <f>IF(OR(U353="",V353=""),"",U353+V353)</f>
        <v/>
      </c>
      <c r="X353" s="25">
        <f>IF(W353="","",U353/W353)</f>
        <v/>
      </c>
      <c r="Y353" s="25">
        <f>IF(W353="","",V353/W353)</f>
        <v/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19">
        <f>IF(G354="","",E354/G354)</f>
        <v/>
      </c>
      <c r="I354" s="19">
        <f>IF(G354="","",F354/G354)</f>
        <v/>
      </c>
      <c r="J354" s="26">
        <f>IFERROR(IF(OR(E354="",INDEX(E:E,MATCH(DATE(YEAR($A354)-1,MONTH($A354),DAY($A354)),$A:$A,0))=""),"",E354/INDEX(E:E,MATCH(DATE(YEAR($A354)-1,MONTH($A354),DAY($A354)),$A:$A,0))-1),"")</f>
        <v/>
      </c>
      <c r="K354" s="19">
        <f>IFERROR(IF(OR(F354="",INDEX(F:F,MATCH(DATE(YEAR($A354)-1,MONTH($A354),DAY($A354)),$A:$A,0))=""),"",F354/INDEX(F:F,MATCH(DATE(YEAR($A354)-1,MONTH($A354),DAY($A354)),$A:$A,0))-1),"")</f>
        <v/>
      </c>
      <c r="L354" s="19">
        <f>IFERROR(IF(OR(G354="",INDEX(G:G,MATCH(DATE(YEAR($A354)-1,MONTH($A354),DAY($A354)),$A:$A,0))=""),"",G354/INDEX(G:G,MATCH(DATE(YEAR($A354)-1,MONTH($A354),DAY($A354)),$A:$A,0))-1),"")</f>
        <v/>
      </c>
      <c r="M354" s="19">
        <f>IF(OR(E354="",E353=""),"",E354/E353-1)</f>
        <v/>
      </c>
      <c r="N354" s="19">
        <f>IF(OR(F354="",F353=""),"",F354/F353-1)</f>
        <v/>
      </c>
      <c r="O354" s="19">
        <f>IF(OR(G354="",G353=""),"",G354/G353-1)</f>
        <v/>
      </c>
      <c r="P354" s="22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IF(R354="","",P354/R354)</f>
        <v/>
      </c>
      <c r="T354" s="23">
        <f>IF(R354="","",Q354/R354)</f>
        <v/>
      </c>
      <c r="U354" s="24">
        <f>IF(SUMIFS('Daily NSE Equity Options'!$M:$M,'Daily NSE Equity Options'!$A:$A,$A354)=0,"",SUMIFS('Daily NSE Equity Options'!$M:$M,'Daily NSE Equity Options'!$A:$A,$A354))</f>
        <v/>
      </c>
      <c r="V354" s="9">
        <f>IF(SUMIFS('Daily BSE Equity Options'!$M:$M,'Daily BSE Equity Options'!$A:$A,$A354)=0,"",SUMIFS('Daily BSE Equity Options'!$M:$M,'Daily BSE Equity Options'!$A:$A,$A354))</f>
        <v/>
      </c>
      <c r="W354" s="9">
        <f>IF(OR(U354="",V354=""),"",U354+V354)</f>
        <v/>
      </c>
      <c r="X354" s="25">
        <f>IF(W354="","",U354/W354)</f>
        <v/>
      </c>
      <c r="Y354" s="25">
        <f>IF(W354="","",V354/W354)</f>
        <v/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19">
        <f>IF(G355="","",E355/G355)</f>
        <v/>
      </c>
      <c r="I355" s="19">
        <f>IF(G355="","",F355/G355)</f>
        <v/>
      </c>
      <c r="J355" s="26">
        <f>IFERROR(IF(OR(E355="",INDEX(E:E,MATCH(DATE(YEAR($A355)-1,MONTH($A355),DAY($A355)),$A:$A,0))=""),"",E355/INDEX(E:E,MATCH(DATE(YEAR($A355)-1,MONTH($A355),DAY($A355)),$A:$A,0))-1),"")</f>
        <v/>
      </c>
      <c r="K355" s="19">
        <f>IFERROR(IF(OR(F355="",INDEX(F:F,MATCH(DATE(YEAR($A355)-1,MONTH($A355),DAY($A355)),$A:$A,0))=""),"",F355/INDEX(F:F,MATCH(DATE(YEAR($A355)-1,MONTH($A355),DAY($A355)),$A:$A,0))-1),"")</f>
        <v/>
      </c>
      <c r="L355" s="19">
        <f>IFERROR(IF(OR(G355="",INDEX(G:G,MATCH(DATE(YEAR($A355)-1,MONTH($A355),DAY($A355)),$A:$A,0))=""),"",G355/INDEX(G:G,MATCH(DATE(YEAR($A355)-1,MONTH($A355),DAY($A355)),$A:$A,0))-1),"")</f>
        <v/>
      </c>
      <c r="M355" s="19">
        <f>IF(OR(E355="",E354=""),"",E355/E354-1)</f>
        <v/>
      </c>
      <c r="N355" s="19">
        <f>IF(OR(F355="",F354=""),"",F355/F354-1)</f>
        <v/>
      </c>
      <c r="O355" s="19">
        <f>IF(OR(G355="",G354=""),"",G355/G354-1)</f>
        <v/>
      </c>
      <c r="P355" s="22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IF(R355="","",P355/R355)</f>
        <v/>
      </c>
      <c r="T355" s="23">
        <f>IF(R355="","",Q355/R355)</f>
        <v/>
      </c>
      <c r="U355" s="24">
        <f>IF(SUMIFS('Daily NSE Equity Options'!$M:$M,'Daily NSE Equity Options'!$A:$A,$A355)=0,"",SUMIFS('Daily NSE Equity Options'!$M:$M,'Daily NSE Equity Options'!$A:$A,$A355))</f>
        <v/>
      </c>
      <c r="V355" s="9">
        <f>IF(SUMIFS('Daily BSE Equity Options'!$M:$M,'Daily BSE Equity Options'!$A:$A,$A355)=0,"",SUMIFS('Daily BSE Equity Options'!$M:$M,'Daily BSE Equity Options'!$A:$A,$A355))</f>
        <v/>
      </c>
      <c r="W355" s="9">
        <f>IF(OR(U355="",V355=""),"",U355+V355)</f>
        <v/>
      </c>
      <c r="X355" s="25">
        <f>IF(W355="","",U355/W355)</f>
        <v/>
      </c>
      <c r="Y355" s="25">
        <f>IF(W355="","",V355/W355)</f>
        <v/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19">
        <f>IF(G356="","",E356/G356)</f>
        <v/>
      </c>
      <c r="I356" s="19">
        <f>IF(G356="","",F356/G356)</f>
        <v/>
      </c>
      <c r="J356" s="26">
        <f>IFERROR(IF(OR(E356="",INDEX(E:E,MATCH(DATE(YEAR($A356)-1,MONTH($A356),DAY($A356)),$A:$A,0))=""),"",E356/INDEX(E:E,MATCH(DATE(YEAR($A356)-1,MONTH($A356),DAY($A356)),$A:$A,0))-1),"")</f>
        <v/>
      </c>
      <c r="K356" s="19">
        <f>IFERROR(IF(OR(F356="",INDEX(F:F,MATCH(DATE(YEAR($A356)-1,MONTH($A356),DAY($A356)),$A:$A,0))=""),"",F356/INDEX(F:F,MATCH(DATE(YEAR($A356)-1,MONTH($A356),DAY($A356)),$A:$A,0))-1),"")</f>
        <v/>
      </c>
      <c r="L356" s="19">
        <f>IFERROR(IF(OR(G356="",INDEX(G:G,MATCH(DATE(YEAR($A356)-1,MONTH($A356),DAY($A356)),$A:$A,0))=""),"",G356/INDEX(G:G,MATCH(DATE(YEAR($A356)-1,MONTH($A356),DAY($A356)),$A:$A,0))-1),"")</f>
        <v/>
      </c>
      <c r="M356" s="19">
        <f>IF(OR(E356="",E355=""),"",E356/E355-1)</f>
        <v/>
      </c>
      <c r="N356" s="19">
        <f>IF(OR(F356="",F355=""),"",F356/F355-1)</f>
        <v/>
      </c>
      <c r="O356" s="19">
        <f>IF(OR(G356="",G355=""),"",G356/G355-1)</f>
        <v/>
      </c>
      <c r="P356" s="22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IF(R356="","",P356/R356)</f>
        <v/>
      </c>
      <c r="T356" s="23">
        <f>IF(R356="","",Q356/R356)</f>
        <v/>
      </c>
      <c r="U356" s="24">
        <f>IF(SUMIFS('Daily NSE Equity Options'!$M:$M,'Daily NSE Equity Options'!$A:$A,$A356)=0,"",SUMIFS('Daily NSE Equity Options'!$M:$M,'Daily NSE Equity Options'!$A:$A,$A356))</f>
        <v/>
      </c>
      <c r="V356" s="9">
        <f>IF(SUMIFS('Daily BSE Equity Options'!$M:$M,'Daily BSE Equity Options'!$A:$A,$A356)=0,"",SUMIFS('Daily BSE Equity Options'!$M:$M,'Daily BSE Equity Options'!$A:$A,$A356))</f>
        <v/>
      </c>
      <c r="W356" s="9">
        <f>IF(OR(U356="",V356=""),"",U356+V356)</f>
        <v/>
      </c>
      <c r="X356" s="25">
        <f>IF(W356="","",U356/W356)</f>
        <v/>
      </c>
      <c r="Y356" s="25">
        <f>IF(W356="","",V356/W356)</f>
        <v/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19">
        <f>IF(G357="","",E357/G357)</f>
        <v/>
      </c>
      <c r="I357" s="19">
        <f>IF(G357="","",F357/G357)</f>
        <v/>
      </c>
      <c r="J357" s="26">
        <f>IFERROR(IF(OR(E357="",INDEX(E:E,MATCH(DATE(YEAR($A357)-1,MONTH($A357),DAY($A357)),$A:$A,0))=""),"",E357/INDEX(E:E,MATCH(DATE(YEAR($A357)-1,MONTH($A357),DAY($A357)),$A:$A,0))-1),"")</f>
        <v/>
      </c>
      <c r="K357" s="19">
        <f>IFERROR(IF(OR(F357="",INDEX(F:F,MATCH(DATE(YEAR($A357)-1,MONTH($A357),DAY($A357)),$A:$A,0))=""),"",F357/INDEX(F:F,MATCH(DATE(YEAR($A357)-1,MONTH($A357),DAY($A357)),$A:$A,0))-1),"")</f>
        <v/>
      </c>
      <c r="L357" s="19">
        <f>IFERROR(IF(OR(G357="",INDEX(G:G,MATCH(DATE(YEAR($A357)-1,MONTH($A357),DAY($A357)),$A:$A,0))=""),"",G357/INDEX(G:G,MATCH(DATE(YEAR($A357)-1,MONTH($A357),DAY($A357)),$A:$A,0))-1),"")</f>
        <v/>
      </c>
      <c r="M357" s="19">
        <f>IF(OR(E357="",E356=""),"",E357/E356-1)</f>
        <v/>
      </c>
      <c r="N357" s="19">
        <f>IF(OR(F357="",F356=""),"",F357/F356-1)</f>
        <v/>
      </c>
      <c r="O357" s="19">
        <f>IF(OR(G357="",G356=""),"",G357/G356-1)</f>
        <v/>
      </c>
      <c r="P357" s="22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IF(R357="","",P357/R357)</f>
        <v/>
      </c>
      <c r="T357" s="23">
        <f>IF(R357="","",Q357/R357)</f>
        <v/>
      </c>
      <c r="U357" s="24">
        <f>IF(SUMIFS('Daily NSE Equity Options'!$M:$M,'Daily NSE Equity Options'!$A:$A,$A357)=0,"",SUMIFS('Daily NSE Equity Options'!$M:$M,'Daily NSE Equity Options'!$A:$A,$A357))</f>
        <v/>
      </c>
      <c r="V357" s="9">
        <f>IF(SUMIFS('Daily BSE Equity Options'!$M:$M,'Daily BSE Equity Options'!$A:$A,$A357)=0,"",SUMIFS('Daily BSE Equity Options'!$M:$M,'Daily BSE Equity Options'!$A:$A,$A357))</f>
        <v/>
      </c>
      <c r="W357" s="9">
        <f>IF(OR(U357="",V357=""),"",U357+V357)</f>
        <v/>
      </c>
      <c r="X357" s="25">
        <f>IF(W357="","",U357/W357)</f>
        <v/>
      </c>
      <c r="Y357" s="25">
        <f>IF(W357="","",V357/W357)</f>
        <v/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19">
        <f>IF(G358="","",E358/G358)</f>
        <v/>
      </c>
      <c r="I358" s="19">
        <f>IF(G358="","",F358/G358)</f>
        <v/>
      </c>
      <c r="J358" s="26">
        <f>IFERROR(IF(OR(E358="",INDEX(E:E,MATCH(DATE(YEAR($A358)-1,MONTH($A358),DAY($A358)),$A:$A,0))=""),"",E358/INDEX(E:E,MATCH(DATE(YEAR($A358)-1,MONTH($A358),DAY($A358)),$A:$A,0))-1),"")</f>
        <v/>
      </c>
      <c r="K358" s="19">
        <f>IFERROR(IF(OR(F358="",INDEX(F:F,MATCH(DATE(YEAR($A358)-1,MONTH($A358),DAY($A358)),$A:$A,0))=""),"",F358/INDEX(F:F,MATCH(DATE(YEAR($A358)-1,MONTH($A358),DAY($A358)),$A:$A,0))-1),"")</f>
        <v/>
      </c>
      <c r="L358" s="19">
        <f>IFERROR(IF(OR(G358="",INDEX(G:G,MATCH(DATE(YEAR($A358)-1,MONTH($A358),DAY($A358)),$A:$A,0))=""),"",G358/INDEX(G:G,MATCH(DATE(YEAR($A358)-1,MONTH($A358),DAY($A358)),$A:$A,0))-1),"")</f>
        <v/>
      </c>
      <c r="M358" s="19">
        <f>IF(OR(E358="",E357=""),"",E358/E357-1)</f>
        <v/>
      </c>
      <c r="N358" s="19">
        <f>IF(OR(F358="",F357=""),"",F358/F357-1)</f>
        <v/>
      </c>
      <c r="O358" s="19">
        <f>IF(OR(G358="",G357=""),"",G358/G357-1)</f>
        <v/>
      </c>
      <c r="P358" s="22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IF(R358="","",P358/R358)</f>
        <v/>
      </c>
      <c r="T358" s="23">
        <f>IF(R358="","",Q358/R358)</f>
        <v/>
      </c>
      <c r="U358" s="24">
        <f>IF(SUMIFS('Daily NSE Equity Options'!$M:$M,'Daily NSE Equity Options'!$A:$A,$A358)=0,"",SUMIFS('Daily NSE Equity Options'!$M:$M,'Daily NSE Equity Options'!$A:$A,$A358))</f>
        <v/>
      </c>
      <c r="V358" s="9">
        <f>IF(SUMIFS('Daily BSE Equity Options'!$M:$M,'Daily BSE Equity Options'!$A:$A,$A358)=0,"",SUMIFS('Daily BSE Equity Options'!$M:$M,'Daily BSE Equity Options'!$A:$A,$A358))</f>
        <v/>
      </c>
      <c r="W358" s="9">
        <f>IF(OR(U358="",V358=""),"",U358+V358)</f>
        <v/>
      </c>
      <c r="X358" s="25">
        <f>IF(W358="","",U358/W358)</f>
        <v/>
      </c>
      <c r="Y358" s="25">
        <f>IF(W358="","",V358/W358)</f>
        <v/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19">
        <f>IF(G359="","",E359/G359)</f>
        <v/>
      </c>
      <c r="I359" s="19">
        <f>IF(G359="","",F359/G359)</f>
        <v/>
      </c>
      <c r="J359" s="26">
        <f>IFERROR(IF(OR(E359="",INDEX(E:E,MATCH(DATE(YEAR($A359)-1,MONTH($A359),DAY($A359)),$A:$A,0))=""),"",E359/INDEX(E:E,MATCH(DATE(YEAR($A359)-1,MONTH($A359),DAY($A359)),$A:$A,0))-1),"")</f>
        <v/>
      </c>
      <c r="K359" s="19">
        <f>IFERROR(IF(OR(F359="",INDEX(F:F,MATCH(DATE(YEAR($A359)-1,MONTH($A359),DAY($A359)),$A:$A,0))=""),"",F359/INDEX(F:F,MATCH(DATE(YEAR($A359)-1,MONTH($A359),DAY($A359)),$A:$A,0))-1),"")</f>
        <v/>
      </c>
      <c r="L359" s="19">
        <f>IFERROR(IF(OR(G359="",INDEX(G:G,MATCH(DATE(YEAR($A359)-1,MONTH($A359),DAY($A359)),$A:$A,0))=""),"",G359/INDEX(G:G,MATCH(DATE(YEAR($A359)-1,MONTH($A359),DAY($A359)),$A:$A,0))-1),"")</f>
        <v/>
      </c>
      <c r="M359" s="19">
        <f>IF(OR(E359="",E358=""),"",E359/E358-1)</f>
        <v/>
      </c>
      <c r="N359" s="19">
        <f>IF(OR(F359="",F358=""),"",F359/F358-1)</f>
        <v/>
      </c>
      <c r="O359" s="19">
        <f>IF(OR(G359="",G358=""),"",G359/G358-1)</f>
        <v/>
      </c>
      <c r="P359" s="22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IF(R359="","",P359/R359)</f>
        <v/>
      </c>
      <c r="T359" s="23">
        <f>IF(R359="","",Q359/R359)</f>
        <v/>
      </c>
      <c r="U359" s="24">
        <f>IF(SUMIFS('Daily NSE Equity Options'!$M:$M,'Daily NSE Equity Options'!$A:$A,$A359)=0,"",SUMIFS('Daily NSE Equity Options'!$M:$M,'Daily NSE Equity Options'!$A:$A,$A359))</f>
        <v/>
      </c>
      <c r="V359" s="9">
        <f>IF(SUMIFS('Daily BSE Equity Options'!$M:$M,'Daily BSE Equity Options'!$A:$A,$A359)=0,"",SUMIFS('Daily BSE Equity Options'!$M:$M,'Daily BSE Equity Options'!$A:$A,$A359))</f>
        <v/>
      </c>
      <c r="W359" s="9">
        <f>IF(OR(U359="",V359=""),"",U359+V359)</f>
        <v/>
      </c>
      <c r="X359" s="25">
        <f>IF(W359="","",U359/W359)</f>
        <v/>
      </c>
      <c r="Y359" s="25">
        <f>IF(W359="","",V359/W359)</f>
        <v/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19">
        <f>IF(G360="","",E360/G360)</f>
        <v/>
      </c>
      <c r="I360" s="19">
        <f>IF(G360="","",F360/G360)</f>
        <v/>
      </c>
      <c r="J360" s="26">
        <f>IFERROR(IF(OR(E360="",INDEX(E:E,MATCH(DATE(YEAR($A360)-1,MONTH($A360),DAY($A360)),$A:$A,0))=""),"",E360/INDEX(E:E,MATCH(DATE(YEAR($A360)-1,MONTH($A360),DAY($A360)),$A:$A,0))-1),"")</f>
        <v/>
      </c>
      <c r="K360" s="19">
        <f>IFERROR(IF(OR(F360="",INDEX(F:F,MATCH(DATE(YEAR($A360)-1,MONTH($A360),DAY($A360)),$A:$A,0))=""),"",F360/INDEX(F:F,MATCH(DATE(YEAR($A360)-1,MONTH($A360),DAY($A360)),$A:$A,0))-1),"")</f>
        <v/>
      </c>
      <c r="L360" s="19">
        <f>IFERROR(IF(OR(G360="",INDEX(G:G,MATCH(DATE(YEAR($A360)-1,MONTH($A360),DAY($A360)),$A:$A,0))=""),"",G360/INDEX(G:G,MATCH(DATE(YEAR($A360)-1,MONTH($A360),DAY($A360)),$A:$A,0))-1),"")</f>
        <v/>
      </c>
      <c r="M360" s="19">
        <f>IF(OR(E360="",E359=""),"",E360/E359-1)</f>
        <v/>
      </c>
      <c r="N360" s="19">
        <f>IF(OR(F360="",F359=""),"",F360/F359-1)</f>
        <v/>
      </c>
      <c r="O360" s="19">
        <f>IF(OR(G360="",G359=""),"",G360/G359-1)</f>
        <v/>
      </c>
      <c r="P360" s="22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IF(R360="","",P360/R360)</f>
        <v/>
      </c>
      <c r="T360" s="23">
        <f>IF(R360="","",Q360/R360)</f>
        <v/>
      </c>
      <c r="U360" s="24">
        <f>IF(SUMIFS('Daily NSE Equity Options'!$M:$M,'Daily NSE Equity Options'!$A:$A,$A360)=0,"",SUMIFS('Daily NSE Equity Options'!$M:$M,'Daily NSE Equity Options'!$A:$A,$A360))</f>
        <v/>
      </c>
      <c r="V360" s="9">
        <f>IF(SUMIFS('Daily BSE Equity Options'!$M:$M,'Daily BSE Equity Options'!$A:$A,$A360)=0,"",SUMIFS('Daily BSE Equity Options'!$M:$M,'Daily BSE Equity Options'!$A:$A,$A360))</f>
        <v/>
      </c>
      <c r="W360" s="9">
        <f>IF(OR(U360="",V360=""),"",U360+V360)</f>
        <v/>
      </c>
      <c r="X360" s="25">
        <f>IF(W360="","",U360/W360)</f>
        <v/>
      </c>
      <c r="Y360" s="25">
        <f>IF(W360="","",V360/W360)</f>
        <v/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19">
        <f>IF(G361="","",E361/G361)</f>
        <v/>
      </c>
      <c r="I361" s="19">
        <f>IF(G361="","",F361/G361)</f>
        <v/>
      </c>
      <c r="J361" s="26">
        <f>IFERROR(IF(OR(E361="",INDEX(E:E,MATCH(DATE(YEAR($A361)-1,MONTH($A361),DAY($A361)),$A:$A,0))=""),"",E361/INDEX(E:E,MATCH(DATE(YEAR($A361)-1,MONTH($A361),DAY($A361)),$A:$A,0))-1),"")</f>
        <v/>
      </c>
      <c r="K361" s="19">
        <f>IFERROR(IF(OR(F361="",INDEX(F:F,MATCH(DATE(YEAR($A361)-1,MONTH($A361),DAY($A361)),$A:$A,0))=""),"",F361/INDEX(F:F,MATCH(DATE(YEAR($A361)-1,MONTH($A361),DAY($A361)),$A:$A,0))-1),"")</f>
        <v/>
      </c>
      <c r="L361" s="19">
        <f>IFERROR(IF(OR(G361="",INDEX(G:G,MATCH(DATE(YEAR($A361)-1,MONTH($A361),DAY($A361)),$A:$A,0))=""),"",G361/INDEX(G:G,MATCH(DATE(YEAR($A361)-1,MONTH($A361),DAY($A361)),$A:$A,0))-1),"")</f>
        <v/>
      </c>
      <c r="M361" s="19">
        <f>IF(OR(E361="",E360=""),"",E361/E360-1)</f>
        <v/>
      </c>
      <c r="N361" s="19">
        <f>IF(OR(F361="",F360=""),"",F361/F360-1)</f>
        <v/>
      </c>
      <c r="O361" s="19">
        <f>IF(OR(G361="",G360=""),"",G361/G360-1)</f>
        <v/>
      </c>
      <c r="P361" s="22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IF(R361="","",P361/R361)</f>
        <v/>
      </c>
      <c r="T361" s="23">
        <f>IF(R361="","",Q361/R361)</f>
        <v/>
      </c>
      <c r="U361" s="24">
        <f>IF(SUMIFS('Daily NSE Equity Options'!$M:$M,'Daily NSE Equity Options'!$A:$A,$A361)=0,"",SUMIFS('Daily NSE Equity Options'!$M:$M,'Daily NSE Equity Options'!$A:$A,$A361))</f>
        <v/>
      </c>
      <c r="V361" s="9">
        <f>IF(SUMIFS('Daily BSE Equity Options'!$M:$M,'Daily BSE Equity Options'!$A:$A,$A361)=0,"",SUMIFS('Daily BSE Equity Options'!$M:$M,'Daily BSE Equity Options'!$A:$A,$A361))</f>
        <v/>
      </c>
      <c r="W361" s="9">
        <f>IF(OR(U361="",V361=""),"",U361+V361)</f>
        <v/>
      </c>
      <c r="X361" s="25">
        <f>IF(W361="","",U361/W361)</f>
        <v/>
      </c>
      <c r="Y361" s="25">
        <f>IF(W361="","",V361/W361)</f>
        <v/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19">
        <f>IF(G362="","",E362/G362)</f>
        <v/>
      </c>
      <c r="I362" s="19">
        <f>IF(G362="","",F362/G362)</f>
        <v/>
      </c>
      <c r="J362" s="26">
        <f>IFERROR(IF(OR(E362="",INDEX(E:E,MATCH(DATE(YEAR($A362)-1,MONTH($A362),DAY($A362)),$A:$A,0))=""),"",E362/INDEX(E:E,MATCH(DATE(YEAR($A362)-1,MONTH($A362),DAY($A362)),$A:$A,0))-1),"")</f>
        <v/>
      </c>
      <c r="K362" s="19">
        <f>IFERROR(IF(OR(F362="",INDEX(F:F,MATCH(DATE(YEAR($A362)-1,MONTH($A362),DAY($A362)),$A:$A,0))=""),"",F362/INDEX(F:F,MATCH(DATE(YEAR($A362)-1,MONTH($A362),DAY($A362)),$A:$A,0))-1),"")</f>
        <v/>
      </c>
      <c r="L362" s="19">
        <f>IFERROR(IF(OR(G362="",INDEX(G:G,MATCH(DATE(YEAR($A362)-1,MONTH($A362),DAY($A362)),$A:$A,0))=""),"",G362/INDEX(G:G,MATCH(DATE(YEAR($A362)-1,MONTH($A362),DAY($A362)),$A:$A,0))-1),"")</f>
        <v/>
      </c>
      <c r="M362" s="19">
        <f>IF(OR(E362="",E361=""),"",E362/E361-1)</f>
        <v/>
      </c>
      <c r="N362" s="19">
        <f>IF(OR(F362="",F361=""),"",F362/F361-1)</f>
        <v/>
      </c>
      <c r="O362" s="19">
        <f>IF(OR(G362="",G361=""),"",G362/G361-1)</f>
        <v/>
      </c>
      <c r="P362" s="22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IF(R362="","",P362/R362)</f>
        <v/>
      </c>
      <c r="T362" s="23">
        <f>IF(R362="","",Q362/R362)</f>
        <v/>
      </c>
      <c r="U362" s="24">
        <f>IF(SUMIFS('Daily NSE Equity Options'!$M:$M,'Daily NSE Equity Options'!$A:$A,$A362)=0,"",SUMIFS('Daily NSE Equity Options'!$M:$M,'Daily NSE Equity Options'!$A:$A,$A362))</f>
        <v/>
      </c>
      <c r="V362" s="9">
        <f>IF(SUMIFS('Daily BSE Equity Options'!$M:$M,'Daily BSE Equity Options'!$A:$A,$A362)=0,"",SUMIFS('Daily BSE Equity Options'!$M:$M,'Daily BSE Equity Options'!$A:$A,$A362))</f>
        <v/>
      </c>
      <c r="W362" s="9">
        <f>IF(OR(U362="",V362=""),"",U362+V362)</f>
        <v/>
      </c>
      <c r="X362" s="25">
        <f>IF(W362="","",U362/W362)</f>
        <v/>
      </c>
      <c r="Y362" s="25">
        <f>IF(W362="","",V362/W362)</f>
        <v/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19">
        <f>IF(G363="","",E363/G363)</f>
        <v/>
      </c>
      <c r="I363" s="19">
        <f>IF(G363="","",F363/G363)</f>
        <v/>
      </c>
      <c r="J363" s="26">
        <f>IFERROR(IF(OR(E363="",INDEX(E:E,MATCH(DATE(YEAR($A363)-1,MONTH($A363),DAY($A363)),$A:$A,0))=""),"",E363/INDEX(E:E,MATCH(DATE(YEAR($A363)-1,MONTH($A363),DAY($A363)),$A:$A,0))-1),"")</f>
        <v/>
      </c>
      <c r="K363" s="19">
        <f>IFERROR(IF(OR(F363="",INDEX(F:F,MATCH(DATE(YEAR($A363)-1,MONTH($A363),DAY($A363)),$A:$A,0))=""),"",F363/INDEX(F:F,MATCH(DATE(YEAR($A363)-1,MONTH($A363),DAY($A363)),$A:$A,0))-1),"")</f>
        <v/>
      </c>
      <c r="L363" s="19">
        <f>IFERROR(IF(OR(G363="",INDEX(G:G,MATCH(DATE(YEAR($A363)-1,MONTH($A363),DAY($A363)),$A:$A,0))=""),"",G363/INDEX(G:G,MATCH(DATE(YEAR($A363)-1,MONTH($A363),DAY($A363)),$A:$A,0))-1),"")</f>
        <v/>
      </c>
      <c r="M363" s="19">
        <f>IF(OR(E363="",E362=""),"",E363/E362-1)</f>
        <v/>
      </c>
      <c r="N363" s="19">
        <f>IF(OR(F363="",F362=""),"",F363/F362-1)</f>
        <v/>
      </c>
      <c r="O363" s="19">
        <f>IF(OR(G363="",G362=""),"",G363/G362-1)</f>
        <v/>
      </c>
      <c r="P363" s="22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IF(R363="","",P363/R363)</f>
        <v/>
      </c>
      <c r="T363" s="23">
        <f>IF(R363="","",Q363/R363)</f>
        <v/>
      </c>
      <c r="U363" s="24">
        <f>IF(SUMIFS('Daily NSE Equity Options'!$M:$M,'Daily NSE Equity Options'!$A:$A,$A363)=0,"",SUMIFS('Daily NSE Equity Options'!$M:$M,'Daily NSE Equity Options'!$A:$A,$A363))</f>
        <v/>
      </c>
      <c r="V363" s="9">
        <f>IF(SUMIFS('Daily BSE Equity Options'!$M:$M,'Daily BSE Equity Options'!$A:$A,$A363)=0,"",SUMIFS('Daily BSE Equity Options'!$M:$M,'Daily BSE Equity Options'!$A:$A,$A363))</f>
        <v/>
      </c>
      <c r="W363" s="9">
        <f>IF(OR(U363="",V363=""),"",U363+V363)</f>
        <v/>
      </c>
      <c r="X363" s="25">
        <f>IF(W363="","",U363/W363)</f>
        <v/>
      </c>
      <c r="Y363" s="25">
        <f>IF(W363="","",V363/W363)</f>
        <v/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19">
        <f>IF(G364="","",E364/G364)</f>
        <v/>
      </c>
      <c r="I364" s="19">
        <f>IF(G364="","",F364/G364)</f>
        <v/>
      </c>
      <c r="J364" s="26">
        <f>IFERROR(IF(OR(E364="",INDEX(E:E,MATCH(DATE(YEAR($A364)-1,MONTH($A364),DAY($A364)),$A:$A,0))=""),"",E364/INDEX(E:E,MATCH(DATE(YEAR($A364)-1,MONTH($A364),DAY($A364)),$A:$A,0))-1),"")</f>
        <v/>
      </c>
      <c r="K364" s="19">
        <f>IFERROR(IF(OR(F364="",INDEX(F:F,MATCH(DATE(YEAR($A364)-1,MONTH($A364),DAY($A364)),$A:$A,0))=""),"",F364/INDEX(F:F,MATCH(DATE(YEAR($A364)-1,MONTH($A364),DAY($A364)),$A:$A,0))-1),"")</f>
        <v/>
      </c>
      <c r="L364" s="19">
        <f>IFERROR(IF(OR(G364="",INDEX(G:G,MATCH(DATE(YEAR($A364)-1,MONTH($A364),DAY($A364)),$A:$A,0))=""),"",G364/INDEX(G:G,MATCH(DATE(YEAR($A364)-1,MONTH($A364),DAY($A364)),$A:$A,0))-1),"")</f>
        <v/>
      </c>
      <c r="M364" s="19">
        <f>IF(OR(E364="",E363=""),"",E364/E363-1)</f>
        <v/>
      </c>
      <c r="N364" s="19">
        <f>IF(OR(F364="",F363=""),"",F364/F363-1)</f>
        <v/>
      </c>
      <c r="O364" s="19">
        <f>IF(OR(G364="",G363=""),"",G364/G363-1)</f>
        <v/>
      </c>
      <c r="P364" s="22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IF(R364="","",P364/R364)</f>
        <v/>
      </c>
      <c r="T364" s="23">
        <f>IF(R364="","",Q364/R364)</f>
        <v/>
      </c>
      <c r="U364" s="24">
        <f>IF(SUMIFS('Daily NSE Equity Options'!$M:$M,'Daily NSE Equity Options'!$A:$A,$A364)=0,"",SUMIFS('Daily NSE Equity Options'!$M:$M,'Daily NSE Equity Options'!$A:$A,$A364))</f>
        <v/>
      </c>
      <c r="V364" s="9">
        <f>IF(SUMIFS('Daily BSE Equity Options'!$M:$M,'Daily BSE Equity Options'!$A:$A,$A364)=0,"",SUMIFS('Daily BSE Equity Options'!$M:$M,'Daily BSE Equity Options'!$A:$A,$A364))</f>
        <v/>
      </c>
      <c r="W364" s="9">
        <f>IF(OR(U364="",V364=""),"",U364+V364)</f>
        <v/>
      </c>
      <c r="X364" s="25">
        <f>IF(W364="","",U364/W364)</f>
        <v/>
      </c>
      <c r="Y364" s="25">
        <f>IF(W364="","",V364/W364)</f>
        <v/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19">
        <f>IF(G365="","",E365/G365)</f>
        <v/>
      </c>
      <c r="I365" s="19">
        <f>IF(G365="","",F365/G365)</f>
        <v/>
      </c>
      <c r="J365" s="26">
        <f>IFERROR(IF(OR(E365="",INDEX(E:E,MATCH(DATE(YEAR($A365)-1,MONTH($A365),DAY($A365)),$A:$A,0))=""),"",E365/INDEX(E:E,MATCH(DATE(YEAR($A365)-1,MONTH($A365),DAY($A365)),$A:$A,0))-1),"")</f>
        <v/>
      </c>
      <c r="K365" s="19">
        <f>IFERROR(IF(OR(F365="",INDEX(F:F,MATCH(DATE(YEAR($A365)-1,MONTH($A365),DAY($A365)),$A:$A,0))=""),"",F365/INDEX(F:F,MATCH(DATE(YEAR($A365)-1,MONTH($A365),DAY($A365)),$A:$A,0))-1),"")</f>
        <v/>
      </c>
      <c r="L365" s="19">
        <f>IFERROR(IF(OR(G365="",INDEX(G:G,MATCH(DATE(YEAR($A365)-1,MONTH($A365),DAY($A365)),$A:$A,0))=""),"",G365/INDEX(G:G,MATCH(DATE(YEAR($A365)-1,MONTH($A365),DAY($A365)),$A:$A,0))-1),"")</f>
        <v/>
      </c>
      <c r="M365" s="19">
        <f>IF(OR(E365="",E364=""),"",E365/E364-1)</f>
        <v/>
      </c>
      <c r="N365" s="19">
        <f>IF(OR(F365="",F364=""),"",F365/F364-1)</f>
        <v/>
      </c>
      <c r="O365" s="19">
        <f>IF(OR(G365="",G364=""),"",G365/G364-1)</f>
        <v/>
      </c>
      <c r="P365" s="22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IF(R365="","",P365/R365)</f>
        <v/>
      </c>
      <c r="T365" s="23">
        <f>IF(R365="","",Q365/R365)</f>
        <v/>
      </c>
      <c r="U365" s="24">
        <f>IF(SUMIFS('Daily NSE Equity Options'!$M:$M,'Daily NSE Equity Options'!$A:$A,$A365)=0,"",SUMIFS('Daily NSE Equity Options'!$M:$M,'Daily NSE Equity Options'!$A:$A,$A365))</f>
        <v/>
      </c>
      <c r="V365" s="9">
        <f>IF(SUMIFS('Daily BSE Equity Options'!$M:$M,'Daily BSE Equity Options'!$A:$A,$A365)=0,"",SUMIFS('Daily BSE Equity Options'!$M:$M,'Daily BSE Equity Options'!$A:$A,$A365))</f>
        <v/>
      </c>
      <c r="W365" s="9">
        <f>IF(OR(U365="",V365=""),"",U365+V365)</f>
        <v/>
      </c>
      <c r="X365" s="25">
        <f>IF(W365="","",U365/W365)</f>
        <v/>
      </c>
      <c r="Y365" s="25">
        <f>IF(W365="","",V365/W365)</f>
        <v/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19">
        <f>IF(G366="","",E366/G366)</f>
        <v/>
      </c>
      <c r="I366" s="19">
        <f>IF(G366="","",F366/G366)</f>
        <v/>
      </c>
      <c r="J366" s="26">
        <f>IFERROR(IF(OR(E366="",INDEX(E:E,MATCH(DATE(YEAR($A366)-1,MONTH($A366),DAY($A366)),$A:$A,0))=""),"",E366/INDEX(E:E,MATCH(DATE(YEAR($A366)-1,MONTH($A366),DAY($A366)),$A:$A,0))-1),"")</f>
        <v/>
      </c>
      <c r="K366" s="19">
        <f>IFERROR(IF(OR(F366="",INDEX(F:F,MATCH(DATE(YEAR($A366)-1,MONTH($A366),DAY($A366)),$A:$A,0))=""),"",F366/INDEX(F:F,MATCH(DATE(YEAR($A366)-1,MONTH($A366),DAY($A366)),$A:$A,0))-1),"")</f>
        <v/>
      </c>
      <c r="L366" s="19">
        <f>IFERROR(IF(OR(G366="",INDEX(G:G,MATCH(DATE(YEAR($A366)-1,MONTH($A366),DAY($A366)),$A:$A,0))=""),"",G366/INDEX(G:G,MATCH(DATE(YEAR($A366)-1,MONTH($A366),DAY($A366)),$A:$A,0))-1),"")</f>
        <v/>
      </c>
      <c r="M366" s="19">
        <f>IF(OR(E366="",E365=""),"",E366/E365-1)</f>
        <v/>
      </c>
      <c r="N366" s="19">
        <f>IF(OR(F366="",F365=""),"",F366/F365-1)</f>
        <v/>
      </c>
      <c r="O366" s="19">
        <f>IF(OR(G366="",G365=""),"",G366/G365-1)</f>
        <v/>
      </c>
      <c r="P366" s="22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IF(R366="","",P366/R366)</f>
        <v/>
      </c>
      <c r="T366" s="23">
        <f>IF(R366="","",Q366/R366)</f>
        <v/>
      </c>
      <c r="U366" s="24">
        <f>IF(SUMIFS('Daily NSE Equity Options'!$M:$M,'Daily NSE Equity Options'!$A:$A,$A366)=0,"",SUMIFS('Daily NSE Equity Options'!$M:$M,'Daily NSE Equity Options'!$A:$A,$A366))</f>
        <v/>
      </c>
      <c r="V366" s="9">
        <f>IF(SUMIFS('Daily BSE Equity Options'!$M:$M,'Daily BSE Equity Options'!$A:$A,$A366)=0,"",SUMIFS('Daily BSE Equity Options'!$M:$M,'Daily BSE Equity Options'!$A:$A,$A366))</f>
        <v/>
      </c>
      <c r="W366" s="9">
        <f>IF(OR(U366="",V366=""),"",U366+V366)</f>
        <v/>
      </c>
      <c r="X366" s="25">
        <f>IF(W366="","",U366/W366)</f>
        <v/>
      </c>
      <c r="Y366" s="25">
        <f>IF(W366="","",V366/W366)</f>
        <v/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19">
        <f>IF(G367="","",E367/G367)</f>
        <v/>
      </c>
      <c r="I367" s="19">
        <f>IF(G367="","",F367/G367)</f>
        <v/>
      </c>
      <c r="J367" s="26">
        <f>IFERROR(IF(OR(E367="",INDEX(E:E,MATCH(DATE(YEAR($A367)-1,MONTH($A367),DAY($A367)),$A:$A,0))=""),"",E367/INDEX(E:E,MATCH(DATE(YEAR($A367)-1,MONTH($A367),DAY($A367)),$A:$A,0))-1),"")</f>
        <v/>
      </c>
      <c r="K367" s="19">
        <f>IFERROR(IF(OR(F367="",INDEX(F:F,MATCH(DATE(YEAR($A367)-1,MONTH($A367),DAY($A367)),$A:$A,0))=""),"",F367/INDEX(F:F,MATCH(DATE(YEAR($A367)-1,MONTH($A367),DAY($A367)),$A:$A,0))-1),"")</f>
        <v/>
      </c>
      <c r="L367" s="19">
        <f>IFERROR(IF(OR(G367="",INDEX(G:G,MATCH(DATE(YEAR($A367)-1,MONTH($A367),DAY($A367)),$A:$A,0))=""),"",G367/INDEX(G:G,MATCH(DATE(YEAR($A367)-1,MONTH($A367),DAY($A367)),$A:$A,0))-1),"")</f>
        <v/>
      </c>
      <c r="M367" s="19">
        <f>IF(OR(E367="",E366=""),"",E367/E366-1)</f>
        <v/>
      </c>
      <c r="N367" s="19">
        <f>IF(OR(F367="",F366=""),"",F367/F366-1)</f>
        <v/>
      </c>
      <c r="O367" s="19">
        <f>IF(OR(G367="",G366=""),"",G367/G366-1)</f>
        <v/>
      </c>
      <c r="P367" s="22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IF(R367="","",P367/R367)</f>
        <v/>
      </c>
      <c r="T367" s="23">
        <f>IF(R367="","",Q367/R367)</f>
        <v/>
      </c>
      <c r="U367" s="24">
        <f>IF(SUMIFS('Daily NSE Equity Options'!$M:$M,'Daily NSE Equity Options'!$A:$A,$A367)=0,"",SUMIFS('Daily NSE Equity Options'!$M:$M,'Daily NSE Equity Options'!$A:$A,$A367))</f>
        <v/>
      </c>
      <c r="V367" s="9">
        <f>IF(SUMIFS('Daily BSE Equity Options'!$M:$M,'Daily BSE Equity Options'!$A:$A,$A367)=0,"",SUMIFS('Daily BSE Equity Options'!$M:$M,'Daily BSE Equity Options'!$A:$A,$A367))</f>
        <v/>
      </c>
      <c r="W367" s="9">
        <f>IF(OR(U367="",V367=""),"",U367+V367)</f>
        <v/>
      </c>
      <c r="X367" s="25">
        <f>IF(W367="","",U367/W367)</f>
        <v/>
      </c>
      <c r="Y367" s="25">
        <f>IF(W367="","",V367/W367)</f>
        <v/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19">
        <f>IF(G368="","",E368/G368)</f>
        <v/>
      </c>
      <c r="I368" s="19">
        <f>IF(G368="","",F368/G368)</f>
        <v/>
      </c>
      <c r="J368" s="26">
        <f>IFERROR(IF(OR(E368="",INDEX(E:E,MATCH(DATE(YEAR($A368)-1,MONTH($A368),DAY($A368)),$A:$A,0))=""),"",E368/INDEX(E:E,MATCH(DATE(YEAR($A368)-1,MONTH($A368),DAY($A368)),$A:$A,0))-1),"")</f>
        <v/>
      </c>
      <c r="K368" s="19">
        <f>IFERROR(IF(OR(F368="",INDEX(F:F,MATCH(DATE(YEAR($A368)-1,MONTH($A368),DAY($A368)),$A:$A,0))=""),"",F368/INDEX(F:F,MATCH(DATE(YEAR($A368)-1,MONTH($A368),DAY($A368)),$A:$A,0))-1),"")</f>
        <v/>
      </c>
      <c r="L368" s="19">
        <f>IFERROR(IF(OR(G368="",INDEX(G:G,MATCH(DATE(YEAR($A368)-1,MONTH($A368),DAY($A368)),$A:$A,0))=""),"",G368/INDEX(G:G,MATCH(DATE(YEAR($A368)-1,MONTH($A368),DAY($A368)),$A:$A,0))-1),"")</f>
        <v/>
      </c>
      <c r="M368" s="19">
        <f>IF(OR(E368="",E367=""),"",E368/E367-1)</f>
        <v/>
      </c>
      <c r="N368" s="19">
        <f>IF(OR(F368="",F367=""),"",F368/F367-1)</f>
        <v/>
      </c>
      <c r="O368" s="19">
        <f>IF(OR(G368="",G367=""),"",G368/G367-1)</f>
        <v/>
      </c>
      <c r="P368" s="22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IF(R368="","",P368/R368)</f>
        <v/>
      </c>
      <c r="T368" s="23">
        <f>IF(R368="","",Q368/R368)</f>
        <v/>
      </c>
      <c r="U368" s="24">
        <f>IF(SUMIFS('Daily NSE Equity Options'!$M:$M,'Daily NSE Equity Options'!$A:$A,$A368)=0,"",SUMIFS('Daily NSE Equity Options'!$M:$M,'Daily NSE Equity Options'!$A:$A,$A368))</f>
        <v/>
      </c>
      <c r="V368" s="9">
        <f>IF(SUMIFS('Daily BSE Equity Options'!$M:$M,'Daily BSE Equity Options'!$A:$A,$A368)=0,"",SUMIFS('Daily BSE Equity Options'!$M:$M,'Daily BSE Equity Options'!$A:$A,$A368))</f>
        <v/>
      </c>
      <c r="W368" s="9">
        <f>IF(OR(U368="",V368=""),"",U368+V368)</f>
        <v/>
      </c>
      <c r="X368" s="25">
        <f>IF(W368="","",U368/W368)</f>
        <v/>
      </c>
      <c r="Y368" s="25">
        <f>IF(W368="","",V368/W368)</f>
        <v/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19">
        <f>IF(G369="","",E369/G369)</f>
        <v/>
      </c>
      <c r="I369" s="19">
        <f>IF(G369="","",F369/G369)</f>
        <v/>
      </c>
      <c r="J369" s="26">
        <f>IFERROR(IF(OR(E369="",INDEX(E:E,MATCH(DATE(YEAR($A369)-1,MONTH($A369),DAY($A369)),$A:$A,0))=""),"",E369/INDEX(E:E,MATCH(DATE(YEAR($A369)-1,MONTH($A369),DAY($A369)),$A:$A,0))-1),"")</f>
        <v/>
      </c>
      <c r="K369" s="19">
        <f>IFERROR(IF(OR(F369="",INDEX(F:F,MATCH(DATE(YEAR($A369)-1,MONTH($A369),DAY($A369)),$A:$A,0))=""),"",F369/INDEX(F:F,MATCH(DATE(YEAR($A369)-1,MONTH($A369),DAY($A369)),$A:$A,0))-1),"")</f>
        <v/>
      </c>
      <c r="L369" s="19">
        <f>IFERROR(IF(OR(G369="",INDEX(G:G,MATCH(DATE(YEAR($A369)-1,MONTH($A369),DAY($A369)),$A:$A,0))=""),"",G369/INDEX(G:G,MATCH(DATE(YEAR($A369)-1,MONTH($A369),DAY($A369)),$A:$A,0))-1),"")</f>
        <v/>
      </c>
      <c r="M369" s="19">
        <f>IF(OR(E369="",E368=""),"",E369/E368-1)</f>
        <v/>
      </c>
      <c r="N369" s="19">
        <f>IF(OR(F369="",F368=""),"",F369/F368-1)</f>
        <v/>
      </c>
      <c r="O369" s="19">
        <f>IF(OR(G369="",G368=""),"",G369/G368-1)</f>
        <v/>
      </c>
      <c r="P369" s="22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IF(R369="","",P369/R369)</f>
        <v/>
      </c>
      <c r="T369" s="23">
        <f>IF(R369="","",Q369/R369)</f>
        <v/>
      </c>
      <c r="U369" s="24">
        <f>IF(SUMIFS('Daily NSE Equity Options'!$M:$M,'Daily NSE Equity Options'!$A:$A,$A369)=0,"",SUMIFS('Daily NSE Equity Options'!$M:$M,'Daily NSE Equity Options'!$A:$A,$A369))</f>
        <v/>
      </c>
      <c r="V369" s="9">
        <f>IF(SUMIFS('Daily BSE Equity Options'!$M:$M,'Daily BSE Equity Options'!$A:$A,$A369)=0,"",SUMIFS('Daily BSE Equity Options'!$M:$M,'Daily BSE Equity Options'!$A:$A,$A369))</f>
        <v/>
      </c>
      <c r="W369" s="9">
        <f>IF(OR(U369="",V369=""),"",U369+V369)</f>
        <v/>
      </c>
      <c r="X369" s="25">
        <f>IF(W369="","",U369/W369)</f>
        <v/>
      </c>
      <c r="Y369" s="25">
        <f>IF(W369="","",V369/W369)</f>
        <v/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19">
        <f>IF(G370="","",E370/G370)</f>
        <v/>
      </c>
      <c r="I370" s="19">
        <f>IF(G370="","",F370/G370)</f>
        <v/>
      </c>
      <c r="J370" s="26">
        <f>IFERROR(IF(OR(E370="",INDEX(E:E,MATCH(DATE(YEAR($A370)-1,MONTH($A370),DAY($A370)),$A:$A,0))=""),"",E370/INDEX(E:E,MATCH(DATE(YEAR($A370)-1,MONTH($A370),DAY($A370)),$A:$A,0))-1),"")</f>
        <v/>
      </c>
      <c r="K370" s="19">
        <f>IFERROR(IF(OR(F370="",INDEX(F:F,MATCH(DATE(YEAR($A370)-1,MONTH($A370),DAY($A370)),$A:$A,0))=""),"",F370/INDEX(F:F,MATCH(DATE(YEAR($A370)-1,MONTH($A370),DAY($A370)),$A:$A,0))-1),"")</f>
        <v/>
      </c>
      <c r="L370" s="19">
        <f>IFERROR(IF(OR(G370="",INDEX(G:G,MATCH(DATE(YEAR($A370)-1,MONTH($A370),DAY($A370)),$A:$A,0))=""),"",G370/INDEX(G:G,MATCH(DATE(YEAR($A370)-1,MONTH($A370),DAY($A370)),$A:$A,0))-1),"")</f>
        <v/>
      </c>
      <c r="M370" s="19">
        <f>IF(OR(E370="",E369=""),"",E370/E369-1)</f>
        <v/>
      </c>
      <c r="N370" s="19">
        <f>IF(OR(F370="",F369=""),"",F370/F369-1)</f>
        <v/>
      </c>
      <c r="O370" s="19">
        <f>IF(OR(G370="",G369=""),"",G370/G369-1)</f>
        <v/>
      </c>
      <c r="P370" s="22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IF(R370="","",P370/R370)</f>
        <v/>
      </c>
      <c r="T370" s="23">
        <f>IF(R370="","",Q370/R370)</f>
        <v/>
      </c>
      <c r="U370" s="24">
        <f>IF(SUMIFS('Daily NSE Equity Options'!$M:$M,'Daily NSE Equity Options'!$A:$A,$A370)=0,"",SUMIFS('Daily NSE Equity Options'!$M:$M,'Daily NSE Equity Options'!$A:$A,$A370))</f>
        <v/>
      </c>
      <c r="V370" s="9">
        <f>IF(SUMIFS('Daily BSE Equity Options'!$M:$M,'Daily BSE Equity Options'!$A:$A,$A370)=0,"",SUMIFS('Daily BSE Equity Options'!$M:$M,'Daily BSE Equity Options'!$A:$A,$A370))</f>
        <v/>
      </c>
      <c r="W370" s="9">
        <f>IF(OR(U370="",V370=""),"",U370+V370)</f>
        <v/>
      </c>
      <c r="X370" s="25">
        <f>IF(W370="","",U370/W370)</f>
        <v/>
      </c>
      <c r="Y370" s="25">
        <f>IF(W370="","",V370/W370)</f>
        <v/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19">
        <f>IF(G371="","",E371/G371)</f>
        <v/>
      </c>
      <c r="I371" s="19">
        <f>IF(G371="","",F371/G371)</f>
        <v/>
      </c>
      <c r="J371" s="26">
        <f>IFERROR(IF(OR(E371="",INDEX(E:E,MATCH(DATE(YEAR($A371)-1,MONTH($A371),DAY($A371)),$A:$A,0))=""),"",E371/INDEX(E:E,MATCH(DATE(YEAR($A371)-1,MONTH($A371),DAY($A371)),$A:$A,0))-1),"")</f>
        <v/>
      </c>
      <c r="K371" s="19">
        <f>IFERROR(IF(OR(F371="",INDEX(F:F,MATCH(DATE(YEAR($A371)-1,MONTH($A371),DAY($A371)),$A:$A,0))=""),"",F371/INDEX(F:F,MATCH(DATE(YEAR($A371)-1,MONTH($A371),DAY($A371)),$A:$A,0))-1),"")</f>
        <v/>
      </c>
      <c r="L371" s="19">
        <f>IFERROR(IF(OR(G371="",INDEX(G:G,MATCH(DATE(YEAR($A371)-1,MONTH($A371),DAY($A371)),$A:$A,0))=""),"",G371/INDEX(G:G,MATCH(DATE(YEAR($A371)-1,MONTH($A371),DAY($A371)),$A:$A,0))-1),"")</f>
        <v/>
      </c>
      <c r="M371" s="19">
        <f>IF(OR(E371="",E370=""),"",E371/E370-1)</f>
        <v/>
      </c>
      <c r="N371" s="19">
        <f>IF(OR(F371="",F370=""),"",F371/F370-1)</f>
        <v/>
      </c>
      <c r="O371" s="19">
        <f>IF(OR(G371="",G370=""),"",G371/G370-1)</f>
        <v/>
      </c>
      <c r="P371" s="22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IF(R371="","",P371/R371)</f>
        <v/>
      </c>
      <c r="T371" s="23">
        <f>IF(R371="","",Q371/R371)</f>
        <v/>
      </c>
      <c r="U371" s="24">
        <f>IF(SUMIFS('Daily NSE Equity Options'!$M:$M,'Daily NSE Equity Options'!$A:$A,$A371)=0,"",SUMIFS('Daily NSE Equity Options'!$M:$M,'Daily NSE Equity Options'!$A:$A,$A371))</f>
        <v/>
      </c>
      <c r="V371" s="9">
        <f>IF(SUMIFS('Daily BSE Equity Options'!$M:$M,'Daily BSE Equity Options'!$A:$A,$A371)=0,"",SUMIFS('Daily BSE Equity Options'!$M:$M,'Daily BSE Equity Options'!$A:$A,$A371))</f>
        <v/>
      </c>
      <c r="W371" s="9">
        <f>IF(OR(U371="",V371=""),"",U371+V371)</f>
        <v/>
      </c>
      <c r="X371" s="25">
        <f>IF(W371="","",U371/W371)</f>
        <v/>
      </c>
      <c r="Y371" s="25">
        <f>IF(W371="","",V371/W371)</f>
        <v/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19">
        <f>IF(G372="","",E372/G372)</f>
        <v/>
      </c>
      <c r="I372" s="19">
        <f>IF(G372="","",F372/G372)</f>
        <v/>
      </c>
      <c r="J372" s="26">
        <f>IFERROR(IF(OR(E372="",INDEX(E:E,MATCH(DATE(YEAR($A372)-1,MONTH($A372),DAY($A372)),$A:$A,0))=""),"",E372/INDEX(E:E,MATCH(DATE(YEAR($A372)-1,MONTH($A372),DAY($A372)),$A:$A,0))-1),"")</f>
        <v/>
      </c>
      <c r="K372" s="19">
        <f>IFERROR(IF(OR(F372="",INDEX(F:F,MATCH(DATE(YEAR($A372)-1,MONTH($A372),DAY($A372)),$A:$A,0))=""),"",F372/INDEX(F:F,MATCH(DATE(YEAR($A372)-1,MONTH($A372),DAY($A372)),$A:$A,0))-1),"")</f>
        <v/>
      </c>
      <c r="L372" s="19">
        <f>IFERROR(IF(OR(G372="",INDEX(G:G,MATCH(DATE(YEAR($A372)-1,MONTH($A372),DAY($A372)),$A:$A,0))=""),"",G372/INDEX(G:G,MATCH(DATE(YEAR($A372)-1,MONTH($A372),DAY($A372)),$A:$A,0))-1),"")</f>
        <v/>
      </c>
      <c r="M372" s="19">
        <f>IF(OR(E372="",E371=""),"",E372/E371-1)</f>
        <v/>
      </c>
      <c r="N372" s="19">
        <f>IF(OR(F372="",F371=""),"",F372/F371-1)</f>
        <v/>
      </c>
      <c r="O372" s="19">
        <f>IF(OR(G372="",G371=""),"",G372/G371-1)</f>
        <v/>
      </c>
      <c r="P372" s="22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IF(R372="","",P372/R372)</f>
        <v/>
      </c>
      <c r="T372" s="23">
        <f>IF(R372="","",Q372/R372)</f>
        <v/>
      </c>
      <c r="U372" s="24">
        <f>IF(SUMIFS('Daily NSE Equity Options'!$M:$M,'Daily NSE Equity Options'!$A:$A,$A372)=0,"",SUMIFS('Daily NSE Equity Options'!$M:$M,'Daily NSE Equity Options'!$A:$A,$A372))</f>
        <v/>
      </c>
      <c r="V372" s="9">
        <f>IF(SUMIFS('Daily BSE Equity Options'!$M:$M,'Daily BSE Equity Options'!$A:$A,$A372)=0,"",SUMIFS('Daily BSE Equity Options'!$M:$M,'Daily BSE Equity Options'!$A:$A,$A372))</f>
        <v/>
      </c>
      <c r="W372" s="9">
        <f>IF(OR(U372="",V372=""),"",U372+V372)</f>
        <v/>
      </c>
      <c r="X372" s="25">
        <f>IF(W372="","",U372/W372)</f>
        <v/>
      </c>
      <c r="Y372" s="25">
        <f>IF(W372="","",V372/W372)</f>
        <v/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19">
        <f>IF(G373="","",E373/G373)</f>
        <v/>
      </c>
      <c r="I373" s="19">
        <f>IF(G373="","",F373/G373)</f>
        <v/>
      </c>
      <c r="J373" s="26">
        <f>IFERROR(IF(OR(E373="",INDEX(E:E,MATCH(DATE(YEAR($A373)-1,MONTH($A373),DAY($A373)),$A:$A,0))=""),"",E373/INDEX(E:E,MATCH(DATE(YEAR($A373)-1,MONTH($A373),DAY($A373)),$A:$A,0))-1),"")</f>
        <v/>
      </c>
      <c r="K373" s="19">
        <f>IFERROR(IF(OR(F373="",INDEX(F:F,MATCH(DATE(YEAR($A373)-1,MONTH($A373),DAY($A373)),$A:$A,0))=""),"",F373/INDEX(F:F,MATCH(DATE(YEAR($A373)-1,MONTH($A373),DAY($A373)),$A:$A,0))-1),"")</f>
        <v/>
      </c>
      <c r="L373" s="19">
        <f>IFERROR(IF(OR(G373="",INDEX(G:G,MATCH(DATE(YEAR($A373)-1,MONTH($A373),DAY($A373)),$A:$A,0))=""),"",G373/INDEX(G:G,MATCH(DATE(YEAR($A373)-1,MONTH($A373),DAY($A373)),$A:$A,0))-1),"")</f>
        <v/>
      </c>
      <c r="M373" s="19">
        <f>IF(OR(E373="",E372=""),"",E373/E372-1)</f>
        <v/>
      </c>
      <c r="N373" s="19">
        <f>IF(OR(F373="",F372=""),"",F373/F372-1)</f>
        <v/>
      </c>
      <c r="O373" s="19">
        <f>IF(OR(G373="",G372=""),"",G373/G372-1)</f>
        <v/>
      </c>
      <c r="P373" s="22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IF(R373="","",P373/R373)</f>
        <v/>
      </c>
      <c r="T373" s="23">
        <f>IF(R373="","",Q373/R373)</f>
        <v/>
      </c>
      <c r="U373" s="24">
        <f>IF(SUMIFS('Daily NSE Equity Options'!$M:$M,'Daily NSE Equity Options'!$A:$A,$A373)=0,"",SUMIFS('Daily NSE Equity Options'!$M:$M,'Daily NSE Equity Options'!$A:$A,$A373))</f>
        <v/>
      </c>
      <c r="V373" s="9">
        <f>IF(SUMIFS('Daily BSE Equity Options'!$M:$M,'Daily BSE Equity Options'!$A:$A,$A373)=0,"",SUMIFS('Daily BSE Equity Options'!$M:$M,'Daily BSE Equity Options'!$A:$A,$A373))</f>
        <v/>
      </c>
      <c r="W373" s="9">
        <f>IF(OR(U373="",V373=""),"",U373+V373)</f>
        <v/>
      </c>
      <c r="X373" s="25">
        <f>IF(W373="","",U373/W373)</f>
        <v/>
      </c>
      <c r="Y373" s="25">
        <f>IF(W373="","",V373/W373)</f>
        <v/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19">
        <f>IF(G374="","",E374/G374)</f>
        <v/>
      </c>
      <c r="I374" s="19">
        <f>IF(G374="","",F374/G374)</f>
        <v/>
      </c>
      <c r="J374" s="26">
        <f>IFERROR(IF(OR(E374="",INDEX(E:E,MATCH(DATE(YEAR($A374)-1,MONTH($A374),DAY($A374)),$A:$A,0))=""),"",E374/INDEX(E:E,MATCH(DATE(YEAR($A374)-1,MONTH($A374),DAY($A374)),$A:$A,0))-1),"")</f>
        <v/>
      </c>
      <c r="K374" s="19">
        <f>IFERROR(IF(OR(F374="",INDEX(F:F,MATCH(DATE(YEAR($A374)-1,MONTH($A374),DAY($A374)),$A:$A,0))=""),"",F374/INDEX(F:F,MATCH(DATE(YEAR($A374)-1,MONTH($A374),DAY($A374)),$A:$A,0))-1),"")</f>
        <v/>
      </c>
      <c r="L374" s="19">
        <f>IFERROR(IF(OR(G374="",INDEX(G:G,MATCH(DATE(YEAR($A374)-1,MONTH($A374),DAY($A374)),$A:$A,0))=""),"",G374/INDEX(G:G,MATCH(DATE(YEAR($A374)-1,MONTH($A374),DAY($A374)),$A:$A,0))-1),"")</f>
        <v/>
      </c>
      <c r="M374" s="19">
        <f>IF(OR(E374="",E373=""),"",E374/E373-1)</f>
        <v/>
      </c>
      <c r="N374" s="19">
        <f>IF(OR(F374="",F373=""),"",F374/F373-1)</f>
        <v/>
      </c>
      <c r="O374" s="19">
        <f>IF(OR(G374="",G373=""),"",G374/G373-1)</f>
        <v/>
      </c>
      <c r="P374" s="22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IF(R374="","",P374/R374)</f>
        <v/>
      </c>
      <c r="T374" s="23">
        <f>IF(R374="","",Q374/R374)</f>
        <v/>
      </c>
      <c r="U374" s="24">
        <f>IF(SUMIFS('Daily NSE Equity Options'!$M:$M,'Daily NSE Equity Options'!$A:$A,$A374)=0,"",SUMIFS('Daily NSE Equity Options'!$M:$M,'Daily NSE Equity Options'!$A:$A,$A374))</f>
        <v/>
      </c>
      <c r="V374" s="9">
        <f>IF(SUMIFS('Daily BSE Equity Options'!$M:$M,'Daily BSE Equity Options'!$A:$A,$A374)=0,"",SUMIFS('Daily BSE Equity Options'!$M:$M,'Daily BSE Equity Options'!$A:$A,$A374))</f>
        <v/>
      </c>
      <c r="W374" s="9">
        <f>IF(OR(U374="",V374=""),"",U374+V374)</f>
        <v/>
      </c>
      <c r="X374" s="25">
        <f>IF(W374="","",U374/W374)</f>
        <v/>
      </c>
      <c r="Y374" s="25">
        <f>IF(W374="","",V374/W374)</f>
        <v/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19">
        <f>IF(G375="","",E375/G375)</f>
        <v/>
      </c>
      <c r="I375" s="19">
        <f>IF(G375="","",F375/G375)</f>
        <v/>
      </c>
      <c r="J375" s="26">
        <f>IFERROR(IF(OR(E375="",INDEX(E:E,MATCH(DATE(YEAR($A375)-1,MONTH($A375),DAY($A375)),$A:$A,0))=""),"",E375/INDEX(E:E,MATCH(DATE(YEAR($A375)-1,MONTH($A375),DAY($A375)),$A:$A,0))-1),"")</f>
        <v/>
      </c>
      <c r="K375" s="19">
        <f>IFERROR(IF(OR(F375="",INDEX(F:F,MATCH(DATE(YEAR($A375)-1,MONTH($A375),DAY($A375)),$A:$A,0))=""),"",F375/INDEX(F:F,MATCH(DATE(YEAR($A375)-1,MONTH($A375),DAY($A375)),$A:$A,0))-1),"")</f>
        <v/>
      </c>
      <c r="L375" s="19">
        <f>IFERROR(IF(OR(G375="",INDEX(G:G,MATCH(DATE(YEAR($A375)-1,MONTH($A375),DAY($A375)),$A:$A,0))=""),"",G375/INDEX(G:G,MATCH(DATE(YEAR($A375)-1,MONTH($A375),DAY($A375)),$A:$A,0))-1),"")</f>
        <v/>
      </c>
      <c r="M375" s="19">
        <f>IF(OR(E375="",E374=""),"",E375/E374-1)</f>
        <v/>
      </c>
      <c r="N375" s="19">
        <f>IF(OR(F375="",F374=""),"",F375/F374-1)</f>
        <v/>
      </c>
      <c r="O375" s="19">
        <f>IF(OR(G375="",G374=""),"",G375/G374-1)</f>
        <v/>
      </c>
      <c r="P375" s="22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IF(R375="","",P375/R375)</f>
        <v/>
      </c>
      <c r="T375" s="23">
        <f>IF(R375="","",Q375/R375)</f>
        <v/>
      </c>
      <c r="U375" s="24">
        <f>IF(SUMIFS('Daily NSE Equity Options'!$M:$M,'Daily NSE Equity Options'!$A:$A,$A375)=0,"",SUMIFS('Daily NSE Equity Options'!$M:$M,'Daily NSE Equity Options'!$A:$A,$A375))</f>
        <v/>
      </c>
      <c r="V375" s="9">
        <f>IF(SUMIFS('Daily BSE Equity Options'!$M:$M,'Daily BSE Equity Options'!$A:$A,$A375)=0,"",SUMIFS('Daily BSE Equity Options'!$M:$M,'Daily BSE Equity Options'!$A:$A,$A375))</f>
        <v/>
      </c>
      <c r="W375" s="9">
        <f>IF(OR(U375="",V375=""),"",U375+V375)</f>
        <v/>
      </c>
      <c r="X375" s="25">
        <f>IF(W375="","",U375/W375)</f>
        <v/>
      </c>
      <c r="Y375" s="25">
        <f>IF(W375="","",V375/W375)</f>
        <v/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19">
        <f>IF(G376="","",E376/G376)</f>
        <v/>
      </c>
      <c r="I376" s="19">
        <f>IF(G376="","",F376/G376)</f>
        <v/>
      </c>
      <c r="J376" s="26">
        <f>IFERROR(IF(OR(E376="",INDEX(E:E,MATCH(DATE(YEAR($A376)-1,MONTH($A376),DAY($A376)),$A:$A,0))=""),"",E376/INDEX(E:E,MATCH(DATE(YEAR($A376)-1,MONTH($A376),DAY($A376)),$A:$A,0))-1),"")</f>
        <v/>
      </c>
      <c r="K376" s="19">
        <f>IFERROR(IF(OR(F376="",INDEX(F:F,MATCH(DATE(YEAR($A376)-1,MONTH($A376),DAY($A376)),$A:$A,0))=""),"",F376/INDEX(F:F,MATCH(DATE(YEAR($A376)-1,MONTH($A376),DAY($A376)),$A:$A,0))-1),"")</f>
        <v/>
      </c>
      <c r="L376" s="19">
        <f>IFERROR(IF(OR(G376="",INDEX(G:G,MATCH(DATE(YEAR($A376)-1,MONTH($A376),DAY($A376)),$A:$A,0))=""),"",G376/INDEX(G:G,MATCH(DATE(YEAR($A376)-1,MONTH($A376),DAY($A376)),$A:$A,0))-1),"")</f>
        <v/>
      </c>
      <c r="M376" s="19">
        <f>IF(OR(E376="",E375=""),"",E376/E375-1)</f>
        <v/>
      </c>
      <c r="N376" s="19">
        <f>IF(OR(F376="",F375=""),"",F376/F375-1)</f>
        <v/>
      </c>
      <c r="O376" s="19">
        <f>IF(OR(G376="",G375=""),"",G376/G375-1)</f>
        <v/>
      </c>
      <c r="P376" s="22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IF(R376="","",P376/R376)</f>
        <v/>
      </c>
      <c r="T376" s="23">
        <f>IF(R376="","",Q376/R376)</f>
        <v/>
      </c>
      <c r="U376" s="24">
        <f>IF(SUMIFS('Daily NSE Equity Options'!$M:$M,'Daily NSE Equity Options'!$A:$A,$A376)=0,"",SUMIFS('Daily NSE Equity Options'!$M:$M,'Daily NSE Equity Options'!$A:$A,$A376))</f>
        <v/>
      </c>
      <c r="V376" s="9">
        <f>IF(SUMIFS('Daily BSE Equity Options'!$M:$M,'Daily BSE Equity Options'!$A:$A,$A376)=0,"",SUMIFS('Daily BSE Equity Options'!$M:$M,'Daily BSE Equity Options'!$A:$A,$A376))</f>
        <v/>
      </c>
      <c r="W376" s="9">
        <f>IF(OR(U376="",V376=""),"",U376+V376)</f>
        <v/>
      </c>
      <c r="X376" s="25">
        <f>IF(W376="","",U376/W376)</f>
        <v/>
      </c>
      <c r="Y376" s="25">
        <f>IF(W376="","",V376/W376)</f>
        <v/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19">
        <f>IF(G377="","",E377/G377)</f>
        <v/>
      </c>
      <c r="I377" s="19">
        <f>IF(G377="","",F377/G377)</f>
        <v/>
      </c>
      <c r="J377" s="26">
        <f>IFERROR(IF(OR(E377="",INDEX(E:E,MATCH(DATE(YEAR($A377)-1,MONTH($A377),DAY($A377)),$A:$A,0))=""),"",E377/INDEX(E:E,MATCH(DATE(YEAR($A377)-1,MONTH($A377),DAY($A377)),$A:$A,0))-1),"")</f>
        <v/>
      </c>
      <c r="K377" s="19">
        <f>IFERROR(IF(OR(F377="",INDEX(F:F,MATCH(DATE(YEAR($A377)-1,MONTH($A377),DAY($A377)),$A:$A,0))=""),"",F377/INDEX(F:F,MATCH(DATE(YEAR($A377)-1,MONTH($A377),DAY($A377)),$A:$A,0))-1),"")</f>
        <v/>
      </c>
      <c r="L377" s="19">
        <f>IFERROR(IF(OR(G377="",INDEX(G:G,MATCH(DATE(YEAR($A377)-1,MONTH($A377),DAY($A377)),$A:$A,0))=""),"",G377/INDEX(G:G,MATCH(DATE(YEAR($A377)-1,MONTH($A377),DAY($A377)),$A:$A,0))-1),"")</f>
        <v/>
      </c>
      <c r="M377" s="19">
        <f>IF(OR(E377="",E376=""),"",E377/E376-1)</f>
        <v/>
      </c>
      <c r="N377" s="19">
        <f>IF(OR(F377="",F376=""),"",F377/F376-1)</f>
        <v/>
      </c>
      <c r="O377" s="19">
        <f>IF(OR(G377="",G376=""),"",G377/G376-1)</f>
        <v/>
      </c>
      <c r="P377" s="22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IF(R377="","",P377/R377)</f>
        <v/>
      </c>
      <c r="T377" s="23">
        <f>IF(R377="","",Q377/R377)</f>
        <v/>
      </c>
      <c r="U377" s="24">
        <f>IF(SUMIFS('Daily NSE Equity Options'!$M:$M,'Daily NSE Equity Options'!$A:$A,$A377)=0,"",SUMIFS('Daily NSE Equity Options'!$M:$M,'Daily NSE Equity Options'!$A:$A,$A377))</f>
        <v/>
      </c>
      <c r="V377" s="9">
        <f>IF(SUMIFS('Daily BSE Equity Options'!$M:$M,'Daily BSE Equity Options'!$A:$A,$A377)=0,"",SUMIFS('Daily BSE Equity Options'!$M:$M,'Daily BSE Equity Options'!$A:$A,$A377))</f>
        <v/>
      </c>
      <c r="W377" s="9">
        <f>IF(OR(U377="",V377=""),"",U377+V377)</f>
        <v/>
      </c>
      <c r="X377" s="25">
        <f>IF(W377="","",U377/W377)</f>
        <v/>
      </c>
      <c r="Y377" s="25">
        <f>IF(W377="","",V377/W377)</f>
        <v/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19">
        <f>IF(G378="","",E378/G378)</f>
        <v/>
      </c>
      <c r="I378" s="19">
        <f>IF(G378="","",F378/G378)</f>
        <v/>
      </c>
      <c r="J378" s="26">
        <f>IFERROR(IF(OR(E378="",INDEX(E:E,MATCH(DATE(YEAR($A378)-1,MONTH($A378),DAY($A378)),$A:$A,0))=""),"",E378/INDEX(E:E,MATCH(DATE(YEAR($A378)-1,MONTH($A378),DAY($A378)),$A:$A,0))-1),"")</f>
        <v/>
      </c>
      <c r="K378" s="19">
        <f>IFERROR(IF(OR(F378="",INDEX(F:F,MATCH(DATE(YEAR($A378)-1,MONTH($A378),DAY($A378)),$A:$A,0))=""),"",F378/INDEX(F:F,MATCH(DATE(YEAR($A378)-1,MONTH($A378),DAY($A378)),$A:$A,0))-1),"")</f>
        <v/>
      </c>
      <c r="L378" s="19">
        <f>IFERROR(IF(OR(G378="",INDEX(G:G,MATCH(DATE(YEAR($A378)-1,MONTH($A378),DAY($A378)),$A:$A,0))=""),"",G378/INDEX(G:G,MATCH(DATE(YEAR($A378)-1,MONTH($A378),DAY($A378)),$A:$A,0))-1),"")</f>
        <v/>
      </c>
      <c r="M378" s="19">
        <f>IF(OR(E378="",E377=""),"",E378/E377-1)</f>
        <v/>
      </c>
      <c r="N378" s="19">
        <f>IF(OR(F378="",F377=""),"",F378/F377-1)</f>
        <v/>
      </c>
      <c r="O378" s="19">
        <f>IF(OR(G378="",G377=""),"",G378/G377-1)</f>
        <v/>
      </c>
      <c r="P378" s="22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IF(R378="","",P378/R378)</f>
        <v/>
      </c>
      <c r="T378" s="23">
        <f>IF(R378="","",Q378/R378)</f>
        <v/>
      </c>
      <c r="U378" s="24">
        <f>IF(SUMIFS('Daily NSE Equity Options'!$M:$M,'Daily NSE Equity Options'!$A:$A,$A378)=0,"",SUMIFS('Daily NSE Equity Options'!$M:$M,'Daily NSE Equity Options'!$A:$A,$A378))</f>
        <v/>
      </c>
      <c r="V378" s="9">
        <f>IF(SUMIFS('Daily BSE Equity Options'!$M:$M,'Daily BSE Equity Options'!$A:$A,$A378)=0,"",SUMIFS('Daily BSE Equity Options'!$M:$M,'Daily BSE Equity Options'!$A:$A,$A378))</f>
        <v/>
      </c>
      <c r="W378" s="9">
        <f>IF(OR(U378="",V378=""),"",U378+V378)</f>
        <v/>
      </c>
      <c r="X378" s="25">
        <f>IF(W378="","",U378/W378)</f>
        <v/>
      </c>
      <c r="Y378" s="25">
        <f>IF(W378="","",V378/W378)</f>
        <v/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19">
        <f>IF(G379="","",E379/G379)</f>
        <v/>
      </c>
      <c r="I379" s="19">
        <f>IF(G379="","",F379/G379)</f>
        <v/>
      </c>
      <c r="J379" s="26">
        <f>IFERROR(IF(OR(E379="",INDEX(E:E,MATCH(DATE(YEAR($A379)-1,MONTH($A379),DAY($A379)),$A:$A,0))=""),"",E379/INDEX(E:E,MATCH(DATE(YEAR($A379)-1,MONTH($A379),DAY($A379)),$A:$A,0))-1),"")</f>
        <v/>
      </c>
      <c r="K379" s="19">
        <f>IFERROR(IF(OR(F379="",INDEX(F:F,MATCH(DATE(YEAR($A379)-1,MONTH($A379),DAY($A379)),$A:$A,0))=""),"",F379/INDEX(F:F,MATCH(DATE(YEAR($A379)-1,MONTH($A379),DAY($A379)),$A:$A,0))-1),"")</f>
        <v/>
      </c>
      <c r="L379" s="19">
        <f>IFERROR(IF(OR(G379="",INDEX(G:G,MATCH(DATE(YEAR($A379)-1,MONTH($A379),DAY($A379)),$A:$A,0))=""),"",G379/INDEX(G:G,MATCH(DATE(YEAR($A379)-1,MONTH($A379),DAY($A379)),$A:$A,0))-1),"")</f>
        <v/>
      </c>
      <c r="M379" s="19">
        <f>IF(OR(E379="",E378=""),"",E379/E378-1)</f>
        <v/>
      </c>
      <c r="N379" s="19">
        <f>IF(OR(F379="",F378=""),"",F379/F378-1)</f>
        <v/>
      </c>
      <c r="O379" s="19">
        <f>IF(OR(G379="",G378=""),"",G379/G378-1)</f>
        <v/>
      </c>
      <c r="P379" s="22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IF(R379="","",P379/R379)</f>
        <v/>
      </c>
      <c r="T379" s="23">
        <f>IF(R379="","",Q379/R379)</f>
        <v/>
      </c>
      <c r="U379" s="24">
        <f>IF(SUMIFS('Daily NSE Equity Options'!$M:$M,'Daily NSE Equity Options'!$A:$A,$A379)=0,"",SUMIFS('Daily NSE Equity Options'!$M:$M,'Daily NSE Equity Options'!$A:$A,$A379))</f>
        <v/>
      </c>
      <c r="V379" s="9">
        <f>IF(SUMIFS('Daily BSE Equity Options'!$M:$M,'Daily BSE Equity Options'!$A:$A,$A379)=0,"",SUMIFS('Daily BSE Equity Options'!$M:$M,'Daily BSE Equity Options'!$A:$A,$A379))</f>
        <v/>
      </c>
      <c r="W379" s="9">
        <f>IF(OR(U379="",V379=""),"",U379+V379)</f>
        <v/>
      </c>
      <c r="X379" s="25">
        <f>IF(W379="","",U379/W379)</f>
        <v/>
      </c>
      <c r="Y379" s="25">
        <f>IF(W379="","",V379/W379)</f>
        <v/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19">
        <f>IF(G380="","",E380/G380)</f>
        <v/>
      </c>
      <c r="I380" s="19">
        <f>IF(G380="","",F380/G380)</f>
        <v/>
      </c>
      <c r="J380" s="26">
        <f>IFERROR(IF(OR(E380="",INDEX(E:E,MATCH(DATE(YEAR($A380)-1,MONTH($A380),DAY($A380)),$A:$A,0))=""),"",E380/INDEX(E:E,MATCH(DATE(YEAR($A380)-1,MONTH($A380),DAY($A380)),$A:$A,0))-1),"")</f>
        <v/>
      </c>
      <c r="K380" s="19">
        <f>IFERROR(IF(OR(F380="",INDEX(F:F,MATCH(DATE(YEAR($A380)-1,MONTH($A380),DAY($A380)),$A:$A,0))=""),"",F380/INDEX(F:F,MATCH(DATE(YEAR($A380)-1,MONTH($A380),DAY($A380)),$A:$A,0))-1),"")</f>
        <v/>
      </c>
      <c r="L380" s="19">
        <f>IFERROR(IF(OR(G380="",INDEX(G:G,MATCH(DATE(YEAR($A380)-1,MONTH($A380),DAY($A380)),$A:$A,0))=""),"",G380/INDEX(G:G,MATCH(DATE(YEAR($A380)-1,MONTH($A380),DAY($A380)),$A:$A,0))-1),"")</f>
        <v/>
      </c>
      <c r="M380" s="19">
        <f>IF(OR(E380="",E379=""),"",E380/E379-1)</f>
        <v/>
      </c>
      <c r="N380" s="19">
        <f>IF(OR(F380="",F379=""),"",F380/F379-1)</f>
        <v/>
      </c>
      <c r="O380" s="19">
        <f>IF(OR(G380="",G379=""),"",G380/G379-1)</f>
        <v/>
      </c>
      <c r="P380" s="22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IF(R380="","",P380/R380)</f>
        <v/>
      </c>
      <c r="T380" s="23">
        <f>IF(R380="","",Q380/R380)</f>
        <v/>
      </c>
      <c r="U380" s="24">
        <f>IF(SUMIFS('Daily NSE Equity Options'!$M:$M,'Daily NSE Equity Options'!$A:$A,$A380)=0,"",SUMIFS('Daily NSE Equity Options'!$M:$M,'Daily NSE Equity Options'!$A:$A,$A380))</f>
        <v/>
      </c>
      <c r="V380" s="9">
        <f>IF(SUMIFS('Daily BSE Equity Options'!$M:$M,'Daily BSE Equity Options'!$A:$A,$A380)=0,"",SUMIFS('Daily BSE Equity Options'!$M:$M,'Daily BSE Equity Options'!$A:$A,$A380))</f>
        <v/>
      </c>
      <c r="W380" s="9">
        <f>IF(OR(U380="",V380=""),"",U380+V380)</f>
        <v/>
      </c>
      <c r="X380" s="25">
        <f>IF(W380="","",U380/W380)</f>
        <v/>
      </c>
      <c r="Y380" s="25">
        <f>IF(W380="","",V380/W380)</f>
        <v/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19">
        <f>IF(G381="","",E381/G381)</f>
        <v/>
      </c>
      <c r="I381" s="19">
        <f>IF(G381="","",F381/G381)</f>
        <v/>
      </c>
      <c r="J381" s="26">
        <f>IFERROR(IF(OR(E381="",INDEX(E:E,MATCH(DATE(YEAR($A381)-1,MONTH($A381),DAY($A381)),$A:$A,0))=""),"",E381/INDEX(E:E,MATCH(DATE(YEAR($A381)-1,MONTH($A381),DAY($A381)),$A:$A,0))-1),"")</f>
        <v/>
      </c>
      <c r="K381" s="19">
        <f>IFERROR(IF(OR(F381="",INDEX(F:F,MATCH(DATE(YEAR($A381)-1,MONTH($A381),DAY($A381)),$A:$A,0))=""),"",F381/INDEX(F:F,MATCH(DATE(YEAR($A381)-1,MONTH($A381),DAY($A381)),$A:$A,0))-1),"")</f>
        <v/>
      </c>
      <c r="L381" s="19">
        <f>IFERROR(IF(OR(G381="",INDEX(G:G,MATCH(DATE(YEAR($A381)-1,MONTH($A381),DAY($A381)),$A:$A,0))=""),"",G381/INDEX(G:G,MATCH(DATE(YEAR($A381)-1,MONTH($A381),DAY($A381)),$A:$A,0))-1),"")</f>
        <v/>
      </c>
      <c r="M381" s="19">
        <f>IF(OR(E381="",E380=""),"",E381/E380-1)</f>
        <v/>
      </c>
      <c r="N381" s="19">
        <f>IF(OR(F381="",F380=""),"",F381/F380-1)</f>
        <v/>
      </c>
      <c r="O381" s="19">
        <f>IF(OR(G381="",G380=""),"",G381/G380-1)</f>
        <v/>
      </c>
      <c r="P381" s="22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IF(R381="","",P381/R381)</f>
        <v/>
      </c>
      <c r="T381" s="23">
        <f>IF(R381="","",Q381/R381)</f>
        <v/>
      </c>
      <c r="U381" s="24">
        <f>IF(SUMIFS('Daily NSE Equity Options'!$M:$M,'Daily NSE Equity Options'!$A:$A,$A381)=0,"",SUMIFS('Daily NSE Equity Options'!$M:$M,'Daily NSE Equity Options'!$A:$A,$A381))</f>
        <v/>
      </c>
      <c r="V381" s="9">
        <f>IF(SUMIFS('Daily BSE Equity Options'!$M:$M,'Daily BSE Equity Options'!$A:$A,$A381)=0,"",SUMIFS('Daily BSE Equity Options'!$M:$M,'Daily BSE Equity Options'!$A:$A,$A381))</f>
        <v/>
      </c>
      <c r="W381" s="9">
        <f>IF(OR(U381="",V381=""),"",U381+V381)</f>
        <v/>
      </c>
      <c r="X381" s="25">
        <f>IF(W381="","",U381/W381)</f>
        <v/>
      </c>
      <c r="Y381" s="25">
        <f>IF(W381="","",V381/W381)</f>
        <v/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19">
        <f>IF(G382="","",E382/G382)</f>
        <v/>
      </c>
      <c r="I382" s="19">
        <f>IF(G382="","",F382/G382)</f>
        <v/>
      </c>
      <c r="J382" s="26">
        <f>IFERROR(IF(OR(E382="",INDEX(E:E,MATCH(DATE(YEAR($A382)-1,MONTH($A382),DAY($A382)),$A:$A,0))=""),"",E382/INDEX(E:E,MATCH(DATE(YEAR($A382)-1,MONTH($A382),DAY($A382)),$A:$A,0))-1),"")</f>
        <v/>
      </c>
      <c r="K382" s="19">
        <f>IFERROR(IF(OR(F382="",INDEX(F:F,MATCH(DATE(YEAR($A382)-1,MONTH($A382),DAY($A382)),$A:$A,0))=""),"",F382/INDEX(F:F,MATCH(DATE(YEAR($A382)-1,MONTH($A382),DAY($A382)),$A:$A,0))-1),"")</f>
        <v/>
      </c>
      <c r="L382" s="19">
        <f>IFERROR(IF(OR(G382="",INDEX(G:G,MATCH(DATE(YEAR($A382)-1,MONTH($A382),DAY($A382)),$A:$A,0))=""),"",G382/INDEX(G:G,MATCH(DATE(YEAR($A382)-1,MONTH($A382),DAY($A382)),$A:$A,0))-1),"")</f>
        <v/>
      </c>
      <c r="M382" s="19">
        <f>IF(OR(E382="",E381=""),"",E382/E381-1)</f>
        <v/>
      </c>
      <c r="N382" s="19">
        <f>IF(OR(F382="",F381=""),"",F382/F381-1)</f>
        <v/>
      </c>
      <c r="O382" s="19">
        <f>IF(OR(G382="",G381=""),"",G382/G381-1)</f>
        <v/>
      </c>
      <c r="P382" s="22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IF(R382="","",P382/R382)</f>
        <v/>
      </c>
      <c r="T382" s="23">
        <f>IF(R382="","",Q382/R382)</f>
        <v/>
      </c>
      <c r="U382" s="24">
        <f>IF(SUMIFS('Daily NSE Equity Options'!$M:$M,'Daily NSE Equity Options'!$A:$A,$A382)=0,"",SUMIFS('Daily NSE Equity Options'!$M:$M,'Daily NSE Equity Options'!$A:$A,$A382))</f>
        <v/>
      </c>
      <c r="V382" s="9">
        <f>IF(SUMIFS('Daily BSE Equity Options'!$M:$M,'Daily BSE Equity Options'!$A:$A,$A382)=0,"",SUMIFS('Daily BSE Equity Options'!$M:$M,'Daily BSE Equity Options'!$A:$A,$A382))</f>
        <v/>
      </c>
      <c r="W382" s="9">
        <f>IF(OR(U382="",V382=""),"",U382+V382)</f>
        <v/>
      </c>
      <c r="X382" s="25">
        <f>IF(W382="","",U382/W382)</f>
        <v/>
      </c>
      <c r="Y382" s="25">
        <f>IF(W382="","",V382/W382)</f>
        <v/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19">
        <f>IF(G383="","",E383/G383)</f>
        <v/>
      </c>
      <c r="I383" s="19">
        <f>IF(G383="","",F383/G383)</f>
        <v/>
      </c>
      <c r="J383" s="26">
        <f>IFERROR(IF(OR(E383="",INDEX(E:E,MATCH(DATE(YEAR($A383)-1,MONTH($A383),DAY($A383)),$A:$A,0))=""),"",E383/INDEX(E:E,MATCH(DATE(YEAR($A383)-1,MONTH($A383),DAY($A383)),$A:$A,0))-1),"")</f>
        <v/>
      </c>
      <c r="K383" s="19">
        <f>IFERROR(IF(OR(F383="",INDEX(F:F,MATCH(DATE(YEAR($A383)-1,MONTH($A383),DAY($A383)),$A:$A,0))=""),"",F383/INDEX(F:F,MATCH(DATE(YEAR($A383)-1,MONTH($A383),DAY($A383)),$A:$A,0))-1),"")</f>
        <v/>
      </c>
      <c r="L383" s="19">
        <f>IFERROR(IF(OR(G383="",INDEX(G:G,MATCH(DATE(YEAR($A383)-1,MONTH($A383),DAY($A383)),$A:$A,0))=""),"",G383/INDEX(G:G,MATCH(DATE(YEAR($A383)-1,MONTH($A383),DAY($A383)),$A:$A,0))-1),"")</f>
        <v/>
      </c>
      <c r="M383" s="19">
        <f>IF(OR(E383="",E382=""),"",E383/E382-1)</f>
        <v/>
      </c>
      <c r="N383" s="19">
        <f>IF(OR(F383="",F382=""),"",F383/F382-1)</f>
        <v/>
      </c>
      <c r="O383" s="19">
        <f>IF(OR(G383="",G382=""),"",G383/G382-1)</f>
        <v/>
      </c>
      <c r="P383" s="22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IF(R383="","",P383/R383)</f>
        <v/>
      </c>
      <c r="T383" s="23">
        <f>IF(R383="","",Q383/R383)</f>
        <v/>
      </c>
      <c r="U383" s="24">
        <f>IF(SUMIFS('Daily NSE Equity Options'!$M:$M,'Daily NSE Equity Options'!$A:$A,$A383)=0,"",SUMIFS('Daily NSE Equity Options'!$M:$M,'Daily NSE Equity Options'!$A:$A,$A383))</f>
        <v/>
      </c>
      <c r="V383" s="9">
        <f>IF(SUMIFS('Daily BSE Equity Options'!$M:$M,'Daily BSE Equity Options'!$A:$A,$A383)=0,"",SUMIFS('Daily BSE Equity Options'!$M:$M,'Daily BSE Equity Options'!$A:$A,$A383))</f>
        <v/>
      </c>
      <c r="W383" s="9">
        <f>IF(OR(U383="",V383=""),"",U383+V383)</f>
        <v/>
      </c>
      <c r="X383" s="25">
        <f>IF(W383="","",U383/W383)</f>
        <v/>
      </c>
      <c r="Y383" s="25">
        <f>IF(W383="","",V383/W383)</f>
        <v/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19">
        <f>IF(G384="","",E384/G384)</f>
        <v/>
      </c>
      <c r="I384" s="19">
        <f>IF(G384="","",F384/G384)</f>
        <v/>
      </c>
      <c r="J384" s="26">
        <f>IFERROR(IF(OR(E384="",INDEX(E:E,MATCH(DATE(YEAR($A384)-1,MONTH($A384),DAY($A384)),$A:$A,0))=""),"",E384/INDEX(E:E,MATCH(DATE(YEAR($A384)-1,MONTH($A384),DAY($A384)),$A:$A,0))-1),"")</f>
        <v/>
      </c>
      <c r="K384" s="19">
        <f>IFERROR(IF(OR(F384="",INDEX(F:F,MATCH(DATE(YEAR($A384)-1,MONTH($A384),DAY($A384)),$A:$A,0))=""),"",F384/INDEX(F:F,MATCH(DATE(YEAR($A384)-1,MONTH($A384),DAY($A384)),$A:$A,0))-1),"")</f>
        <v/>
      </c>
      <c r="L384" s="19">
        <f>IFERROR(IF(OR(G384="",INDEX(G:G,MATCH(DATE(YEAR($A384)-1,MONTH($A384),DAY($A384)),$A:$A,0))=""),"",G384/INDEX(G:G,MATCH(DATE(YEAR($A384)-1,MONTH($A384),DAY($A384)),$A:$A,0))-1),"")</f>
        <v/>
      </c>
      <c r="M384" s="19">
        <f>IF(OR(E384="",E383=""),"",E384/E383-1)</f>
        <v/>
      </c>
      <c r="N384" s="19">
        <f>IF(OR(F384="",F383=""),"",F384/F383-1)</f>
        <v/>
      </c>
      <c r="O384" s="19">
        <f>IF(OR(G384="",G383=""),"",G384/G383-1)</f>
        <v/>
      </c>
      <c r="P384" s="22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IF(R384="","",P384/R384)</f>
        <v/>
      </c>
      <c r="T384" s="23">
        <f>IF(R384="","",Q384/R384)</f>
        <v/>
      </c>
      <c r="U384" s="24">
        <f>IF(SUMIFS('Daily NSE Equity Options'!$M:$M,'Daily NSE Equity Options'!$A:$A,$A384)=0,"",SUMIFS('Daily NSE Equity Options'!$M:$M,'Daily NSE Equity Options'!$A:$A,$A384))</f>
        <v/>
      </c>
      <c r="V384" s="9">
        <f>IF(SUMIFS('Daily BSE Equity Options'!$M:$M,'Daily BSE Equity Options'!$A:$A,$A384)=0,"",SUMIFS('Daily BSE Equity Options'!$M:$M,'Daily BSE Equity Options'!$A:$A,$A384))</f>
        <v/>
      </c>
      <c r="W384" s="9">
        <f>IF(OR(U384="",V384=""),"",U384+V384)</f>
        <v/>
      </c>
      <c r="X384" s="25">
        <f>IF(W384="","",U384/W384)</f>
        <v/>
      </c>
      <c r="Y384" s="25">
        <f>IF(W384="","",V384/W384)</f>
        <v/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19">
        <f>IF(G385="","",E385/G385)</f>
        <v/>
      </c>
      <c r="I385" s="19">
        <f>IF(G385="","",F385/G385)</f>
        <v/>
      </c>
      <c r="J385" s="26">
        <f>IFERROR(IF(OR(E385="",INDEX(E:E,MATCH(DATE(YEAR($A385)-1,MONTH($A385),DAY($A385)),$A:$A,0))=""),"",E385/INDEX(E:E,MATCH(DATE(YEAR($A385)-1,MONTH($A385),DAY($A385)),$A:$A,0))-1),"")</f>
        <v/>
      </c>
      <c r="K385" s="19">
        <f>IFERROR(IF(OR(F385="",INDEX(F:F,MATCH(DATE(YEAR($A385)-1,MONTH($A385),DAY($A385)),$A:$A,0))=""),"",F385/INDEX(F:F,MATCH(DATE(YEAR($A385)-1,MONTH($A385),DAY($A385)),$A:$A,0))-1),"")</f>
        <v/>
      </c>
      <c r="L385" s="19">
        <f>IFERROR(IF(OR(G385="",INDEX(G:G,MATCH(DATE(YEAR($A385)-1,MONTH($A385),DAY($A385)),$A:$A,0))=""),"",G385/INDEX(G:G,MATCH(DATE(YEAR($A385)-1,MONTH($A385),DAY($A385)),$A:$A,0))-1),"")</f>
        <v/>
      </c>
      <c r="M385" s="19">
        <f>IF(OR(E385="",E384=""),"",E385/E384-1)</f>
        <v/>
      </c>
      <c r="N385" s="19">
        <f>IF(OR(F385="",F384=""),"",F385/F384-1)</f>
        <v/>
      </c>
      <c r="O385" s="19">
        <f>IF(OR(G385="",G384=""),"",G385/G384-1)</f>
        <v/>
      </c>
      <c r="P385" s="22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IF(R385="","",P385/R385)</f>
        <v/>
      </c>
      <c r="T385" s="23">
        <f>IF(R385="","",Q385/R385)</f>
        <v/>
      </c>
      <c r="U385" s="24">
        <f>IF(SUMIFS('Daily NSE Equity Options'!$M:$M,'Daily NSE Equity Options'!$A:$A,$A385)=0,"",SUMIFS('Daily NSE Equity Options'!$M:$M,'Daily NSE Equity Options'!$A:$A,$A385))</f>
        <v/>
      </c>
      <c r="V385" s="9">
        <f>IF(SUMIFS('Daily BSE Equity Options'!$M:$M,'Daily BSE Equity Options'!$A:$A,$A385)=0,"",SUMIFS('Daily BSE Equity Options'!$M:$M,'Daily BSE Equity Options'!$A:$A,$A385))</f>
        <v/>
      </c>
      <c r="W385" s="9">
        <f>IF(OR(U385="",V385=""),"",U385+V385)</f>
        <v/>
      </c>
      <c r="X385" s="25">
        <f>IF(W385="","",U385/W385)</f>
        <v/>
      </c>
      <c r="Y385" s="25">
        <f>IF(W385="","",V385/W385)</f>
        <v/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19">
        <f>IF(G386="","",E386/G386)</f>
        <v/>
      </c>
      <c r="I386" s="19">
        <f>IF(G386="","",F386/G386)</f>
        <v/>
      </c>
      <c r="J386" s="26">
        <f>IFERROR(IF(OR(E386="",INDEX(E:E,MATCH(DATE(YEAR($A386)-1,MONTH($A386),DAY($A386)),$A:$A,0))=""),"",E386/INDEX(E:E,MATCH(DATE(YEAR($A386)-1,MONTH($A386),DAY($A386)),$A:$A,0))-1),"")</f>
        <v/>
      </c>
      <c r="K386" s="19">
        <f>IFERROR(IF(OR(F386="",INDEX(F:F,MATCH(DATE(YEAR($A386)-1,MONTH($A386),DAY($A386)),$A:$A,0))=""),"",F386/INDEX(F:F,MATCH(DATE(YEAR($A386)-1,MONTH($A386),DAY($A386)),$A:$A,0))-1),"")</f>
        <v/>
      </c>
      <c r="L386" s="19">
        <f>IFERROR(IF(OR(G386="",INDEX(G:G,MATCH(DATE(YEAR($A386)-1,MONTH($A386),DAY($A386)),$A:$A,0))=""),"",G386/INDEX(G:G,MATCH(DATE(YEAR($A386)-1,MONTH($A386),DAY($A386)),$A:$A,0))-1),"")</f>
        <v/>
      </c>
      <c r="M386" s="19">
        <f>IF(OR(E386="",E385=""),"",E386/E385-1)</f>
        <v/>
      </c>
      <c r="N386" s="19">
        <f>IF(OR(F386="",F385=""),"",F386/F385-1)</f>
        <v/>
      </c>
      <c r="O386" s="19">
        <f>IF(OR(G386="",G385=""),"",G386/G385-1)</f>
        <v/>
      </c>
      <c r="P386" s="22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IF(R386="","",P386/R386)</f>
        <v/>
      </c>
      <c r="T386" s="23">
        <f>IF(R386="","",Q386/R386)</f>
        <v/>
      </c>
      <c r="U386" s="24">
        <f>IF(SUMIFS('Daily NSE Equity Options'!$M:$M,'Daily NSE Equity Options'!$A:$A,$A386)=0,"",SUMIFS('Daily NSE Equity Options'!$M:$M,'Daily NSE Equity Options'!$A:$A,$A386))</f>
        <v/>
      </c>
      <c r="V386" s="9">
        <f>IF(SUMIFS('Daily BSE Equity Options'!$M:$M,'Daily BSE Equity Options'!$A:$A,$A386)=0,"",SUMIFS('Daily BSE Equity Options'!$M:$M,'Daily BSE Equity Options'!$A:$A,$A386))</f>
        <v/>
      </c>
      <c r="W386" s="9">
        <f>IF(OR(U386="",V386=""),"",U386+V386)</f>
        <v/>
      </c>
      <c r="X386" s="25">
        <f>IF(W386="","",U386/W386)</f>
        <v/>
      </c>
      <c r="Y386" s="25">
        <f>IF(W386="","",V386/W386)</f>
        <v/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19">
        <f>IF(G387="","",E387/G387)</f>
        <v/>
      </c>
      <c r="I387" s="19">
        <f>IF(G387="","",F387/G387)</f>
        <v/>
      </c>
      <c r="J387" s="26">
        <f>IFERROR(IF(OR(E387="",INDEX(E:E,MATCH(DATE(YEAR($A387)-1,MONTH($A387),DAY($A387)),$A:$A,0))=""),"",E387/INDEX(E:E,MATCH(DATE(YEAR($A387)-1,MONTH($A387),DAY($A387)),$A:$A,0))-1),"")</f>
        <v/>
      </c>
      <c r="K387" s="19">
        <f>IFERROR(IF(OR(F387="",INDEX(F:F,MATCH(DATE(YEAR($A387)-1,MONTH($A387),DAY($A387)),$A:$A,0))=""),"",F387/INDEX(F:F,MATCH(DATE(YEAR($A387)-1,MONTH($A387),DAY($A387)),$A:$A,0))-1),"")</f>
        <v/>
      </c>
      <c r="L387" s="19">
        <f>IFERROR(IF(OR(G387="",INDEX(G:G,MATCH(DATE(YEAR($A387)-1,MONTH($A387),DAY($A387)),$A:$A,0))=""),"",G387/INDEX(G:G,MATCH(DATE(YEAR($A387)-1,MONTH($A387),DAY($A387)),$A:$A,0))-1),"")</f>
        <v/>
      </c>
      <c r="M387" s="19">
        <f>IF(OR(E387="",E386=""),"",E387/E386-1)</f>
        <v/>
      </c>
      <c r="N387" s="19">
        <f>IF(OR(F387="",F386=""),"",F387/F386-1)</f>
        <v/>
      </c>
      <c r="O387" s="19">
        <f>IF(OR(G387="",G386=""),"",G387/G386-1)</f>
        <v/>
      </c>
      <c r="P387" s="22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IF(R387="","",P387/R387)</f>
        <v/>
      </c>
      <c r="T387" s="23">
        <f>IF(R387="","",Q387/R387)</f>
        <v/>
      </c>
      <c r="U387" s="24">
        <f>IF(SUMIFS('Daily NSE Equity Options'!$M:$M,'Daily NSE Equity Options'!$A:$A,$A387)=0,"",SUMIFS('Daily NSE Equity Options'!$M:$M,'Daily NSE Equity Options'!$A:$A,$A387))</f>
        <v/>
      </c>
      <c r="V387" s="9">
        <f>IF(SUMIFS('Daily BSE Equity Options'!$M:$M,'Daily BSE Equity Options'!$A:$A,$A387)=0,"",SUMIFS('Daily BSE Equity Options'!$M:$M,'Daily BSE Equity Options'!$A:$A,$A387))</f>
        <v/>
      </c>
      <c r="W387" s="9">
        <f>IF(OR(U387="",V387=""),"",U387+V387)</f>
        <v/>
      </c>
      <c r="X387" s="25">
        <f>IF(W387="","",U387/W387)</f>
        <v/>
      </c>
      <c r="Y387" s="25">
        <f>IF(W387="","",V387/W387)</f>
        <v/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19">
        <f>IF(G388="","",E388/G388)</f>
        <v/>
      </c>
      <c r="I388" s="19">
        <f>IF(G388="","",F388/G388)</f>
        <v/>
      </c>
      <c r="J388" s="26">
        <f>IFERROR(IF(OR(E388="",INDEX(E:E,MATCH(DATE(YEAR($A388)-1,MONTH($A388),DAY($A388)),$A:$A,0))=""),"",E388/INDEX(E:E,MATCH(DATE(YEAR($A388)-1,MONTH($A388),DAY($A388)),$A:$A,0))-1),"")</f>
        <v/>
      </c>
      <c r="K388" s="19">
        <f>IFERROR(IF(OR(F388="",INDEX(F:F,MATCH(DATE(YEAR($A388)-1,MONTH($A388),DAY($A388)),$A:$A,0))=""),"",F388/INDEX(F:F,MATCH(DATE(YEAR($A388)-1,MONTH($A388),DAY($A388)),$A:$A,0))-1),"")</f>
        <v/>
      </c>
      <c r="L388" s="19">
        <f>IFERROR(IF(OR(G388="",INDEX(G:G,MATCH(DATE(YEAR($A388)-1,MONTH($A388),DAY($A388)),$A:$A,0))=""),"",G388/INDEX(G:G,MATCH(DATE(YEAR($A388)-1,MONTH($A388),DAY($A388)),$A:$A,0))-1),"")</f>
        <v/>
      </c>
      <c r="M388" s="19">
        <f>IF(OR(E388="",E387=""),"",E388/E387-1)</f>
        <v/>
      </c>
      <c r="N388" s="19">
        <f>IF(OR(F388="",F387=""),"",F388/F387-1)</f>
        <v/>
      </c>
      <c r="O388" s="19">
        <f>IF(OR(G388="",G387=""),"",G388/G387-1)</f>
        <v/>
      </c>
      <c r="P388" s="22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IF(R388="","",P388/R388)</f>
        <v/>
      </c>
      <c r="T388" s="23">
        <f>IF(R388="","",Q388/R388)</f>
        <v/>
      </c>
      <c r="U388" s="24">
        <f>IF(SUMIFS('Daily NSE Equity Options'!$M:$M,'Daily NSE Equity Options'!$A:$A,$A388)=0,"",SUMIFS('Daily NSE Equity Options'!$M:$M,'Daily NSE Equity Options'!$A:$A,$A388))</f>
        <v/>
      </c>
      <c r="V388" s="9">
        <f>IF(SUMIFS('Daily BSE Equity Options'!$M:$M,'Daily BSE Equity Options'!$A:$A,$A388)=0,"",SUMIFS('Daily BSE Equity Options'!$M:$M,'Daily BSE Equity Options'!$A:$A,$A388))</f>
        <v/>
      </c>
      <c r="W388" s="9">
        <f>IF(OR(U388="",V388=""),"",U388+V388)</f>
        <v/>
      </c>
      <c r="X388" s="25">
        <f>IF(W388="","",U388/W388)</f>
        <v/>
      </c>
      <c r="Y388" s="25">
        <f>IF(W388="","",V388/W388)</f>
        <v/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19">
        <f>IF(G389="","",E389/G389)</f>
        <v/>
      </c>
      <c r="I389" s="19">
        <f>IF(G389="","",F389/G389)</f>
        <v/>
      </c>
      <c r="J389" s="26">
        <f>IFERROR(IF(OR(E389="",INDEX(E:E,MATCH(DATE(YEAR($A389)-1,MONTH($A389),DAY($A389)),$A:$A,0))=""),"",E389/INDEX(E:E,MATCH(DATE(YEAR($A389)-1,MONTH($A389),DAY($A389)),$A:$A,0))-1),"")</f>
        <v/>
      </c>
      <c r="K389" s="19">
        <f>IFERROR(IF(OR(F389="",INDEX(F:F,MATCH(DATE(YEAR($A389)-1,MONTH($A389),DAY($A389)),$A:$A,0))=""),"",F389/INDEX(F:F,MATCH(DATE(YEAR($A389)-1,MONTH($A389),DAY($A389)),$A:$A,0))-1),"")</f>
        <v/>
      </c>
      <c r="L389" s="19">
        <f>IFERROR(IF(OR(G389="",INDEX(G:G,MATCH(DATE(YEAR($A389)-1,MONTH($A389),DAY($A389)),$A:$A,0))=""),"",G389/INDEX(G:G,MATCH(DATE(YEAR($A389)-1,MONTH($A389),DAY($A389)),$A:$A,0))-1),"")</f>
        <v/>
      </c>
      <c r="M389" s="19">
        <f>IF(OR(E389="",E388=""),"",E389/E388-1)</f>
        <v/>
      </c>
      <c r="N389" s="19">
        <f>IF(OR(F389="",F388=""),"",F389/F388-1)</f>
        <v/>
      </c>
      <c r="O389" s="19">
        <f>IF(OR(G389="",G388=""),"",G389/G388-1)</f>
        <v/>
      </c>
      <c r="P389" s="22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IF(R389="","",P389/R389)</f>
        <v/>
      </c>
      <c r="T389" s="23">
        <f>IF(R389="","",Q389/R389)</f>
        <v/>
      </c>
      <c r="U389" s="24">
        <f>IF(SUMIFS('Daily NSE Equity Options'!$M:$M,'Daily NSE Equity Options'!$A:$A,$A389)=0,"",SUMIFS('Daily NSE Equity Options'!$M:$M,'Daily NSE Equity Options'!$A:$A,$A389))</f>
        <v/>
      </c>
      <c r="V389" s="9">
        <f>IF(SUMIFS('Daily BSE Equity Options'!$M:$M,'Daily BSE Equity Options'!$A:$A,$A389)=0,"",SUMIFS('Daily BSE Equity Options'!$M:$M,'Daily BSE Equity Options'!$A:$A,$A389))</f>
        <v/>
      </c>
      <c r="W389" s="9">
        <f>IF(OR(U389="",V389=""),"",U389+V389)</f>
        <v/>
      </c>
      <c r="X389" s="25">
        <f>IF(W389="","",U389/W389)</f>
        <v/>
      </c>
      <c r="Y389" s="25">
        <f>IF(W389="","",V389/W389)</f>
        <v/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19">
        <f>IF(G390="","",E390/G390)</f>
        <v/>
      </c>
      <c r="I390" s="19">
        <f>IF(G390="","",F390/G390)</f>
        <v/>
      </c>
      <c r="J390" s="26">
        <f>IFERROR(IF(OR(E390="",INDEX(E:E,MATCH(DATE(YEAR($A390)-1,MONTH($A390),DAY($A390)),$A:$A,0))=""),"",E390/INDEX(E:E,MATCH(DATE(YEAR($A390)-1,MONTH($A390),DAY($A390)),$A:$A,0))-1),"")</f>
        <v/>
      </c>
      <c r="K390" s="19">
        <f>IFERROR(IF(OR(F390="",INDEX(F:F,MATCH(DATE(YEAR($A390)-1,MONTH($A390),DAY($A390)),$A:$A,0))=""),"",F390/INDEX(F:F,MATCH(DATE(YEAR($A390)-1,MONTH($A390),DAY($A390)),$A:$A,0))-1),"")</f>
        <v/>
      </c>
      <c r="L390" s="19">
        <f>IFERROR(IF(OR(G390="",INDEX(G:G,MATCH(DATE(YEAR($A390)-1,MONTH($A390),DAY($A390)),$A:$A,0))=""),"",G390/INDEX(G:G,MATCH(DATE(YEAR($A390)-1,MONTH($A390),DAY($A390)),$A:$A,0))-1),"")</f>
        <v/>
      </c>
      <c r="M390" s="19">
        <f>IF(OR(E390="",E389=""),"",E390/E389-1)</f>
        <v/>
      </c>
      <c r="N390" s="19">
        <f>IF(OR(F390="",F389=""),"",F390/F389-1)</f>
        <v/>
      </c>
      <c r="O390" s="19">
        <f>IF(OR(G390="",G389=""),"",G390/G389-1)</f>
        <v/>
      </c>
      <c r="P390" s="22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IF(R390="","",P390/R390)</f>
        <v/>
      </c>
      <c r="T390" s="23">
        <f>IF(R390="","",Q390/R390)</f>
        <v/>
      </c>
      <c r="U390" s="24">
        <f>IF(SUMIFS('Daily NSE Equity Options'!$M:$M,'Daily NSE Equity Options'!$A:$A,$A390)=0,"",SUMIFS('Daily NSE Equity Options'!$M:$M,'Daily NSE Equity Options'!$A:$A,$A390))</f>
        <v/>
      </c>
      <c r="V390" s="9">
        <f>IF(SUMIFS('Daily BSE Equity Options'!$M:$M,'Daily BSE Equity Options'!$A:$A,$A390)=0,"",SUMIFS('Daily BSE Equity Options'!$M:$M,'Daily BSE Equity Options'!$A:$A,$A390))</f>
        <v/>
      </c>
      <c r="W390" s="9">
        <f>IF(OR(U390="",V390=""),"",U390+V390)</f>
        <v/>
      </c>
      <c r="X390" s="25">
        <f>IF(W390="","",U390/W390)</f>
        <v/>
      </c>
      <c r="Y390" s="25">
        <f>IF(W390="","",V390/W390)</f>
        <v/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19">
        <f>IF(G391="","",E391/G391)</f>
        <v/>
      </c>
      <c r="I391" s="19">
        <f>IF(G391="","",F391/G391)</f>
        <v/>
      </c>
      <c r="J391" s="26">
        <f>IFERROR(IF(OR(E391="",INDEX(E:E,MATCH(DATE(YEAR($A391)-1,MONTH($A391),DAY($A391)),$A:$A,0))=""),"",E391/INDEX(E:E,MATCH(DATE(YEAR($A391)-1,MONTH($A391),DAY($A391)),$A:$A,0))-1),"")</f>
        <v/>
      </c>
      <c r="K391" s="19">
        <f>IFERROR(IF(OR(F391="",INDEX(F:F,MATCH(DATE(YEAR($A391)-1,MONTH($A391),DAY($A391)),$A:$A,0))=""),"",F391/INDEX(F:F,MATCH(DATE(YEAR($A391)-1,MONTH($A391),DAY($A391)),$A:$A,0))-1),"")</f>
        <v/>
      </c>
      <c r="L391" s="19">
        <f>IFERROR(IF(OR(G391="",INDEX(G:G,MATCH(DATE(YEAR($A391)-1,MONTH($A391),DAY($A391)),$A:$A,0))=""),"",G391/INDEX(G:G,MATCH(DATE(YEAR($A391)-1,MONTH($A391),DAY($A391)),$A:$A,0))-1),"")</f>
        <v/>
      </c>
      <c r="M391" s="19">
        <f>IF(OR(E391="",E390=""),"",E391/E390-1)</f>
        <v/>
      </c>
      <c r="N391" s="19">
        <f>IF(OR(F391="",F390=""),"",F391/F390-1)</f>
        <v/>
      </c>
      <c r="O391" s="19">
        <f>IF(OR(G391="",G390=""),"",G391/G390-1)</f>
        <v/>
      </c>
      <c r="P391" s="22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IF(R391="","",P391/R391)</f>
        <v/>
      </c>
      <c r="T391" s="23">
        <f>IF(R391="","",Q391/R391)</f>
        <v/>
      </c>
      <c r="U391" s="24">
        <f>IF(SUMIFS('Daily NSE Equity Options'!$M:$M,'Daily NSE Equity Options'!$A:$A,$A391)=0,"",SUMIFS('Daily NSE Equity Options'!$M:$M,'Daily NSE Equity Options'!$A:$A,$A391))</f>
        <v/>
      </c>
      <c r="V391" s="9">
        <f>IF(SUMIFS('Daily BSE Equity Options'!$M:$M,'Daily BSE Equity Options'!$A:$A,$A391)=0,"",SUMIFS('Daily BSE Equity Options'!$M:$M,'Daily BSE Equity Options'!$A:$A,$A391))</f>
        <v/>
      </c>
      <c r="W391" s="9">
        <f>IF(OR(U391="",V391=""),"",U391+V391)</f>
        <v/>
      </c>
      <c r="X391" s="25">
        <f>IF(W391="","",U391/W391)</f>
        <v/>
      </c>
      <c r="Y391" s="25">
        <f>IF(W391="","",V391/W391)</f>
        <v/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19">
        <f>IF(G392="","",E392/G392)</f>
        <v/>
      </c>
      <c r="I392" s="19">
        <f>IF(G392="","",F392/G392)</f>
        <v/>
      </c>
      <c r="J392" s="26">
        <f>IFERROR(IF(OR(E392="",INDEX(E:E,MATCH(DATE(YEAR($A392)-1,MONTH($A392),DAY($A392)),$A:$A,0))=""),"",E392/INDEX(E:E,MATCH(DATE(YEAR($A392)-1,MONTH($A392),DAY($A392)),$A:$A,0))-1),"")</f>
        <v/>
      </c>
      <c r="K392" s="19">
        <f>IFERROR(IF(OR(F392="",INDEX(F:F,MATCH(DATE(YEAR($A392)-1,MONTH($A392),DAY($A392)),$A:$A,0))=""),"",F392/INDEX(F:F,MATCH(DATE(YEAR($A392)-1,MONTH($A392),DAY($A392)),$A:$A,0))-1),"")</f>
        <v/>
      </c>
      <c r="L392" s="19">
        <f>IFERROR(IF(OR(G392="",INDEX(G:G,MATCH(DATE(YEAR($A392)-1,MONTH($A392),DAY($A392)),$A:$A,0))=""),"",G392/INDEX(G:G,MATCH(DATE(YEAR($A392)-1,MONTH($A392),DAY($A392)),$A:$A,0))-1),"")</f>
        <v/>
      </c>
      <c r="M392" s="19">
        <f>IF(OR(E392="",E391=""),"",E392/E391-1)</f>
        <v/>
      </c>
      <c r="N392" s="19">
        <f>IF(OR(F392="",F391=""),"",F392/F391-1)</f>
        <v/>
      </c>
      <c r="O392" s="19">
        <f>IF(OR(G392="",G391=""),"",G392/G391-1)</f>
        <v/>
      </c>
      <c r="P392" s="22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IF(R392="","",P392/R392)</f>
        <v/>
      </c>
      <c r="T392" s="23">
        <f>IF(R392="","",Q392/R392)</f>
        <v/>
      </c>
      <c r="U392" s="24">
        <f>IF(SUMIFS('Daily NSE Equity Options'!$M:$M,'Daily NSE Equity Options'!$A:$A,$A392)=0,"",SUMIFS('Daily NSE Equity Options'!$M:$M,'Daily NSE Equity Options'!$A:$A,$A392))</f>
        <v/>
      </c>
      <c r="V392" s="9">
        <f>IF(SUMIFS('Daily BSE Equity Options'!$M:$M,'Daily BSE Equity Options'!$A:$A,$A392)=0,"",SUMIFS('Daily BSE Equity Options'!$M:$M,'Daily BSE Equity Options'!$A:$A,$A392))</f>
        <v/>
      </c>
      <c r="W392" s="9">
        <f>IF(OR(U392="",V392=""),"",U392+V392)</f>
        <v/>
      </c>
      <c r="X392" s="25">
        <f>IF(W392="","",U392/W392)</f>
        <v/>
      </c>
      <c r="Y392" s="25">
        <f>IF(W392="","",V392/W392)</f>
        <v/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19">
        <f>IF(G393="","",E393/G393)</f>
        <v/>
      </c>
      <c r="I393" s="19">
        <f>IF(G393="","",F393/G393)</f>
        <v/>
      </c>
      <c r="J393" s="26">
        <f>IFERROR(IF(OR(E393="",INDEX(E:E,MATCH(DATE(YEAR($A393)-1,MONTH($A393),DAY($A393)),$A:$A,0))=""),"",E393/INDEX(E:E,MATCH(DATE(YEAR($A393)-1,MONTH($A393),DAY($A393)),$A:$A,0))-1),"")</f>
        <v/>
      </c>
      <c r="K393" s="19">
        <f>IFERROR(IF(OR(F393="",INDEX(F:F,MATCH(DATE(YEAR($A393)-1,MONTH($A393),DAY($A393)),$A:$A,0))=""),"",F393/INDEX(F:F,MATCH(DATE(YEAR($A393)-1,MONTH($A393),DAY($A393)),$A:$A,0))-1),"")</f>
        <v/>
      </c>
      <c r="L393" s="19">
        <f>IFERROR(IF(OR(G393="",INDEX(G:G,MATCH(DATE(YEAR($A393)-1,MONTH($A393),DAY($A393)),$A:$A,0))=""),"",G393/INDEX(G:G,MATCH(DATE(YEAR($A393)-1,MONTH($A393),DAY($A393)),$A:$A,0))-1),"")</f>
        <v/>
      </c>
      <c r="M393" s="19">
        <f>IF(OR(E393="",E392=""),"",E393/E392-1)</f>
        <v/>
      </c>
      <c r="N393" s="19">
        <f>IF(OR(F393="",F392=""),"",F393/F392-1)</f>
        <v/>
      </c>
      <c r="O393" s="19">
        <f>IF(OR(G393="",G392=""),"",G393/G392-1)</f>
        <v/>
      </c>
      <c r="P393" s="22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IF(R393="","",P393/R393)</f>
        <v/>
      </c>
      <c r="T393" s="23">
        <f>IF(R393="","",Q393/R393)</f>
        <v/>
      </c>
      <c r="U393" s="24">
        <f>IF(SUMIFS('Daily NSE Equity Options'!$M:$M,'Daily NSE Equity Options'!$A:$A,$A393)=0,"",SUMIFS('Daily NSE Equity Options'!$M:$M,'Daily NSE Equity Options'!$A:$A,$A393))</f>
        <v/>
      </c>
      <c r="V393" s="9">
        <f>IF(SUMIFS('Daily BSE Equity Options'!$M:$M,'Daily BSE Equity Options'!$A:$A,$A393)=0,"",SUMIFS('Daily BSE Equity Options'!$M:$M,'Daily BSE Equity Options'!$A:$A,$A393))</f>
        <v/>
      </c>
      <c r="W393" s="9">
        <f>IF(OR(U393="",V393=""),"",U393+V393)</f>
        <v/>
      </c>
      <c r="X393" s="25">
        <f>IF(W393="","",U393/W393)</f>
        <v/>
      </c>
      <c r="Y393" s="25">
        <f>IF(W393="","",V393/W393)</f>
        <v/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19">
        <f>IF(G394="","",E394/G394)</f>
        <v/>
      </c>
      <c r="I394" s="19">
        <f>IF(G394="","",F394/G394)</f>
        <v/>
      </c>
      <c r="J394" s="26">
        <f>IFERROR(IF(OR(E394="",INDEX(E:E,MATCH(DATE(YEAR($A394)-1,MONTH($A394),DAY($A394)),$A:$A,0))=""),"",E394/INDEX(E:E,MATCH(DATE(YEAR($A394)-1,MONTH($A394),DAY($A394)),$A:$A,0))-1),"")</f>
        <v/>
      </c>
      <c r="K394" s="19">
        <f>IFERROR(IF(OR(F394="",INDEX(F:F,MATCH(DATE(YEAR($A394)-1,MONTH($A394),DAY($A394)),$A:$A,0))=""),"",F394/INDEX(F:F,MATCH(DATE(YEAR($A394)-1,MONTH($A394),DAY($A394)),$A:$A,0))-1),"")</f>
        <v/>
      </c>
      <c r="L394" s="19">
        <f>IFERROR(IF(OR(G394="",INDEX(G:G,MATCH(DATE(YEAR($A394)-1,MONTH($A394),DAY($A394)),$A:$A,0))=""),"",G394/INDEX(G:G,MATCH(DATE(YEAR($A394)-1,MONTH($A394),DAY($A394)),$A:$A,0))-1),"")</f>
        <v/>
      </c>
      <c r="M394" s="19">
        <f>IF(OR(E394="",E393=""),"",E394/E393-1)</f>
        <v/>
      </c>
      <c r="N394" s="19">
        <f>IF(OR(F394="",F393=""),"",F394/F393-1)</f>
        <v/>
      </c>
      <c r="O394" s="19">
        <f>IF(OR(G394="",G393=""),"",G394/G393-1)</f>
        <v/>
      </c>
      <c r="P394" s="22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IF(R394="","",P394/R394)</f>
        <v/>
      </c>
      <c r="T394" s="23">
        <f>IF(R394="","",Q394/R394)</f>
        <v/>
      </c>
      <c r="U394" s="24">
        <f>IF(SUMIFS('Daily NSE Equity Options'!$M:$M,'Daily NSE Equity Options'!$A:$A,$A394)=0,"",SUMIFS('Daily NSE Equity Options'!$M:$M,'Daily NSE Equity Options'!$A:$A,$A394))</f>
        <v/>
      </c>
      <c r="V394" s="9">
        <f>IF(SUMIFS('Daily BSE Equity Options'!$M:$M,'Daily BSE Equity Options'!$A:$A,$A394)=0,"",SUMIFS('Daily BSE Equity Options'!$M:$M,'Daily BSE Equity Options'!$A:$A,$A394))</f>
        <v/>
      </c>
      <c r="W394" s="9">
        <f>IF(OR(U394="",V394=""),"",U394+V394)</f>
        <v/>
      </c>
      <c r="X394" s="25">
        <f>IF(W394="","",U394/W394)</f>
        <v/>
      </c>
      <c r="Y394" s="25">
        <f>IF(W394="","",V394/W394)</f>
        <v/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19">
        <f>IF(G395="","",E395/G395)</f>
        <v/>
      </c>
      <c r="I395" s="19">
        <f>IF(G395="","",F395/G395)</f>
        <v/>
      </c>
      <c r="J395" s="26">
        <f>IFERROR(IF(OR(E395="",INDEX(E:E,MATCH(DATE(YEAR($A395)-1,MONTH($A395),DAY($A395)),$A:$A,0))=""),"",E395/INDEX(E:E,MATCH(DATE(YEAR($A395)-1,MONTH($A395),DAY($A395)),$A:$A,0))-1),"")</f>
        <v/>
      </c>
      <c r="K395" s="19">
        <f>IFERROR(IF(OR(F395="",INDEX(F:F,MATCH(DATE(YEAR($A395)-1,MONTH($A395),DAY($A395)),$A:$A,0))=""),"",F395/INDEX(F:F,MATCH(DATE(YEAR($A395)-1,MONTH($A395),DAY($A395)),$A:$A,0))-1),"")</f>
        <v/>
      </c>
      <c r="L395" s="19">
        <f>IFERROR(IF(OR(G395="",INDEX(G:G,MATCH(DATE(YEAR($A395)-1,MONTH($A395),DAY($A395)),$A:$A,0))=""),"",G395/INDEX(G:G,MATCH(DATE(YEAR($A395)-1,MONTH($A395),DAY($A395)),$A:$A,0))-1),"")</f>
        <v/>
      </c>
      <c r="M395" s="19">
        <f>IF(OR(E395="",E394=""),"",E395/E394-1)</f>
        <v/>
      </c>
      <c r="N395" s="19">
        <f>IF(OR(F395="",F394=""),"",F395/F394-1)</f>
        <v/>
      </c>
      <c r="O395" s="19">
        <f>IF(OR(G395="",G394=""),"",G395/G394-1)</f>
        <v/>
      </c>
      <c r="P395" s="22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IF(R395="","",P395/R395)</f>
        <v/>
      </c>
      <c r="T395" s="23">
        <f>IF(R395="","",Q395/R395)</f>
        <v/>
      </c>
      <c r="U395" s="24">
        <f>IF(SUMIFS('Daily NSE Equity Options'!$M:$M,'Daily NSE Equity Options'!$A:$A,$A395)=0,"",SUMIFS('Daily NSE Equity Options'!$M:$M,'Daily NSE Equity Options'!$A:$A,$A395))</f>
        <v/>
      </c>
      <c r="V395" s="9">
        <f>IF(SUMIFS('Daily BSE Equity Options'!$M:$M,'Daily BSE Equity Options'!$A:$A,$A395)=0,"",SUMIFS('Daily BSE Equity Options'!$M:$M,'Daily BSE Equity Options'!$A:$A,$A395))</f>
        <v/>
      </c>
      <c r="W395" s="9">
        <f>IF(OR(U395="",V395=""),"",U395+V395)</f>
        <v/>
      </c>
      <c r="X395" s="25">
        <f>IF(W395="","",U395/W395)</f>
        <v/>
      </c>
      <c r="Y395" s="25">
        <f>IF(W395="","",V395/W395)</f>
        <v/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19">
        <f>IF(G396="","",E396/G396)</f>
        <v/>
      </c>
      <c r="I396" s="19">
        <f>IF(G396="","",F396/G396)</f>
        <v/>
      </c>
      <c r="J396" s="26">
        <f>IFERROR(IF(OR(E396="",INDEX(E:E,MATCH(DATE(YEAR($A396)-1,MONTH($A396),DAY($A396)),$A:$A,0))=""),"",E396/INDEX(E:E,MATCH(DATE(YEAR($A396)-1,MONTH($A396),DAY($A396)),$A:$A,0))-1),"")</f>
        <v/>
      </c>
      <c r="K396" s="19">
        <f>IFERROR(IF(OR(F396="",INDEX(F:F,MATCH(DATE(YEAR($A396)-1,MONTH($A396),DAY($A396)),$A:$A,0))=""),"",F396/INDEX(F:F,MATCH(DATE(YEAR($A396)-1,MONTH($A396),DAY($A396)),$A:$A,0))-1),"")</f>
        <v/>
      </c>
      <c r="L396" s="19">
        <f>IFERROR(IF(OR(G396="",INDEX(G:G,MATCH(DATE(YEAR($A396)-1,MONTH($A396),DAY($A396)),$A:$A,0))=""),"",G396/INDEX(G:G,MATCH(DATE(YEAR($A396)-1,MONTH($A396),DAY($A396)),$A:$A,0))-1),"")</f>
        <v/>
      </c>
      <c r="M396" s="19">
        <f>IF(OR(E396="",E395=""),"",E396/E395-1)</f>
        <v/>
      </c>
      <c r="N396" s="19">
        <f>IF(OR(F396="",F395=""),"",F396/F395-1)</f>
        <v/>
      </c>
      <c r="O396" s="19">
        <f>IF(OR(G396="",G395=""),"",G396/G395-1)</f>
        <v/>
      </c>
      <c r="P396" s="22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IF(R396="","",P396/R396)</f>
        <v/>
      </c>
      <c r="T396" s="23">
        <f>IF(R396="","",Q396/R396)</f>
        <v/>
      </c>
      <c r="U396" s="24">
        <f>IF(SUMIFS('Daily NSE Equity Options'!$M:$M,'Daily NSE Equity Options'!$A:$A,$A396)=0,"",SUMIFS('Daily NSE Equity Options'!$M:$M,'Daily NSE Equity Options'!$A:$A,$A396))</f>
        <v/>
      </c>
      <c r="V396" s="9">
        <f>IF(SUMIFS('Daily BSE Equity Options'!$M:$M,'Daily BSE Equity Options'!$A:$A,$A396)=0,"",SUMIFS('Daily BSE Equity Options'!$M:$M,'Daily BSE Equity Options'!$A:$A,$A396))</f>
        <v/>
      </c>
      <c r="W396" s="9">
        <f>IF(OR(U396="",V396=""),"",U396+V396)</f>
        <v/>
      </c>
      <c r="X396" s="25">
        <f>IF(W396="","",U396/W396)</f>
        <v/>
      </c>
      <c r="Y396" s="25">
        <f>IF(W396="","",V396/W396)</f>
        <v/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19">
        <f>IF(G397="","",E397/G397)</f>
        <v/>
      </c>
      <c r="I397" s="19">
        <f>IF(G397="","",F397/G397)</f>
        <v/>
      </c>
      <c r="J397" s="26">
        <f>IFERROR(IF(OR(E397="",INDEX(E:E,MATCH(DATE(YEAR($A397)-1,MONTH($A397),DAY($A397)),$A:$A,0))=""),"",E397/INDEX(E:E,MATCH(DATE(YEAR($A397)-1,MONTH($A397),DAY($A397)),$A:$A,0))-1),"")</f>
        <v/>
      </c>
      <c r="K397" s="19">
        <f>IFERROR(IF(OR(F397="",INDEX(F:F,MATCH(DATE(YEAR($A397)-1,MONTH($A397),DAY($A397)),$A:$A,0))=""),"",F397/INDEX(F:F,MATCH(DATE(YEAR($A397)-1,MONTH($A397),DAY($A397)),$A:$A,0))-1),"")</f>
        <v/>
      </c>
      <c r="L397" s="19">
        <f>IFERROR(IF(OR(G397="",INDEX(G:G,MATCH(DATE(YEAR($A397)-1,MONTH($A397),DAY($A397)),$A:$A,0))=""),"",G397/INDEX(G:G,MATCH(DATE(YEAR($A397)-1,MONTH($A397),DAY($A397)),$A:$A,0))-1),"")</f>
        <v/>
      </c>
      <c r="M397" s="19">
        <f>IF(OR(E397="",E396=""),"",E397/E396-1)</f>
        <v/>
      </c>
      <c r="N397" s="19">
        <f>IF(OR(F397="",F396=""),"",F397/F396-1)</f>
        <v/>
      </c>
      <c r="O397" s="19">
        <f>IF(OR(G397="",G396=""),"",G397/G396-1)</f>
        <v/>
      </c>
      <c r="P397" s="22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IF(R397="","",P397/R397)</f>
        <v/>
      </c>
      <c r="T397" s="23">
        <f>IF(R397="","",Q397/R397)</f>
        <v/>
      </c>
      <c r="U397" s="24">
        <f>IF(SUMIFS('Daily NSE Equity Options'!$M:$M,'Daily NSE Equity Options'!$A:$A,$A397)=0,"",SUMIFS('Daily NSE Equity Options'!$M:$M,'Daily NSE Equity Options'!$A:$A,$A397))</f>
        <v/>
      </c>
      <c r="V397" s="9">
        <f>IF(SUMIFS('Daily BSE Equity Options'!$M:$M,'Daily BSE Equity Options'!$A:$A,$A397)=0,"",SUMIFS('Daily BSE Equity Options'!$M:$M,'Daily BSE Equity Options'!$A:$A,$A397))</f>
        <v/>
      </c>
      <c r="W397" s="9">
        <f>IF(OR(U397="",V397=""),"",U397+V397)</f>
        <v/>
      </c>
      <c r="X397" s="25">
        <f>IF(W397="","",U397/W397)</f>
        <v/>
      </c>
      <c r="Y397" s="25">
        <f>IF(W397="","",V397/W397)</f>
        <v/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19">
        <f>IF(G398="","",E398/G398)</f>
        <v/>
      </c>
      <c r="I398" s="19">
        <f>IF(G398="","",F398/G398)</f>
        <v/>
      </c>
      <c r="J398" s="26">
        <f>IFERROR(IF(OR(E398="",INDEX(E:E,MATCH(DATE(YEAR($A398)-1,MONTH($A398),DAY($A398)),$A:$A,0))=""),"",E398/INDEX(E:E,MATCH(DATE(YEAR($A398)-1,MONTH($A398),DAY($A398)),$A:$A,0))-1),"")</f>
        <v/>
      </c>
      <c r="K398" s="19">
        <f>IFERROR(IF(OR(F398="",INDEX(F:F,MATCH(DATE(YEAR($A398)-1,MONTH($A398),DAY($A398)),$A:$A,0))=""),"",F398/INDEX(F:F,MATCH(DATE(YEAR($A398)-1,MONTH($A398),DAY($A398)),$A:$A,0))-1),"")</f>
        <v/>
      </c>
      <c r="L398" s="19">
        <f>IFERROR(IF(OR(G398="",INDEX(G:G,MATCH(DATE(YEAR($A398)-1,MONTH($A398),DAY($A398)),$A:$A,0))=""),"",G398/INDEX(G:G,MATCH(DATE(YEAR($A398)-1,MONTH($A398),DAY($A398)),$A:$A,0))-1),"")</f>
        <v/>
      </c>
      <c r="M398" s="19">
        <f>IF(OR(E398="",E397=""),"",E398/E397-1)</f>
        <v/>
      </c>
      <c r="N398" s="19">
        <f>IF(OR(F398="",F397=""),"",F398/F397-1)</f>
        <v/>
      </c>
      <c r="O398" s="19">
        <f>IF(OR(G398="",G397=""),"",G398/G397-1)</f>
        <v/>
      </c>
      <c r="P398" s="22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IF(R398="","",P398/R398)</f>
        <v/>
      </c>
      <c r="T398" s="23">
        <f>IF(R398="","",Q398/R398)</f>
        <v/>
      </c>
      <c r="U398" s="24">
        <f>IF(SUMIFS('Daily NSE Equity Options'!$M:$M,'Daily NSE Equity Options'!$A:$A,$A398)=0,"",SUMIFS('Daily NSE Equity Options'!$M:$M,'Daily NSE Equity Options'!$A:$A,$A398))</f>
        <v/>
      </c>
      <c r="V398" s="9">
        <f>IF(SUMIFS('Daily BSE Equity Options'!$M:$M,'Daily BSE Equity Options'!$A:$A,$A398)=0,"",SUMIFS('Daily BSE Equity Options'!$M:$M,'Daily BSE Equity Options'!$A:$A,$A398))</f>
        <v/>
      </c>
      <c r="W398" s="9">
        <f>IF(OR(U398="",V398=""),"",U398+V398)</f>
        <v/>
      </c>
      <c r="X398" s="25">
        <f>IF(W398="","",U398/W398)</f>
        <v/>
      </c>
      <c r="Y398" s="25">
        <f>IF(W398="","",V398/W398)</f>
        <v/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19">
        <f>IF(G399="","",E399/G399)</f>
        <v/>
      </c>
      <c r="I399" s="19">
        <f>IF(G399="","",F399/G399)</f>
        <v/>
      </c>
      <c r="J399" s="26">
        <f>IFERROR(IF(OR(E399="",INDEX(E:E,MATCH(DATE(YEAR($A399)-1,MONTH($A399),DAY($A399)),$A:$A,0))=""),"",E399/INDEX(E:E,MATCH(DATE(YEAR($A399)-1,MONTH($A399),DAY($A399)),$A:$A,0))-1),"")</f>
        <v/>
      </c>
      <c r="K399" s="19">
        <f>IFERROR(IF(OR(F399="",INDEX(F:F,MATCH(DATE(YEAR($A399)-1,MONTH($A399),DAY($A399)),$A:$A,0))=""),"",F399/INDEX(F:F,MATCH(DATE(YEAR($A399)-1,MONTH($A399),DAY($A399)),$A:$A,0))-1),"")</f>
        <v/>
      </c>
      <c r="L399" s="19">
        <f>IFERROR(IF(OR(G399="",INDEX(G:G,MATCH(DATE(YEAR($A399)-1,MONTH($A399),DAY($A399)),$A:$A,0))=""),"",G399/INDEX(G:G,MATCH(DATE(YEAR($A399)-1,MONTH($A399),DAY($A399)),$A:$A,0))-1),"")</f>
        <v/>
      </c>
      <c r="M399" s="19">
        <f>IF(OR(E399="",E398=""),"",E399/E398-1)</f>
        <v/>
      </c>
      <c r="N399" s="19">
        <f>IF(OR(F399="",F398=""),"",F399/F398-1)</f>
        <v/>
      </c>
      <c r="O399" s="19">
        <f>IF(OR(G399="",G398=""),"",G399/G398-1)</f>
        <v/>
      </c>
      <c r="P399" s="22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IF(R399="","",P399/R399)</f>
        <v/>
      </c>
      <c r="T399" s="23">
        <f>IF(R399="","",Q399/R399)</f>
        <v/>
      </c>
      <c r="U399" s="24">
        <f>IF(SUMIFS('Daily NSE Equity Options'!$M:$M,'Daily NSE Equity Options'!$A:$A,$A399)=0,"",SUMIFS('Daily NSE Equity Options'!$M:$M,'Daily NSE Equity Options'!$A:$A,$A399))</f>
        <v/>
      </c>
      <c r="V399" s="9">
        <f>IF(SUMIFS('Daily BSE Equity Options'!$M:$M,'Daily BSE Equity Options'!$A:$A,$A399)=0,"",SUMIFS('Daily BSE Equity Options'!$M:$M,'Daily BSE Equity Options'!$A:$A,$A399))</f>
        <v/>
      </c>
      <c r="W399" s="9">
        <f>IF(OR(U399="",V399=""),"",U399+V399)</f>
        <v/>
      </c>
      <c r="X399" s="25">
        <f>IF(W399="","",U399/W399)</f>
        <v/>
      </c>
      <c r="Y399" s="25">
        <f>IF(W399="","",V399/W399)</f>
        <v/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19">
        <f>IF(G400="","",E400/G400)</f>
        <v/>
      </c>
      <c r="I400" s="19">
        <f>IF(G400="","",F400/G400)</f>
        <v/>
      </c>
      <c r="J400" s="26">
        <f>IFERROR(IF(OR(E400="",INDEX(E:E,MATCH(DATE(YEAR($A400)-1,MONTH($A400),DAY($A400)),$A:$A,0))=""),"",E400/INDEX(E:E,MATCH(DATE(YEAR($A400)-1,MONTH($A400),DAY($A400)),$A:$A,0))-1),"")</f>
        <v/>
      </c>
      <c r="K400" s="19">
        <f>IFERROR(IF(OR(F400="",INDEX(F:F,MATCH(DATE(YEAR($A400)-1,MONTH($A400),DAY($A400)),$A:$A,0))=""),"",F400/INDEX(F:F,MATCH(DATE(YEAR($A400)-1,MONTH($A400),DAY($A400)),$A:$A,0))-1),"")</f>
        <v/>
      </c>
      <c r="L400" s="19">
        <f>IFERROR(IF(OR(G400="",INDEX(G:G,MATCH(DATE(YEAR($A400)-1,MONTH($A400),DAY($A400)),$A:$A,0))=""),"",G400/INDEX(G:G,MATCH(DATE(YEAR($A400)-1,MONTH($A400),DAY($A400)),$A:$A,0))-1),"")</f>
        <v/>
      </c>
      <c r="M400" s="19">
        <f>IF(OR(E400="",E399=""),"",E400/E399-1)</f>
        <v/>
      </c>
      <c r="N400" s="19">
        <f>IF(OR(F400="",F399=""),"",F400/F399-1)</f>
        <v/>
      </c>
      <c r="O400" s="19">
        <f>IF(OR(G400="",G399=""),"",G400/G399-1)</f>
        <v/>
      </c>
      <c r="P400" s="22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IF(R400="","",P400/R400)</f>
        <v/>
      </c>
      <c r="T400" s="23">
        <f>IF(R400="","",Q400/R400)</f>
        <v/>
      </c>
      <c r="U400" s="24">
        <f>IF(SUMIFS('Daily NSE Equity Options'!$M:$M,'Daily NSE Equity Options'!$A:$A,$A400)=0,"",SUMIFS('Daily NSE Equity Options'!$M:$M,'Daily NSE Equity Options'!$A:$A,$A400))</f>
        <v/>
      </c>
      <c r="V400" s="9">
        <f>IF(SUMIFS('Daily BSE Equity Options'!$M:$M,'Daily BSE Equity Options'!$A:$A,$A400)=0,"",SUMIFS('Daily BSE Equity Options'!$M:$M,'Daily BSE Equity Options'!$A:$A,$A400))</f>
        <v/>
      </c>
      <c r="W400" s="9">
        <f>IF(OR(U400="",V400=""),"",U400+V400)</f>
        <v/>
      </c>
      <c r="X400" s="25">
        <f>IF(W400="","",U400/W400)</f>
        <v/>
      </c>
      <c r="Y400" s="25">
        <f>IF(W400="","",V400/W400)</f>
        <v/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19">
        <f>IF(G401="","",E401/G401)</f>
        <v/>
      </c>
      <c r="I401" s="19">
        <f>IF(G401="","",F401/G401)</f>
        <v/>
      </c>
      <c r="J401" s="26">
        <f>IFERROR(IF(OR(E401="",INDEX(E:E,MATCH(DATE(YEAR($A401)-1,MONTH($A401),DAY($A401)),$A:$A,0))=""),"",E401/INDEX(E:E,MATCH(DATE(YEAR($A401)-1,MONTH($A401),DAY($A401)),$A:$A,0))-1),"")</f>
        <v/>
      </c>
      <c r="K401" s="19">
        <f>IFERROR(IF(OR(F401="",INDEX(F:F,MATCH(DATE(YEAR($A401)-1,MONTH($A401),DAY($A401)),$A:$A,0))=""),"",F401/INDEX(F:F,MATCH(DATE(YEAR($A401)-1,MONTH($A401),DAY($A401)),$A:$A,0))-1),"")</f>
        <v/>
      </c>
      <c r="L401" s="19">
        <f>IFERROR(IF(OR(G401="",INDEX(G:G,MATCH(DATE(YEAR($A401)-1,MONTH($A401),DAY($A401)),$A:$A,0))=""),"",G401/INDEX(G:G,MATCH(DATE(YEAR($A401)-1,MONTH($A401),DAY($A401)),$A:$A,0))-1),"")</f>
        <v/>
      </c>
      <c r="M401" s="19">
        <f>IF(OR(E401="",E400=""),"",E401/E400-1)</f>
        <v/>
      </c>
      <c r="N401" s="19">
        <f>IF(OR(F401="",F400=""),"",F401/F400-1)</f>
        <v/>
      </c>
      <c r="O401" s="19">
        <f>IF(OR(G401="",G400=""),"",G401/G400-1)</f>
        <v/>
      </c>
      <c r="P401" s="22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IF(R401="","",P401/R401)</f>
        <v/>
      </c>
      <c r="T401" s="23">
        <f>IF(R401="","",Q401/R401)</f>
        <v/>
      </c>
      <c r="U401" s="24">
        <f>IF(SUMIFS('Daily NSE Equity Options'!$M:$M,'Daily NSE Equity Options'!$A:$A,$A401)=0,"",SUMIFS('Daily NSE Equity Options'!$M:$M,'Daily NSE Equity Options'!$A:$A,$A401))</f>
        <v/>
      </c>
      <c r="V401" s="9">
        <f>IF(SUMIFS('Daily BSE Equity Options'!$M:$M,'Daily BSE Equity Options'!$A:$A,$A401)=0,"",SUMIFS('Daily BSE Equity Options'!$M:$M,'Daily BSE Equity Options'!$A:$A,$A401))</f>
        <v/>
      </c>
      <c r="W401" s="9">
        <f>IF(OR(U401="",V401=""),"",U401+V401)</f>
        <v/>
      </c>
      <c r="X401" s="25">
        <f>IF(W401="","",U401/W401)</f>
        <v/>
      </c>
      <c r="Y401" s="25">
        <f>IF(W401="","",V401/W401)</f>
        <v/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19">
        <f>IF(G402="","",E402/G402)</f>
        <v/>
      </c>
      <c r="I402" s="19">
        <f>IF(G402="","",F402/G402)</f>
        <v/>
      </c>
      <c r="J402" s="26">
        <f>IFERROR(IF(OR(E402="",INDEX(E:E,MATCH(DATE(YEAR($A402)-1,MONTH($A402),DAY($A402)),$A:$A,0))=""),"",E402/INDEX(E:E,MATCH(DATE(YEAR($A402)-1,MONTH($A402),DAY($A402)),$A:$A,0))-1),"")</f>
        <v/>
      </c>
      <c r="K402" s="19">
        <f>IFERROR(IF(OR(F402="",INDEX(F:F,MATCH(DATE(YEAR($A402)-1,MONTH($A402),DAY($A402)),$A:$A,0))=""),"",F402/INDEX(F:F,MATCH(DATE(YEAR($A402)-1,MONTH($A402),DAY($A402)),$A:$A,0))-1),"")</f>
        <v/>
      </c>
      <c r="L402" s="19">
        <f>IFERROR(IF(OR(G402="",INDEX(G:G,MATCH(DATE(YEAR($A402)-1,MONTH($A402),DAY($A402)),$A:$A,0))=""),"",G402/INDEX(G:G,MATCH(DATE(YEAR($A402)-1,MONTH($A402),DAY($A402)),$A:$A,0))-1),"")</f>
        <v/>
      </c>
      <c r="M402" s="19">
        <f>IF(OR(E402="",E401=""),"",E402/E401-1)</f>
        <v/>
      </c>
      <c r="N402" s="19">
        <f>IF(OR(F402="",F401=""),"",F402/F401-1)</f>
        <v/>
      </c>
      <c r="O402" s="19">
        <f>IF(OR(G402="",G401=""),"",G402/G401-1)</f>
        <v/>
      </c>
      <c r="P402" s="22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IF(R402="","",P402/R402)</f>
        <v/>
      </c>
      <c r="T402" s="23">
        <f>IF(R402="","",Q402/R402)</f>
        <v/>
      </c>
      <c r="U402" s="24">
        <f>IF(SUMIFS('Daily NSE Equity Options'!$M:$M,'Daily NSE Equity Options'!$A:$A,$A402)=0,"",SUMIFS('Daily NSE Equity Options'!$M:$M,'Daily NSE Equity Options'!$A:$A,$A402))</f>
        <v/>
      </c>
      <c r="V402" s="9">
        <f>IF(SUMIFS('Daily BSE Equity Options'!$M:$M,'Daily BSE Equity Options'!$A:$A,$A402)=0,"",SUMIFS('Daily BSE Equity Options'!$M:$M,'Daily BSE Equity Options'!$A:$A,$A402))</f>
        <v/>
      </c>
      <c r="W402" s="9">
        <f>IF(OR(U402="",V402=""),"",U402+V402)</f>
        <v/>
      </c>
      <c r="X402" s="25">
        <f>IF(W402="","",U402/W402)</f>
        <v/>
      </c>
      <c r="Y402" s="25">
        <f>IF(W402="","",V402/W402)</f>
        <v/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19">
        <f>IF(G403="","",E403/G403)</f>
        <v/>
      </c>
      <c r="I403" s="19">
        <f>IF(G403="","",F403/G403)</f>
        <v/>
      </c>
      <c r="J403" s="26">
        <f>IFERROR(IF(OR(E403="",INDEX(E:E,MATCH(DATE(YEAR($A403)-1,MONTH($A403),DAY($A403)),$A:$A,0))=""),"",E403/INDEX(E:E,MATCH(DATE(YEAR($A403)-1,MONTH($A403),DAY($A403)),$A:$A,0))-1),"")</f>
        <v/>
      </c>
      <c r="K403" s="19">
        <f>IFERROR(IF(OR(F403="",INDEX(F:F,MATCH(DATE(YEAR($A403)-1,MONTH($A403),DAY($A403)),$A:$A,0))=""),"",F403/INDEX(F:F,MATCH(DATE(YEAR($A403)-1,MONTH($A403),DAY($A403)),$A:$A,0))-1),"")</f>
        <v/>
      </c>
      <c r="L403" s="19">
        <f>IFERROR(IF(OR(G403="",INDEX(G:G,MATCH(DATE(YEAR($A403)-1,MONTH($A403),DAY($A403)),$A:$A,0))=""),"",G403/INDEX(G:G,MATCH(DATE(YEAR($A403)-1,MONTH($A403),DAY($A403)),$A:$A,0))-1),"")</f>
        <v/>
      </c>
      <c r="M403" s="19">
        <f>IF(OR(E403="",E402=""),"",E403/E402-1)</f>
        <v/>
      </c>
      <c r="N403" s="19">
        <f>IF(OR(F403="",F402=""),"",F403/F402-1)</f>
        <v/>
      </c>
      <c r="O403" s="19">
        <f>IF(OR(G403="",G402=""),"",G403/G402-1)</f>
        <v/>
      </c>
      <c r="P403" s="22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IF(R403="","",P403/R403)</f>
        <v/>
      </c>
      <c r="T403" s="23">
        <f>IF(R403="","",Q403/R403)</f>
        <v/>
      </c>
      <c r="U403" s="24">
        <f>IF(SUMIFS('Daily NSE Equity Options'!$M:$M,'Daily NSE Equity Options'!$A:$A,$A403)=0,"",SUMIFS('Daily NSE Equity Options'!$M:$M,'Daily NSE Equity Options'!$A:$A,$A403))</f>
        <v/>
      </c>
      <c r="V403" s="9">
        <f>IF(SUMIFS('Daily BSE Equity Options'!$M:$M,'Daily BSE Equity Options'!$A:$A,$A403)=0,"",SUMIFS('Daily BSE Equity Options'!$M:$M,'Daily BSE Equity Options'!$A:$A,$A403))</f>
        <v/>
      </c>
      <c r="W403" s="9">
        <f>IF(OR(U403="",V403=""),"",U403+V403)</f>
        <v/>
      </c>
      <c r="X403" s="25">
        <f>IF(W403="","",U403/W403)</f>
        <v/>
      </c>
      <c r="Y403" s="25">
        <f>IF(W403="","",V403/W403)</f>
        <v/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19">
        <f>IF(G404="","",E404/G404)</f>
        <v/>
      </c>
      <c r="I404" s="19">
        <f>IF(G404="","",F404/G404)</f>
        <v/>
      </c>
      <c r="J404" s="26">
        <f>IFERROR(IF(OR(E404="",INDEX(E:E,MATCH(DATE(YEAR($A404)-1,MONTH($A404),DAY($A404)),$A:$A,0))=""),"",E404/INDEX(E:E,MATCH(DATE(YEAR($A404)-1,MONTH($A404),DAY($A404)),$A:$A,0))-1),"")</f>
        <v/>
      </c>
      <c r="K404" s="19">
        <f>IFERROR(IF(OR(F404="",INDEX(F:F,MATCH(DATE(YEAR($A404)-1,MONTH($A404),DAY($A404)),$A:$A,0))=""),"",F404/INDEX(F:F,MATCH(DATE(YEAR($A404)-1,MONTH($A404),DAY($A404)),$A:$A,0))-1),"")</f>
        <v/>
      </c>
      <c r="L404" s="19">
        <f>IFERROR(IF(OR(G404="",INDEX(G:G,MATCH(DATE(YEAR($A404)-1,MONTH($A404),DAY($A404)),$A:$A,0))=""),"",G404/INDEX(G:G,MATCH(DATE(YEAR($A404)-1,MONTH($A404),DAY($A404)),$A:$A,0))-1),"")</f>
        <v/>
      </c>
      <c r="M404" s="19">
        <f>IF(OR(E404="",E403=""),"",E404/E403-1)</f>
        <v/>
      </c>
      <c r="N404" s="19">
        <f>IF(OR(F404="",F403=""),"",F404/F403-1)</f>
        <v/>
      </c>
      <c r="O404" s="19">
        <f>IF(OR(G404="",G403=""),"",G404/G403-1)</f>
        <v/>
      </c>
      <c r="P404" s="22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IF(R404="","",P404/R404)</f>
        <v/>
      </c>
      <c r="T404" s="23">
        <f>IF(R404="","",Q404/R404)</f>
        <v/>
      </c>
      <c r="U404" s="24">
        <f>IF(SUMIFS('Daily NSE Equity Options'!$M:$M,'Daily NSE Equity Options'!$A:$A,$A404)=0,"",SUMIFS('Daily NSE Equity Options'!$M:$M,'Daily NSE Equity Options'!$A:$A,$A404))</f>
        <v/>
      </c>
      <c r="V404" s="9">
        <f>IF(SUMIFS('Daily BSE Equity Options'!$M:$M,'Daily BSE Equity Options'!$A:$A,$A404)=0,"",SUMIFS('Daily BSE Equity Options'!$M:$M,'Daily BSE Equity Options'!$A:$A,$A404))</f>
        <v/>
      </c>
      <c r="W404" s="9">
        <f>IF(OR(U404="",V404=""),"",U404+V404)</f>
        <v/>
      </c>
      <c r="X404" s="25">
        <f>IF(W404="","",U404/W404)</f>
        <v/>
      </c>
      <c r="Y404" s="25">
        <f>IF(W404="","",V404/W404)</f>
        <v/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19">
        <f>IF(G405="","",E405/G405)</f>
        <v/>
      </c>
      <c r="I405" s="19">
        <f>IF(G405="","",F405/G405)</f>
        <v/>
      </c>
      <c r="J405" s="26">
        <f>IFERROR(IF(OR(E405="",INDEX(E:E,MATCH(DATE(YEAR($A405)-1,MONTH($A405),DAY($A405)),$A:$A,0))=""),"",E405/INDEX(E:E,MATCH(DATE(YEAR($A405)-1,MONTH($A405),DAY($A405)),$A:$A,0))-1),"")</f>
        <v/>
      </c>
      <c r="K405" s="19">
        <f>IFERROR(IF(OR(F405="",INDEX(F:F,MATCH(DATE(YEAR($A405)-1,MONTH($A405),DAY($A405)),$A:$A,0))=""),"",F405/INDEX(F:F,MATCH(DATE(YEAR($A405)-1,MONTH($A405),DAY($A405)),$A:$A,0))-1),"")</f>
        <v/>
      </c>
      <c r="L405" s="19">
        <f>IFERROR(IF(OR(G405="",INDEX(G:G,MATCH(DATE(YEAR($A405)-1,MONTH($A405),DAY($A405)),$A:$A,0))=""),"",G405/INDEX(G:G,MATCH(DATE(YEAR($A405)-1,MONTH($A405),DAY($A405)),$A:$A,0))-1),"")</f>
        <v/>
      </c>
      <c r="M405" s="19">
        <f>IF(OR(E405="",E404=""),"",E405/E404-1)</f>
        <v/>
      </c>
      <c r="N405" s="19">
        <f>IF(OR(F405="",F404=""),"",F405/F404-1)</f>
        <v/>
      </c>
      <c r="O405" s="19">
        <f>IF(OR(G405="",G404=""),"",G405/G404-1)</f>
        <v/>
      </c>
      <c r="P405" s="22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IF(R405="","",P405/R405)</f>
        <v/>
      </c>
      <c r="T405" s="23">
        <f>IF(R405="","",Q405/R405)</f>
        <v/>
      </c>
      <c r="U405" s="24">
        <f>IF(SUMIFS('Daily NSE Equity Options'!$M:$M,'Daily NSE Equity Options'!$A:$A,$A405)=0,"",SUMIFS('Daily NSE Equity Options'!$M:$M,'Daily NSE Equity Options'!$A:$A,$A405))</f>
        <v/>
      </c>
      <c r="V405" s="9">
        <f>IF(SUMIFS('Daily BSE Equity Options'!$M:$M,'Daily BSE Equity Options'!$A:$A,$A405)=0,"",SUMIFS('Daily BSE Equity Options'!$M:$M,'Daily BSE Equity Options'!$A:$A,$A405))</f>
        <v/>
      </c>
      <c r="W405" s="9">
        <f>IF(OR(U405="",V405=""),"",U405+V405)</f>
        <v/>
      </c>
      <c r="X405" s="25">
        <f>IF(W405="","",U405/W405)</f>
        <v/>
      </c>
      <c r="Y405" s="25">
        <f>IF(W405="","",V405/W405)</f>
        <v/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19">
        <f>IF(G406="","",E406/G406)</f>
        <v/>
      </c>
      <c r="I406" s="19">
        <f>IF(G406="","",F406/G406)</f>
        <v/>
      </c>
      <c r="J406" s="26">
        <f>IFERROR(IF(OR(E406="",INDEX(E:E,MATCH(DATE(YEAR($A406)-1,MONTH($A406),DAY($A406)),$A:$A,0))=""),"",E406/INDEX(E:E,MATCH(DATE(YEAR($A406)-1,MONTH($A406),DAY($A406)),$A:$A,0))-1),"")</f>
        <v/>
      </c>
      <c r="K406" s="19">
        <f>IFERROR(IF(OR(F406="",INDEX(F:F,MATCH(DATE(YEAR($A406)-1,MONTH($A406),DAY($A406)),$A:$A,0))=""),"",F406/INDEX(F:F,MATCH(DATE(YEAR($A406)-1,MONTH($A406),DAY($A406)),$A:$A,0))-1),"")</f>
        <v/>
      </c>
      <c r="L406" s="19">
        <f>IFERROR(IF(OR(G406="",INDEX(G:G,MATCH(DATE(YEAR($A406)-1,MONTH($A406),DAY($A406)),$A:$A,0))=""),"",G406/INDEX(G:G,MATCH(DATE(YEAR($A406)-1,MONTH($A406),DAY($A406)),$A:$A,0))-1),"")</f>
        <v/>
      </c>
      <c r="M406" s="19">
        <f>IF(OR(E406="",E405=""),"",E406/E405-1)</f>
        <v/>
      </c>
      <c r="N406" s="19">
        <f>IF(OR(F406="",F405=""),"",F406/F405-1)</f>
        <v/>
      </c>
      <c r="O406" s="19">
        <f>IF(OR(G406="",G405=""),"",G406/G405-1)</f>
        <v/>
      </c>
      <c r="P406" s="22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IF(R406="","",P406/R406)</f>
        <v/>
      </c>
      <c r="T406" s="23">
        <f>IF(R406="","",Q406/R406)</f>
        <v/>
      </c>
      <c r="U406" s="24">
        <f>IF(SUMIFS('Daily NSE Equity Options'!$M:$M,'Daily NSE Equity Options'!$A:$A,$A406)=0,"",SUMIFS('Daily NSE Equity Options'!$M:$M,'Daily NSE Equity Options'!$A:$A,$A406))</f>
        <v/>
      </c>
      <c r="V406" s="9">
        <f>IF(SUMIFS('Daily BSE Equity Options'!$M:$M,'Daily BSE Equity Options'!$A:$A,$A406)=0,"",SUMIFS('Daily BSE Equity Options'!$M:$M,'Daily BSE Equity Options'!$A:$A,$A406))</f>
        <v/>
      </c>
      <c r="W406" s="9">
        <f>IF(OR(U406="",V406=""),"",U406+V406)</f>
        <v/>
      </c>
      <c r="X406" s="25">
        <f>IF(W406="","",U406/W406)</f>
        <v/>
      </c>
      <c r="Y406" s="25">
        <f>IF(W406="","",V406/W406)</f>
        <v/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19">
        <f>IF(G407="","",E407/G407)</f>
        <v/>
      </c>
      <c r="I407" s="19">
        <f>IF(G407="","",F407/G407)</f>
        <v/>
      </c>
      <c r="J407" s="26">
        <f>IFERROR(IF(OR(E407="",INDEX(E:E,MATCH(DATE(YEAR($A407)-1,MONTH($A407),DAY($A407)),$A:$A,0))=""),"",E407/INDEX(E:E,MATCH(DATE(YEAR($A407)-1,MONTH($A407),DAY($A407)),$A:$A,0))-1),"")</f>
        <v/>
      </c>
      <c r="K407" s="19">
        <f>IFERROR(IF(OR(F407="",INDEX(F:F,MATCH(DATE(YEAR($A407)-1,MONTH($A407),DAY($A407)),$A:$A,0))=""),"",F407/INDEX(F:F,MATCH(DATE(YEAR($A407)-1,MONTH($A407),DAY($A407)),$A:$A,0))-1),"")</f>
        <v/>
      </c>
      <c r="L407" s="19">
        <f>IFERROR(IF(OR(G407="",INDEX(G:G,MATCH(DATE(YEAR($A407)-1,MONTH($A407),DAY($A407)),$A:$A,0))=""),"",G407/INDEX(G:G,MATCH(DATE(YEAR($A407)-1,MONTH($A407),DAY($A407)),$A:$A,0))-1),"")</f>
        <v/>
      </c>
      <c r="M407" s="19">
        <f>IF(OR(E407="",E406=""),"",E407/E406-1)</f>
        <v/>
      </c>
      <c r="N407" s="19">
        <f>IF(OR(F407="",F406=""),"",F407/F406-1)</f>
        <v/>
      </c>
      <c r="O407" s="19">
        <f>IF(OR(G407="",G406=""),"",G407/G406-1)</f>
        <v/>
      </c>
      <c r="P407" s="22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IF(R407="","",P407/R407)</f>
        <v/>
      </c>
      <c r="T407" s="23">
        <f>IF(R407="","",Q407/R407)</f>
        <v/>
      </c>
      <c r="U407" s="24">
        <f>IF(SUMIFS('Daily NSE Equity Options'!$M:$M,'Daily NSE Equity Options'!$A:$A,$A407)=0,"",SUMIFS('Daily NSE Equity Options'!$M:$M,'Daily NSE Equity Options'!$A:$A,$A407))</f>
        <v/>
      </c>
      <c r="V407" s="9">
        <f>IF(SUMIFS('Daily BSE Equity Options'!$M:$M,'Daily BSE Equity Options'!$A:$A,$A407)=0,"",SUMIFS('Daily BSE Equity Options'!$M:$M,'Daily BSE Equity Options'!$A:$A,$A407))</f>
        <v/>
      </c>
      <c r="W407" s="9">
        <f>IF(OR(U407="",V407=""),"",U407+V407)</f>
        <v/>
      </c>
      <c r="X407" s="25">
        <f>IF(W407="","",U407/W407)</f>
        <v/>
      </c>
      <c r="Y407" s="25">
        <f>IF(W407="","",V407/W407)</f>
        <v/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19">
        <f>IF(G408="","",E408/G408)</f>
        <v/>
      </c>
      <c r="I408" s="19">
        <f>IF(G408="","",F408/G408)</f>
        <v/>
      </c>
      <c r="J408" s="26">
        <f>IFERROR(IF(OR(E408="",INDEX(E:E,MATCH(DATE(YEAR($A408)-1,MONTH($A408),DAY($A408)),$A:$A,0))=""),"",E408/INDEX(E:E,MATCH(DATE(YEAR($A408)-1,MONTH($A408),DAY($A408)),$A:$A,0))-1),"")</f>
        <v/>
      </c>
      <c r="K408" s="19">
        <f>IFERROR(IF(OR(F408="",INDEX(F:F,MATCH(DATE(YEAR($A408)-1,MONTH($A408),DAY($A408)),$A:$A,0))=""),"",F408/INDEX(F:F,MATCH(DATE(YEAR($A408)-1,MONTH($A408),DAY($A408)),$A:$A,0))-1),"")</f>
        <v/>
      </c>
      <c r="L408" s="19">
        <f>IFERROR(IF(OR(G408="",INDEX(G:G,MATCH(DATE(YEAR($A408)-1,MONTH($A408),DAY($A408)),$A:$A,0))=""),"",G408/INDEX(G:G,MATCH(DATE(YEAR($A408)-1,MONTH($A408),DAY($A408)),$A:$A,0))-1),"")</f>
        <v/>
      </c>
      <c r="M408" s="19">
        <f>IF(OR(E408="",E407=""),"",E408/E407-1)</f>
        <v/>
      </c>
      <c r="N408" s="19">
        <f>IF(OR(F408="",F407=""),"",F408/F407-1)</f>
        <v/>
      </c>
      <c r="O408" s="19">
        <f>IF(OR(G408="",G407=""),"",G408/G407-1)</f>
        <v/>
      </c>
      <c r="P408" s="22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IF(R408="","",P408/R408)</f>
        <v/>
      </c>
      <c r="T408" s="23">
        <f>IF(R408="","",Q408/R408)</f>
        <v/>
      </c>
      <c r="U408" s="24">
        <f>IF(SUMIFS('Daily NSE Equity Options'!$M:$M,'Daily NSE Equity Options'!$A:$A,$A408)=0,"",SUMIFS('Daily NSE Equity Options'!$M:$M,'Daily NSE Equity Options'!$A:$A,$A408))</f>
        <v/>
      </c>
      <c r="V408" s="9">
        <f>IF(SUMIFS('Daily BSE Equity Options'!$M:$M,'Daily BSE Equity Options'!$A:$A,$A408)=0,"",SUMIFS('Daily BSE Equity Options'!$M:$M,'Daily BSE Equity Options'!$A:$A,$A408))</f>
        <v/>
      </c>
      <c r="W408" s="9">
        <f>IF(OR(U408="",V408=""),"",U408+V408)</f>
        <v/>
      </c>
      <c r="X408" s="25">
        <f>IF(W408="","",U408/W408)</f>
        <v/>
      </c>
      <c r="Y408" s="25">
        <f>IF(W408="","",V408/W408)</f>
        <v/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19">
        <f>IF(G409="","",E409/G409)</f>
        <v/>
      </c>
      <c r="I409" s="19">
        <f>IF(G409="","",F409/G409)</f>
        <v/>
      </c>
      <c r="J409" s="26">
        <f>IFERROR(IF(OR(E409="",INDEX(E:E,MATCH(DATE(YEAR($A409)-1,MONTH($A409),DAY($A409)),$A:$A,0))=""),"",E409/INDEX(E:E,MATCH(DATE(YEAR($A409)-1,MONTH($A409),DAY($A409)),$A:$A,0))-1),"")</f>
        <v/>
      </c>
      <c r="K409" s="19">
        <f>IFERROR(IF(OR(F409="",INDEX(F:F,MATCH(DATE(YEAR($A409)-1,MONTH($A409),DAY($A409)),$A:$A,0))=""),"",F409/INDEX(F:F,MATCH(DATE(YEAR($A409)-1,MONTH($A409),DAY($A409)),$A:$A,0))-1),"")</f>
        <v/>
      </c>
      <c r="L409" s="19">
        <f>IFERROR(IF(OR(G409="",INDEX(G:G,MATCH(DATE(YEAR($A409)-1,MONTH($A409),DAY($A409)),$A:$A,0))=""),"",G409/INDEX(G:G,MATCH(DATE(YEAR($A409)-1,MONTH($A409),DAY($A409)),$A:$A,0))-1),"")</f>
        <v/>
      </c>
      <c r="M409" s="19">
        <f>IF(OR(E409="",E408=""),"",E409/E408-1)</f>
        <v/>
      </c>
      <c r="N409" s="19">
        <f>IF(OR(F409="",F408=""),"",F409/F408-1)</f>
        <v/>
      </c>
      <c r="O409" s="19">
        <f>IF(OR(G409="",G408=""),"",G409/G408-1)</f>
        <v/>
      </c>
      <c r="P409" s="22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IF(R409="","",P409/R409)</f>
        <v/>
      </c>
      <c r="T409" s="23">
        <f>IF(R409="","",Q409/R409)</f>
        <v/>
      </c>
      <c r="U409" s="24">
        <f>IF(SUMIFS('Daily NSE Equity Options'!$M:$M,'Daily NSE Equity Options'!$A:$A,$A409)=0,"",SUMIFS('Daily NSE Equity Options'!$M:$M,'Daily NSE Equity Options'!$A:$A,$A409))</f>
        <v/>
      </c>
      <c r="V409" s="9">
        <f>IF(SUMIFS('Daily BSE Equity Options'!$M:$M,'Daily BSE Equity Options'!$A:$A,$A409)=0,"",SUMIFS('Daily BSE Equity Options'!$M:$M,'Daily BSE Equity Options'!$A:$A,$A409))</f>
        <v/>
      </c>
      <c r="W409" s="9">
        <f>IF(OR(U409="",V409=""),"",U409+V409)</f>
        <v/>
      </c>
      <c r="X409" s="25">
        <f>IF(W409="","",U409/W409)</f>
        <v/>
      </c>
      <c r="Y409" s="25">
        <f>IF(W409="","",V409/W409)</f>
        <v/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19">
        <f>IF(G410="","",E410/G410)</f>
        <v/>
      </c>
      <c r="I410" s="19">
        <f>IF(G410="","",F410/G410)</f>
        <v/>
      </c>
      <c r="J410" s="26">
        <f>IFERROR(IF(OR(E410="",INDEX(E:E,MATCH(DATE(YEAR($A410)-1,MONTH($A410),DAY($A410)),$A:$A,0))=""),"",E410/INDEX(E:E,MATCH(DATE(YEAR($A410)-1,MONTH($A410),DAY($A410)),$A:$A,0))-1),"")</f>
        <v/>
      </c>
      <c r="K410" s="19">
        <f>IFERROR(IF(OR(F410="",INDEX(F:F,MATCH(DATE(YEAR($A410)-1,MONTH($A410),DAY($A410)),$A:$A,0))=""),"",F410/INDEX(F:F,MATCH(DATE(YEAR($A410)-1,MONTH($A410),DAY($A410)),$A:$A,0))-1),"")</f>
        <v/>
      </c>
      <c r="L410" s="19">
        <f>IFERROR(IF(OR(G410="",INDEX(G:G,MATCH(DATE(YEAR($A410)-1,MONTH($A410),DAY($A410)),$A:$A,0))=""),"",G410/INDEX(G:G,MATCH(DATE(YEAR($A410)-1,MONTH($A410),DAY($A410)),$A:$A,0))-1),"")</f>
        <v/>
      </c>
      <c r="M410" s="19">
        <f>IF(OR(E410="",E409=""),"",E410/E409-1)</f>
        <v/>
      </c>
      <c r="N410" s="19">
        <f>IF(OR(F410="",F409=""),"",F410/F409-1)</f>
        <v/>
      </c>
      <c r="O410" s="19">
        <f>IF(OR(G410="",G409=""),"",G410/G409-1)</f>
        <v/>
      </c>
      <c r="P410" s="22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IF(R410="","",P410/R410)</f>
        <v/>
      </c>
      <c r="T410" s="23">
        <f>IF(R410="","",Q410/R410)</f>
        <v/>
      </c>
      <c r="U410" s="24">
        <f>IF(SUMIFS('Daily NSE Equity Options'!$M:$M,'Daily NSE Equity Options'!$A:$A,$A410)=0,"",SUMIFS('Daily NSE Equity Options'!$M:$M,'Daily NSE Equity Options'!$A:$A,$A410))</f>
        <v/>
      </c>
      <c r="V410" s="9">
        <f>IF(SUMIFS('Daily BSE Equity Options'!$M:$M,'Daily BSE Equity Options'!$A:$A,$A410)=0,"",SUMIFS('Daily BSE Equity Options'!$M:$M,'Daily BSE Equity Options'!$A:$A,$A410))</f>
        <v/>
      </c>
      <c r="W410" s="9">
        <f>IF(OR(U410="",V410=""),"",U410+V410)</f>
        <v/>
      </c>
      <c r="X410" s="25">
        <f>IF(W410="","",U410/W410)</f>
        <v/>
      </c>
      <c r="Y410" s="25">
        <f>IF(W410="","",V410/W410)</f>
        <v/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19">
        <f>IF(G411="","",E411/G411)</f>
        <v/>
      </c>
      <c r="I411" s="19">
        <f>IF(G411="","",F411/G411)</f>
        <v/>
      </c>
      <c r="J411" s="26">
        <f>IFERROR(IF(OR(E411="",INDEX(E:E,MATCH(DATE(YEAR($A411)-1,MONTH($A411),DAY($A411)),$A:$A,0))=""),"",E411/INDEX(E:E,MATCH(DATE(YEAR($A411)-1,MONTH($A411),DAY($A411)),$A:$A,0))-1),"")</f>
        <v/>
      </c>
      <c r="K411" s="19">
        <f>IFERROR(IF(OR(F411="",INDEX(F:F,MATCH(DATE(YEAR($A411)-1,MONTH($A411),DAY($A411)),$A:$A,0))=""),"",F411/INDEX(F:F,MATCH(DATE(YEAR($A411)-1,MONTH($A411),DAY($A411)),$A:$A,0))-1),"")</f>
        <v/>
      </c>
      <c r="L411" s="19">
        <f>IFERROR(IF(OR(G411="",INDEX(G:G,MATCH(DATE(YEAR($A411)-1,MONTH($A411),DAY($A411)),$A:$A,0))=""),"",G411/INDEX(G:G,MATCH(DATE(YEAR($A411)-1,MONTH($A411),DAY($A411)),$A:$A,0))-1),"")</f>
        <v/>
      </c>
      <c r="M411" s="19">
        <f>IF(OR(E411="",E410=""),"",E411/E410-1)</f>
        <v/>
      </c>
      <c r="N411" s="19">
        <f>IF(OR(F411="",F410=""),"",F411/F410-1)</f>
        <v/>
      </c>
      <c r="O411" s="19">
        <f>IF(OR(G411="",G410=""),"",G411/G410-1)</f>
        <v/>
      </c>
      <c r="P411" s="22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IF(R411="","",P411/R411)</f>
        <v/>
      </c>
      <c r="T411" s="23">
        <f>IF(R411="","",Q411/R411)</f>
        <v/>
      </c>
      <c r="U411" s="24">
        <f>IF(SUMIFS('Daily NSE Equity Options'!$M:$M,'Daily NSE Equity Options'!$A:$A,$A411)=0,"",SUMIFS('Daily NSE Equity Options'!$M:$M,'Daily NSE Equity Options'!$A:$A,$A411))</f>
        <v/>
      </c>
      <c r="V411" s="9">
        <f>IF(SUMIFS('Daily BSE Equity Options'!$M:$M,'Daily BSE Equity Options'!$A:$A,$A411)=0,"",SUMIFS('Daily BSE Equity Options'!$M:$M,'Daily BSE Equity Options'!$A:$A,$A411))</f>
        <v/>
      </c>
      <c r="W411" s="9">
        <f>IF(OR(U411="",V411=""),"",U411+V411)</f>
        <v/>
      </c>
      <c r="X411" s="25">
        <f>IF(W411="","",U411/W411)</f>
        <v/>
      </c>
      <c r="Y411" s="25">
        <f>IF(W411="","",V411/W411)</f>
        <v/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19">
        <f>IF(G412="","",E412/G412)</f>
        <v/>
      </c>
      <c r="I412" s="19">
        <f>IF(G412="","",F412/G412)</f>
        <v/>
      </c>
      <c r="J412" s="26">
        <f>IFERROR(IF(OR(E412="",INDEX(E:E,MATCH(DATE(YEAR($A412)-1,MONTH($A412),DAY($A412)),$A:$A,0))=""),"",E412/INDEX(E:E,MATCH(DATE(YEAR($A412)-1,MONTH($A412),DAY($A412)),$A:$A,0))-1),"")</f>
        <v/>
      </c>
      <c r="K412" s="19">
        <f>IFERROR(IF(OR(F412="",INDEX(F:F,MATCH(DATE(YEAR($A412)-1,MONTH($A412),DAY($A412)),$A:$A,0))=""),"",F412/INDEX(F:F,MATCH(DATE(YEAR($A412)-1,MONTH($A412),DAY($A412)),$A:$A,0))-1),"")</f>
        <v/>
      </c>
      <c r="L412" s="19">
        <f>IFERROR(IF(OR(G412="",INDEX(G:G,MATCH(DATE(YEAR($A412)-1,MONTH($A412),DAY($A412)),$A:$A,0))=""),"",G412/INDEX(G:G,MATCH(DATE(YEAR($A412)-1,MONTH($A412),DAY($A412)),$A:$A,0))-1),"")</f>
        <v/>
      </c>
      <c r="M412" s="19">
        <f>IF(OR(E412="",E411=""),"",E412/E411-1)</f>
        <v/>
      </c>
      <c r="N412" s="19">
        <f>IF(OR(F412="",F411=""),"",F412/F411-1)</f>
        <v/>
      </c>
      <c r="O412" s="19">
        <f>IF(OR(G412="",G411=""),"",G412/G411-1)</f>
        <v/>
      </c>
      <c r="P412" s="22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IF(R412="","",P412/R412)</f>
        <v/>
      </c>
      <c r="T412" s="23">
        <f>IF(R412="","",Q412/R412)</f>
        <v/>
      </c>
      <c r="U412" s="24">
        <f>IF(SUMIFS('Daily NSE Equity Options'!$M:$M,'Daily NSE Equity Options'!$A:$A,$A412)=0,"",SUMIFS('Daily NSE Equity Options'!$M:$M,'Daily NSE Equity Options'!$A:$A,$A412))</f>
        <v/>
      </c>
      <c r="V412" s="9">
        <f>IF(SUMIFS('Daily BSE Equity Options'!$M:$M,'Daily BSE Equity Options'!$A:$A,$A412)=0,"",SUMIFS('Daily BSE Equity Options'!$M:$M,'Daily BSE Equity Options'!$A:$A,$A412))</f>
        <v/>
      </c>
      <c r="W412" s="9">
        <f>IF(OR(U412="",V412=""),"",U412+V412)</f>
        <v/>
      </c>
      <c r="X412" s="25">
        <f>IF(W412="","",U412/W412)</f>
        <v/>
      </c>
      <c r="Y412" s="25">
        <f>IF(W412="","",V412/W412)</f>
        <v/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19">
        <f>IF(G413="","",E413/G413)</f>
        <v/>
      </c>
      <c r="I413" s="19">
        <f>IF(G413="","",F413/G413)</f>
        <v/>
      </c>
      <c r="J413" s="26">
        <f>IFERROR(IF(OR(E413="",INDEX(E:E,MATCH(DATE(YEAR($A413)-1,MONTH($A413),DAY($A413)),$A:$A,0))=""),"",E413/INDEX(E:E,MATCH(DATE(YEAR($A413)-1,MONTH($A413),DAY($A413)),$A:$A,0))-1),"")</f>
        <v/>
      </c>
      <c r="K413" s="19">
        <f>IFERROR(IF(OR(F413="",INDEX(F:F,MATCH(DATE(YEAR($A413)-1,MONTH($A413),DAY($A413)),$A:$A,0))=""),"",F413/INDEX(F:F,MATCH(DATE(YEAR($A413)-1,MONTH($A413),DAY($A413)),$A:$A,0))-1),"")</f>
        <v/>
      </c>
      <c r="L413" s="19">
        <f>IFERROR(IF(OR(G413="",INDEX(G:G,MATCH(DATE(YEAR($A413)-1,MONTH($A413),DAY($A413)),$A:$A,0))=""),"",G413/INDEX(G:G,MATCH(DATE(YEAR($A413)-1,MONTH($A413),DAY($A413)),$A:$A,0))-1),"")</f>
        <v/>
      </c>
      <c r="M413" s="19">
        <f>IF(OR(E413="",E412=""),"",E413/E412-1)</f>
        <v/>
      </c>
      <c r="N413" s="19">
        <f>IF(OR(F413="",F412=""),"",F413/F412-1)</f>
        <v/>
      </c>
      <c r="O413" s="19">
        <f>IF(OR(G413="",G412=""),"",G413/G412-1)</f>
        <v/>
      </c>
      <c r="P413" s="22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IF(R413="","",P413/R413)</f>
        <v/>
      </c>
      <c r="T413" s="23">
        <f>IF(R413="","",Q413/R413)</f>
        <v/>
      </c>
      <c r="U413" s="24">
        <f>IF(SUMIFS('Daily NSE Equity Options'!$M:$M,'Daily NSE Equity Options'!$A:$A,$A413)=0,"",SUMIFS('Daily NSE Equity Options'!$M:$M,'Daily NSE Equity Options'!$A:$A,$A413))</f>
        <v/>
      </c>
      <c r="V413" s="9">
        <f>IF(SUMIFS('Daily BSE Equity Options'!$M:$M,'Daily BSE Equity Options'!$A:$A,$A413)=0,"",SUMIFS('Daily BSE Equity Options'!$M:$M,'Daily BSE Equity Options'!$A:$A,$A413))</f>
        <v/>
      </c>
      <c r="W413" s="9">
        <f>IF(OR(U413="",V413=""),"",U413+V413)</f>
        <v/>
      </c>
      <c r="X413" s="25">
        <f>IF(W413="","",U413/W413)</f>
        <v/>
      </c>
      <c r="Y413" s="25">
        <f>IF(W413="","",V413/W413)</f>
        <v/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19">
        <f>IF(G414="","",E414/G414)</f>
        <v/>
      </c>
      <c r="I414" s="19">
        <f>IF(G414="","",F414/G414)</f>
        <v/>
      </c>
      <c r="J414" s="26">
        <f>IFERROR(IF(OR(E414="",INDEX(E:E,MATCH(DATE(YEAR($A414)-1,MONTH($A414),DAY($A414)),$A:$A,0))=""),"",E414/INDEX(E:E,MATCH(DATE(YEAR($A414)-1,MONTH($A414),DAY($A414)),$A:$A,0))-1),"")</f>
        <v/>
      </c>
      <c r="K414" s="19">
        <f>IFERROR(IF(OR(F414="",INDEX(F:F,MATCH(DATE(YEAR($A414)-1,MONTH($A414),DAY($A414)),$A:$A,0))=""),"",F414/INDEX(F:F,MATCH(DATE(YEAR($A414)-1,MONTH($A414),DAY($A414)),$A:$A,0))-1),"")</f>
        <v/>
      </c>
      <c r="L414" s="19">
        <f>IFERROR(IF(OR(G414="",INDEX(G:G,MATCH(DATE(YEAR($A414)-1,MONTH($A414),DAY($A414)),$A:$A,0))=""),"",G414/INDEX(G:G,MATCH(DATE(YEAR($A414)-1,MONTH($A414),DAY($A414)),$A:$A,0))-1),"")</f>
        <v/>
      </c>
      <c r="M414" s="19">
        <f>IF(OR(E414="",E413=""),"",E414/E413-1)</f>
        <v/>
      </c>
      <c r="N414" s="19">
        <f>IF(OR(F414="",F413=""),"",F414/F413-1)</f>
        <v/>
      </c>
      <c r="O414" s="19">
        <f>IF(OR(G414="",G413=""),"",G414/G413-1)</f>
        <v/>
      </c>
      <c r="P414" s="22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IF(R414="","",P414/R414)</f>
        <v/>
      </c>
      <c r="T414" s="23">
        <f>IF(R414="","",Q414/R414)</f>
        <v/>
      </c>
      <c r="U414" s="24">
        <f>IF(SUMIFS('Daily NSE Equity Options'!$M:$M,'Daily NSE Equity Options'!$A:$A,$A414)=0,"",SUMIFS('Daily NSE Equity Options'!$M:$M,'Daily NSE Equity Options'!$A:$A,$A414))</f>
        <v/>
      </c>
      <c r="V414" s="9">
        <f>IF(SUMIFS('Daily BSE Equity Options'!$M:$M,'Daily BSE Equity Options'!$A:$A,$A414)=0,"",SUMIFS('Daily BSE Equity Options'!$M:$M,'Daily BSE Equity Options'!$A:$A,$A414))</f>
        <v/>
      </c>
      <c r="W414" s="9">
        <f>IF(OR(U414="",V414=""),"",U414+V414)</f>
        <v/>
      </c>
      <c r="X414" s="25">
        <f>IF(W414="","",U414/W414)</f>
        <v/>
      </c>
      <c r="Y414" s="25">
        <f>IF(W414="","",V414/W414)</f>
        <v/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19">
        <f>IF(G415="","",E415/G415)</f>
        <v/>
      </c>
      <c r="I415" s="19">
        <f>IF(G415="","",F415/G415)</f>
        <v/>
      </c>
      <c r="J415" s="26">
        <f>IFERROR(IF(OR(E415="",INDEX(E:E,MATCH(DATE(YEAR($A415)-1,MONTH($A415),DAY($A415)),$A:$A,0))=""),"",E415/INDEX(E:E,MATCH(DATE(YEAR($A415)-1,MONTH($A415),DAY($A415)),$A:$A,0))-1),"")</f>
        <v/>
      </c>
      <c r="K415" s="19">
        <f>IFERROR(IF(OR(F415="",INDEX(F:F,MATCH(DATE(YEAR($A415)-1,MONTH($A415),DAY($A415)),$A:$A,0))=""),"",F415/INDEX(F:F,MATCH(DATE(YEAR($A415)-1,MONTH($A415),DAY($A415)),$A:$A,0))-1),"")</f>
        <v/>
      </c>
      <c r="L415" s="19">
        <f>IFERROR(IF(OR(G415="",INDEX(G:G,MATCH(DATE(YEAR($A415)-1,MONTH($A415),DAY($A415)),$A:$A,0))=""),"",G415/INDEX(G:G,MATCH(DATE(YEAR($A415)-1,MONTH($A415),DAY($A415)),$A:$A,0))-1),"")</f>
        <v/>
      </c>
      <c r="M415" s="19">
        <f>IF(OR(E415="",E414=""),"",E415/E414-1)</f>
        <v/>
      </c>
      <c r="N415" s="19">
        <f>IF(OR(F415="",F414=""),"",F415/F414-1)</f>
        <v/>
      </c>
      <c r="O415" s="19">
        <f>IF(OR(G415="",G414=""),"",G415/G414-1)</f>
        <v/>
      </c>
      <c r="P415" s="22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IF(R415="","",P415/R415)</f>
        <v/>
      </c>
      <c r="T415" s="23">
        <f>IF(R415="","",Q415/R415)</f>
        <v/>
      </c>
      <c r="U415" s="24">
        <f>IF(SUMIFS('Daily NSE Equity Options'!$M:$M,'Daily NSE Equity Options'!$A:$A,$A415)=0,"",SUMIFS('Daily NSE Equity Options'!$M:$M,'Daily NSE Equity Options'!$A:$A,$A415))</f>
        <v/>
      </c>
      <c r="V415" s="9">
        <f>IF(SUMIFS('Daily BSE Equity Options'!$M:$M,'Daily BSE Equity Options'!$A:$A,$A415)=0,"",SUMIFS('Daily BSE Equity Options'!$M:$M,'Daily BSE Equity Options'!$A:$A,$A415))</f>
        <v/>
      </c>
      <c r="W415" s="9">
        <f>IF(OR(U415="",V415=""),"",U415+V415)</f>
        <v/>
      </c>
      <c r="X415" s="25">
        <f>IF(W415="","",U415/W415)</f>
        <v/>
      </c>
      <c r="Y415" s="25">
        <f>IF(W415="","",V415/W415)</f>
        <v/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19">
        <f>IF(G416="","",E416/G416)</f>
        <v/>
      </c>
      <c r="I416" s="19">
        <f>IF(G416="","",F416/G416)</f>
        <v/>
      </c>
      <c r="J416" s="26">
        <f>IFERROR(IF(OR(E416="",INDEX(E:E,MATCH(DATE(YEAR($A416)-1,MONTH($A416),DAY($A416)),$A:$A,0))=""),"",E416/INDEX(E:E,MATCH(DATE(YEAR($A416)-1,MONTH($A416),DAY($A416)),$A:$A,0))-1),"")</f>
        <v/>
      </c>
      <c r="K416" s="19">
        <f>IFERROR(IF(OR(F416="",INDEX(F:F,MATCH(DATE(YEAR($A416)-1,MONTH($A416),DAY($A416)),$A:$A,0))=""),"",F416/INDEX(F:F,MATCH(DATE(YEAR($A416)-1,MONTH($A416),DAY($A416)),$A:$A,0))-1),"")</f>
        <v/>
      </c>
      <c r="L416" s="19">
        <f>IFERROR(IF(OR(G416="",INDEX(G:G,MATCH(DATE(YEAR($A416)-1,MONTH($A416),DAY($A416)),$A:$A,0))=""),"",G416/INDEX(G:G,MATCH(DATE(YEAR($A416)-1,MONTH($A416),DAY($A416)),$A:$A,0))-1),"")</f>
        <v/>
      </c>
      <c r="M416" s="19">
        <f>IF(OR(E416="",E415=""),"",E416/E415-1)</f>
        <v/>
      </c>
      <c r="N416" s="19">
        <f>IF(OR(F416="",F415=""),"",F416/F415-1)</f>
        <v/>
      </c>
      <c r="O416" s="19">
        <f>IF(OR(G416="",G415=""),"",G416/G415-1)</f>
        <v/>
      </c>
      <c r="P416" s="22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IF(R416="","",P416/R416)</f>
        <v/>
      </c>
      <c r="T416" s="23">
        <f>IF(R416="","",Q416/R416)</f>
        <v/>
      </c>
      <c r="U416" s="24">
        <f>IF(SUMIFS('Daily NSE Equity Options'!$M:$M,'Daily NSE Equity Options'!$A:$A,$A416)=0,"",SUMIFS('Daily NSE Equity Options'!$M:$M,'Daily NSE Equity Options'!$A:$A,$A416))</f>
        <v/>
      </c>
      <c r="V416" s="9">
        <f>IF(SUMIFS('Daily BSE Equity Options'!$M:$M,'Daily BSE Equity Options'!$A:$A,$A416)=0,"",SUMIFS('Daily BSE Equity Options'!$M:$M,'Daily BSE Equity Options'!$A:$A,$A416))</f>
        <v/>
      </c>
      <c r="W416" s="9">
        <f>IF(OR(U416="",V416=""),"",U416+V416)</f>
        <v/>
      </c>
      <c r="X416" s="25">
        <f>IF(W416="","",U416/W416)</f>
        <v/>
      </c>
      <c r="Y416" s="25">
        <f>IF(W416="","",V416/W416)</f>
        <v/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19">
        <f>IF(G417="","",E417/G417)</f>
        <v/>
      </c>
      <c r="I417" s="19">
        <f>IF(G417="","",F417/G417)</f>
        <v/>
      </c>
      <c r="J417" s="26">
        <f>IFERROR(IF(OR(E417="",INDEX(E:E,MATCH(DATE(YEAR($A417)-1,MONTH($A417),DAY($A417)),$A:$A,0))=""),"",E417/INDEX(E:E,MATCH(DATE(YEAR($A417)-1,MONTH($A417),DAY($A417)),$A:$A,0))-1),"")</f>
        <v/>
      </c>
      <c r="K417" s="19">
        <f>IFERROR(IF(OR(F417="",INDEX(F:F,MATCH(DATE(YEAR($A417)-1,MONTH($A417),DAY($A417)),$A:$A,0))=""),"",F417/INDEX(F:F,MATCH(DATE(YEAR($A417)-1,MONTH($A417),DAY($A417)),$A:$A,0))-1),"")</f>
        <v/>
      </c>
      <c r="L417" s="19">
        <f>IFERROR(IF(OR(G417="",INDEX(G:G,MATCH(DATE(YEAR($A417)-1,MONTH($A417),DAY($A417)),$A:$A,0))=""),"",G417/INDEX(G:G,MATCH(DATE(YEAR($A417)-1,MONTH($A417),DAY($A417)),$A:$A,0))-1),"")</f>
        <v/>
      </c>
      <c r="M417" s="19">
        <f>IF(OR(E417="",E416=""),"",E417/E416-1)</f>
        <v/>
      </c>
      <c r="N417" s="19">
        <f>IF(OR(F417="",F416=""),"",F417/F416-1)</f>
        <v/>
      </c>
      <c r="O417" s="19">
        <f>IF(OR(G417="",G416=""),"",G417/G416-1)</f>
        <v/>
      </c>
      <c r="P417" s="22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IF(R417="","",P417/R417)</f>
        <v/>
      </c>
      <c r="T417" s="23">
        <f>IF(R417="","",Q417/R417)</f>
        <v/>
      </c>
      <c r="U417" s="24">
        <f>IF(SUMIFS('Daily NSE Equity Options'!$M:$M,'Daily NSE Equity Options'!$A:$A,$A417)=0,"",SUMIFS('Daily NSE Equity Options'!$M:$M,'Daily NSE Equity Options'!$A:$A,$A417))</f>
        <v/>
      </c>
      <c r="V417" s="9">
        <f>IF(SUMIFS('Daily BSE Equity Options'!$M:$M,'Daily BSE Equity Options'!$A:$A,$A417)=0,"",SUMIFS('Daily BSE Equity Options'!$M:$M,'Daily BSE Equity Options'!$A:$A,$A417))</f>
        <v/>
      </c>
      <c r="W417" s="9">
        <f>IF(OR(U417="",V417=""),"",U417+V417)</f>
        <v/>
      </c>
      <c r="X417" s="25">
        <f>IF(W417="","",U417/W417)</f>
        <v/>
      </c>
      <c r="Y417" s="25">
        <f>IF(W417="","",V417/W417)</f>
        <v/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19">
        <f>IF(G418="","",E418/G418)</f>
        <v/>
      </c>
      <c r="I418" s="19">
        <f>IF(G418="","",F418/G418)</f>
        <v/>
      </c>
      <c r="J418" s="26">
        <f>IFERROR(IF(OR(E418="",INDEX(E:E,MATCH(DATE(YEAR($A418)-1,MONTH($A418),DAY($A418)),$A:$A,0))=""),"",E418/INDEX(E:E,MATCH(DATE(YEAR($A418)-1,MONTH($A418),DAY($A418)),$A:$A,0))-1),"")</f>
        <v/>
      </c>
      <c r="K418" s="19">
        <f>IFERROR(IF(OR(F418="",INDEX(F:F,MATCH(DATE(YEAR($A418)-1,MONTH($A418),DAY($A418)),$A:$A,0))=""),"",F418/INDEX(F:F,MATCH(DATE(YEAR($A418)-1,MONTH($A418),DAY($A418)),$A:$A,0))-1),"")</f>
        <v/>
      </c>
      <c r="L418" s="19">
        <f>IFERROR(IF(OR(G418="",INDEX(G:G,MATCH(DATE(YEAR($A418)-1,MONTH($A418),DAY($A418)),$A:$A,0))=""),"",G418/INDEX(G:G,MATCH(DATE(YEAR($A418)-1,MONTH($A418),DAY($A418)),$A:$A,0))-1),"")</f>
        <v/>
      </c>
      <c r="M418" s="19">
        <f>IF(OR(E418="",E417=""),"",E418/E417-1)</f>
        <v/>
      </c>
      <c r="N418" s="19">
        <f>IF(OR(F418="",F417=""),"",F418/F417-1)</f>
        <v/>
      </c>
      <c r="O418" s="19">
        <f>IF(OR(G418="",G417=""),"",G418/G417-1)</f>
        <v/>
      </c>
      <c r="P418" s="22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IF(R418="","",P418/R418)</f>
        <v/>
      </c>
      <c r="T418" s="23">
        <f>IF(R418="","",Q418/R418)</f>
        <v/>
      </c>
      <c r="U418" s="24">
        <f>IF(SUMIFS('Daily NSE Equity Options'!$M:$M,'Daily NSE Equity Options'!$A:$A,$A418)=0,"",SUMIFS('Daily NSE Equity Options'!$M:$M,'Daily NSE Equity Options'!$A:$A,$A418))</f>
        <v/>
      </c>
      <c r="V418" s="9">
        <f>IF(SUMIFS('Daily BSE Equity Options'!$M:$M,'Daily BSE Equity Options'!$A:$A,$A418)=0,"",SUMIFS('Daily BSE Equity Options'!$M:$M,'Daily BSE Equity Options'!$A:$A,$A418))</f>
        <v/>
      </c>
      <c r="W418" s="9">
        <f>IF(OR(U418="",V418=""),"",U418+V418)</f>
        <v/>
      </c>
      <c r="X418" s="25">
        <f>IF(W418="","",U418/W418)</f>
        <v/>
      </c>
      <c r="Y418" s="25">
        <f>IF(W418="","",V418/W418)</f>
        <v/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19">
        <f>IF(G419="","",E419/G419)</f>
        <v/>
      </c>
      <c r="I419" s="19">
        <f>IF(G419="","",F419/G419)</f>
        <v/>
      </c>
      <c r="J419" s="26">
        <f>IFERROR(IF(OR(E419="",INDEX(E:E,MATCH(DATE(YEAR($A419)-1,MONTH($A419),DAY($A419)),$A:$A,0))=""),"",E419/INDEX(E:E,MATCH(DATE(YEAR($A419)-1,MONTH($A419),DAY($A419)),$A:$A,0))-1),"")</f>
        <v/>
      </c>
      <c r="K419" s="19">
        <f>IFERROR(IF(OR(F419="",INDEX(F:F,MATCH(DATE(YEAR($A419)-1,MONTH($A419),DAY($A419)),$A:$A,0))=""),"",F419/INDEX(F:F,MATCH(DATE(YEAR($A419)-1,MONTH($A419),DAY($A419)),$A:$A,0))-1),"")</f>
        <v/>
      </c>
      <c r="L419" s="19">
        <f>IFERROR(IF(OR(G419="",INDEX(G:G,MATCH(DATE(YEAR($A419)-1,MONTH($A419),DAY($A419)),$A:$A,0))=""),"",G419/INDEX(G:G,MATCH(DATE(YEAR($A419)-1,MONTH($A419),DAY($A419)),$A:$A,0))-1),"")</f>
        <v/>
      </c>
      <c r="M419" s="19">
        <f>IF(OR(E419="",E418=""),"",E419/E418-1)</f>
        <v/>
      </c>
      <c r="N419" s="19">
        <f>IF(OR(F419="",F418=""),"",F419/F418-1)</f>
        <v/>
      </c>
      <c r="O419" s="19">
        <f>IF(OR(G419="",G418=""),"",G419/G418-1)</f>
        <v/>
      </c>
      <c r="P419" s="22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IF(R419="","",P419/R419)</f>
        <v/>
      </c>
      <c r="T419" s="23">
        <f>IF(R419="","",Q419/R419)</f>
        <v/>
      </c>
      <c r="U419" s="24">
        <f>IF(SUMIFS('Daily NSE Equity Options'!$M:$M,'Daily NSE Equity Options'!$A:$A,$A419)=0,"",SUMIFS('Daily NSE Equity Options'!$M:$M,'Daily NSE Equity Options'!$A:$A,$A419))</f>
        <v/>
      </c>
      <c r="V419" s="9">
        <f>IF(SUMIFS('Daily BSE Equity Options'!$M:$M,'Daily BSE Equity Options'!$A:$A,$A419)=0,"",SUMIFS('Daily BSE Equity Options'!$M:$M,'Daily BSE Equity Options'!$A:$A,$A419))</f>
        <v/>
      </c>
      <c r="W419" s="9">
        <f>IF(OR(U419="",V419=""),"",U419+V419)</f>
        <v/>
      </c>
      <c r="X419" s="25">
        <f>IF(W419="","",U419/W419)</f>
        <v/>
      </c>
      <c r="Y419" s="25">
        <f>IF(W419="","",V419/W419)</f>
        <v/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19">
        <f>IF(G420="","",E420/G420)</f>
        <v/>
      </c>
      <c r="I420" s="19">
        <f>IF(G420="","",F420/G420)</f>
        <v/>
      </c>
      <c r="J420" s="26">
        <f>IFERROR(IF(OR(E420="",INDEX(E:E,MATCH(DATE(YEAR($A420)-1,MONTH($A420),DAY($A420)),$A:$A,0))=""),"",E420/INDEX(E:E,MATCH(DATE(YEAR($A420)-1,MONTH($A420),DAY($A420)),$A:$A,0))-1),"")</f>
        <v/>
      </c>
      <c r="K420" s="19">
        <f>IFERROR(IF(OR(F420="",INDEX(F:F,MATCH(DATE(YEAR($A420)-1,MONTH($A420),DAY($A420)),$A:$A,0))=""),"",F420/INDEX(F:F,MATCH(DATE(YEAR($A420)-1,MONTH($A420),DAY($A420)),$A:$A,0))-1),"")</f>
        <v/>
      </c>
      <c r="L420" s="19">
        <f>IFERROR(IF(OR(G420="",INDEX(G:G,MATCH(DATE(YEAR($A420)-1,MONTH($A420),DAY($A420)),$A:$A,0))=""),"",G420/INDEX(G:G,MATCH(DATE(YEAR($A420)-1,MONTH($A420),DAY($A420)),$A:$A,0))-1),"")</f>
        <v/>
      </c>
      <c r="M420" s="19">
        <f>IF(OR(E420="",E419=""),"",E420/E419-1)</f>
        <v/>
      </c>
      <c r="N420" s="19">
        <f>IF(OR(F420="",F419=""),"",F420/F419-1)</f>
        <v/>
      </c>
      <c r="O420" s="19">
        <f>IF(OR(G420="",G419=""),"",G420/G419-1)</f>
        <v/>
      </c>
      <c r="P420" s="22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IF(R420="","",P420/R420)</f>
        <v/>
      </c>
      <c r="T420" s="23">
        <f>IF(R420="","",Q420/R420)</f>
        <v/>
      </c>
      <c r="U420" s="24">
        <f>IF(SUMIFS('Daily NSE Equity Options'!$M:$M,'Daily NSE Equity Options'!$A:$A,$A420)=0,"",SUMIFS('Daily NSE Equity Options'!$M:$M,'Daily NSE Equity Options'!$A:$A,$A420))</f>
        <v/>
      </c>
      <c r="V420" s="9">
        <f>IF(SUMIFS('Daily BSE Equity Options'!$M:$M,'Daily BSE Equity Options'!$A:$A,$A420)=0,"",SUMIFS('Daily BSE Equity Options'!$M:$M,'Daily BSE Equity Options'!$A:$A,$A420))</f>
        <v/>
      </c>
      <c r="W420" s="9">
        <f>IF(OR(U420="",V420=""),"",U420+V420)</f>
        <v/>
      </c>
      <c r="X420" s="25">
        <f>IF(W420="","",U420/W420)</f>
        <v/>
      </c>
      <c r="Y420" s="25">
        <f>IF(W420="","",V420/W420)</f>
        <v/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19">
        <f>IF(G421="","",E421/G421)</f>
        <v/>
      </c>
      <c r="I421" s="19">
        <f>IF(G421="","",F421/G421)</f>
        <v/>
      </c>
      <c r="J421" s="26">
        <f>IFERROR(IF(OR(E421="",INDEX(E:E,MATCH(DATE(YEAR($A421)-1,MONTH($A421),DAY($A421)),$A:$A,0))=""),"",E421/INDEX(E:E,MATCH(DATE(YEAR($A421)-1,MONTH($A421),DAY($A421)),$A:$A,0))-1),"")</f>
        <v/>
      </c>
      <c r="K421" s="19">
        <f>IFERROR(IF(OR(F421="",INDEX(F:F,MATCH(DATE(YEAR($A421)-1,MONTH($A421),DAY($A421)),$A:$A,0))=""),"",F421/INDEX(F:F,MATCH(DATE(YEAR($A421)-1,MONTH($A421),DAY($A421)),$A:$A,0))-1),"")</f>
        <v/>
      </c>
      <c r="L421" s="19">
        <f>IFERROR(IF(OR(G421="",INDEX(G:G,MATCH(DATE(YEAR($A421)-1,MONTH($A421),DAY($A421)),$A:$A,0))=""),"",G421/INDEX(G:G,MATCH(DATE(YEAR($A421)-1,MONTH($A421),DAY($A421)),$A:$A,0))-1),"")</f>
        <v/>
      </c>
      <c r="M421" s="19">
        <f>IF(OR(E421="",E420=""),"",E421/E420-1)</f>
        <v/>
      </c>
      <c r="N421" s="19">
        <f>IF(OR(F421="",F420=""),"",F421/F420-1)</f>
        <v/>
      </c>
      <c r="O421" s="19">
        <f>IF(OR(G421="",G420=""),"",G421/G420-1)</f>
        <v/>
      </c>
      <c r="P421" s="22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IF(R421="","",P421/R421)</f>
        <v/>
      </c>
      <c r="T421" s="23">
        <f>IF(R421="","",Q421/R421)</f>
        <v/>
      </c>
      <c r="U421" s="24">
        <f>IF(SUMIFS('Daily NSE Equity Options'!$M:$M,'Daily NSE Equity Options'!$A:$A,$A421)=0,"",SUMIFS('Daily NSE Equity Options'!$M:$M,'Daily NSE Equity Options'!$A:$A,$A421))</f>
        <v/>
      </c>
      <c r="V421" s="9">
        <f>IF(SUMIFS('Daily BSE Equity Options'!$M:$M,'Daily BSE Equity Options'!$A:$A,$A421)=0,"",SUMIFS('Daily BSE Equity Options'!$M:$M,'Daily BSE Equity Options'!$A:$A,$A421))</f>
        <v/>
      </c>
      <c r="W421" s="9">
        <f>IF(OR(U421="",V421=""),"",U421+V421)</f>
        <v/>
      </c>
      <c r="X421" s="25">
        <f>IF(W421="","",U421/W421)</f>
        <v/>
      </c>
      <c r="Y421" s="25">
        <f>IF(W421="","",V421/W421)</f>
        <v/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19">
        <f>IF(G422="","",E422/G422)</f>
        <v/>
      </c>
      <c r="I422" s="19">
        <f>IF(G422="","",F422/G422)</f>
        <v/>
      </c>
      <c r="J422" s="26">
        <f>IFERROR(IF(OR(E422="",INDEX(E:E,MATCH(DATE(YEAR($A422)-1,MONTH($A422),DAY($A422)),$A:$A,0))=""),"",E422/INDEX(E:E,MATCH(DATE(YEAR($A422)-1,MONTH($A422),DAY($A422)),$A:$A,0))-1),"")</f>
        <v/>
      </c>
      <c r="K422" s="19">
        <f>IFERROR(IF(OR(F422="",INDEX(F:F,MATCH(DATE(YEAR($A422)-1,MONTH($A422),DAY($A422)),$A:$A,0))=""),"",F422/INDEX(F:F,MATCH(DATE(YEAR($A422)-1,MONTH($A422),DAY($A422)),$A:$A,0))-1),"")</f>
        <v/>
      </c>
      <c r="L422" s="19">
        <f>IFERROR(IF(OR(G422="",INDEX(G:G,MATCH(DATE(YEAR($A422)-1,MONTH($A422),DAY($A422)),$A:$A,0))=""),"",G422/INDEX(G:G,MATCH(DATE(YEAR($A422)-1,MONTH($A422),DAY($A422)),$A:$A,0))-1),"")</f>
        <v/>
      </c>
      <c r="M422" s="19">
        <f>IF(OR(E422="",E421=""),"",E422/E421-1)</f>
        <v/>
      </c>
      <c r="N422" s="19">
        <f>IF(OR(F422="",F421=""),"",F422/F421-1)</f>
        <v/>
      </c>
      <c r="O422" s="19">
        <f>IF(OR(G422="",G421=""),"",G422/G421-1)</f>
        <v/>
      </c>
      <c r="P422" s="22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IF(R422="","",P422/R422)</f>
        <v/>
      </c>
      <c r="T422" s="23">
        <f>IF(R422="","",Q422/R422)</f>
        <v/>
      </c>
      <c r="U422" s="24">
        <f>IF(SUMIFS('Daily NSE Equity Options'!$M:$M,'Daily NSE Equity Options'!$A:$A,$A422)=0,"",SUMIFS('Daily NSE Equity Options'!$M:$M,'Daily NSE Equity Options'!$A:$A,$A422))</f>
        <v/>
      </c>
      <c r="V422" s="9">
        <f>IF(SUMIFS('Daily BSE Equity Options'!$M:$M,'Daily BSE Equity Options'!$A:$A,$A422)=0,"",SUMIFS('Daily BSE Equity Options'!$M:$M,'Daily BSE Equity Options'!$A:$A,$A422))</f>
        <v/>
      </c>
      <c r="W422" s="9">
        <f>IF(OR(U422="",V422=""),"",U422+V422)</f>
        <v/>
      </c>
      <c r="X422" s="25">
        <f>IF(W422="","",U422/W422)</f>
        <v/>
      </c>
      <c r="Y422" s="25">
        <f>IF(W422="","",V422/W422)</f>
        <v/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19">
        <f>IF(G423="","",E423/G423)</f>
        <v/>
      </c>
      <c r="I423" s="19">
        <f>IF(G423="","",F423/G423)</f>
        <v/>
      </c>
      <c r="J423" s="26">
        <f>IFERROR(IF(OR(E423="",INDEX(E:E,MATCH(DATE(YEAR($A423)-1,MONTH($A423),DAY($A423)),$A:$A,0))=""),"",E423/INDEX(E:E,MATCH(DATE(YEAR($A423)-1,MONTH($A423),DAY($A423)),$A:$A,0))-1),"")</f>
        <v/>
      </c>
      <c r="K423" s="19">
        <f>IFERROR(IF(OR(F423="",INDEX(F:F,MATCH(DATE(YEAR($A423)-1,MONTH($A423),DAY($A423)),$A:$A,0))=""),"",F423/INDEX(F:F,MATCH(DATE(YEAR($A423)-1,MONTH($A423),DAY($A423)),$A:$A,0))-1),"")</f>
        <v/>
      </c>
      <c r="L423" s="19">
        <f>IFERROR(IF(OR(G423="",INDEX(G:G,MATCH(DATE(YEAR($A423)-1,MONTH($A423),DAY($A423)),$A:$A,0))=""),"",G423/INDEX(G:G,MATCH(DATE(YEAR($A423)-1,MONTH($A423),DAY($A423)),$A:$A,0))-1),"")</f>
        <v/>
      </c>
      <c r="M423" s="19">
        <f>IF(OR(E423="",E422=""),"",E423/E422-1)</f>
        <v/>
      </c>
      <c r="N423" s="19">
        <f>IF(OR(F423="",F422=""),"",F423/F422-1)</f>
        <v/>
      </c>
      <c r="O423" s="19">
        <f>IF(OR(G423="",G422=""),"",G423/G422-1)</f>
        <v/>
      </c>
      <c r="P423" s="22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IF(R423="","",P423/R423)</f>
        <v/>
      </c>
      <c r="T423" s="23">
        <f>IF(R423="","",Q423/R423)</f>
        <v/>
      </c>
      <c r="U423" s="24">
        <f>IF(SUMIFS('Daily NSE Equity Options'!$M:$M,'Daily NSE Equity Options'!$A:$A,$A423)=0,"",SUMIFS('Daily NSE Equity Options'!$M:$M,'Daily NSE Equity Options'!$A:$A,$A423))</f>
        <v/>
      </c>
      <c r="V423" s="9">
        <f>IF(SUMIFS('Daily BSE Equity Options'!$M:$M,'Daily BSE Equity Options'!$A:$A,$A423)=0,"",SUMIFS('Daily BSE Equity Options'!$M:$M,'Daily BSE Equity Options'!$A:$A,$A423))</f>
        <v/>
      </c>
      <c r="W423" s="9">
        <f>IF(OR(U423="",V423=""),"",U423+V423)</f>
        <v/>
      </c>
      <c r="X423" s="25">
        <f>IF(W423="","",U423/W423)</f>
        <v/>
      </c>
      <c r="Y423" s="25">
        <f>IF(W423="","",V423/W423)</f>
        <v/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19">
        <f>IF(G424="","",E424/G424)</f>
        <v/>
      </c>
      <c r="I424" s="19">
        <f>IF(G424="","",F424/G424)</f>
        <v/>
      </c>
      <c r="J424" s="26">
        <f>IFERROR(IF(OR(E424="",INDEX(E:E,MATCH(DATE(YEAR($A424)-1,MONTH($A424),DAY($A424)),$A:$A,0))=""),"",E424/INDEX(E:E,MATCH(DATE(YEAR($A424)-1,MONTH($A424),DAY($A424)),$A:$A,0))-1),"")</f>
        <v/>
      </c>
      <c r="K424" s="19">
        <f>IFERROR(IF(OR(F424="",INDEX(F:F,MATCH(DATE(YEAR($A424)-1,MONTH($A424),DAY($A424)),$A:$A,0))=""),"",F424/INDEX(F:F,MATCH(DATE(YEAR($A424)-1,MONTH($A424),DAY($A424)),$A:$A,0))-1),"")</f>
        <v/>
      </c>
      <c r="L424" s="19">
        <f>IFERROR(IF(OR(G424="",INDEX(G:G,MATCH(DATE(YEAR($A424)-1,MONTH($A424),DAY($A424)),$A:$A,0))=""),"",G424/INDEX(G:G,MATCH(DATE(YEAR($A424)-1,MONTH($A424),DAY($A424)),$A:$A,0))-1),"")</f>
        <v/>
      </c>
      <c r="M424" s="19">
        <f>IF(OR(E424="",E423=""),"",E424/E423-1)</f>
        <v/>
      </c>
      <c r="N424" s="19">
        <f>IF(OR(F424="",F423=""),"",F424/F423-1)</f>
        <v/>
      </c>
      <c r="O424" s="19">
        <f>IF(OR(G424="",G423=""),"",G424/G423-1)</f>
        <v/>
      </c>
      <c r="P424" s="22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IF(R424="","",P424/R424)</f>
        <v/>
      </c>
      <c r="T424" s="23">
        <f>IF(R424="","",Q424/R424)</f>
        <v/>
      </c>
      <c r="U424" s="24">
        <f>IF(SUMIFS('Daily NSE Equity Options'!$M:$M,'Daily NSE Equity Options'!$A:$A,$A424)=0,"",SUMIFS('Daily NSE Equity Options'!$M:$M,'Daily NSE Equity Options'!$A:$A,$A424))</f>
        <v/>
      </c>
      <c r="V424" s="9">
        <f>IF(SUMIFS('Daily BSE Equity Options'!$M:$M,'Daily BSE Equity Options'!$A:$A,$A424)=0,"",SUMIFS('Daily BSE Equity Options'!$M:$M,'Daily BSE Equity Options'!$A:$A,$A424))</f>
        <v/>
      </c>
      <c r="W424" s="9">
        <f>IF(OR(U424="",V424=""),"",U424+V424)</f>
        <v/>
      </c>
      <c r="X424" s="25">
        <f>IF(W424="","",U424/W424)</f>
        <v/>
      </c>
      <c r="Y424" s="25">
        <f>IF(W424="","",V424/W424)</f>
        <v/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19">
        <f>IF(G425="","",E425/G425)</f>
        <v/>
      </c>
      <c r="I425" s="19">
        <f>IF(G425="","",F425/G425)</f>
        <v/>
      </c>
      <c r="J425" s="26">
        <f>IFERROR(IF(OR(E425="",INDEX(E:E,MATCH(DATE(YEAR($A425)-1,MONTH($A425),DAY($A425)),$A:$A,0))=""),"",E425/INDEX(E:E,MATCH(DATE(YEAR($A425)-1,MONTH($A425),DAY($A425)),$A:$A,0))-1),"")</f>
        <v/>
      </c>
      <c r="K425" s="19">
        <f>IFERROR(IF(OR(F425="",INDEX(F:F,MATCH(DATE(YEAR($A425)-1,MONTH($A425),DAY($A425)),$A:$A,0))=""),"",F425/INDEX(F:F,MATCH(DATE(YEAR($A425)-1,MONTH($A425),DAY($A425)),$A:$A,0))-1),"")</f>
        <v/>
      </c>
      <c r="L425" s="19">
        <f>IFERROR(IF(OR(G425="",INDEX(G:G,MATCH(DATE(YEAR($A425)-1,MONTH($A425),DAY($A425)),$A:$A,0))=""),"",G425/INDEX(G:G,MATCH(DATE(YEAR($A425)-1,MONTH($A425),DAY($A425)),$A:$A,0))-1),"")</f>
        <v/>
      </c>
      <c r="M425" s="19">
        <f>IF(OR(E425="",E424=""),"",E425/E424-1)</f>
        <v/>
      </c>
      <c r="N425" s="19">
        <f>IF(OR(F425="",F424=""),"",F425/F424-1)</f>
        <v/>
      </c>
      <c r="O425" s="19">
        <f>IF(OR(G425="",G424=""),"",G425/G424-1)</f>
        <v/>
      </c>
      <c r="P425" s="22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IF(R425="","",P425/R425)</f>
        <v/>
      </c>
      <c r="T425" s="23">
        <f>IF(R425="","",Q425/R425)</f>
        <v/>
      </c>
      <c r="U425" s="24">
        <f>IF(SUMIFS('Daily NSE Equity Options'!$M:$M,'Daily NSE Equity Options'!$A:$A,$A425)=0,"",SUMIFS('Daily NSE Equity Options'!$M:$M,'Daily NSE Equity Options'!$A:$A,$A425))</f>
        <v/>
      </c>
      <c r="V425" s="9">
        <f>IF(SUMIFS('Daily BSE Equity Options'!$M:$M,'Daily BSE Equity Options'!$A:$A,$A425)=0,"",SUMIFS('Daily BSE Equity Options'!$M:$M,'Daily BSE Equity Options'!$A:$A,$A425))</f>
        <v/>
      </c>
      <c r="W425" s="9">
        <f>IF(OR(U425="",V425=""),"",U425+V425)</f>
        <v/>
      </c>
      <c r="X425" s="25">
        <f>IF(W425="","",U425/W425)</f>
        <v/>
      </c>
      <c r="Y425" s="25">
        <f>IF(W425="","",V425/W425)</f>
        <v/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19">
        <f>IF(G426="","",E426/G426)</f>
        <v/>
      </c>
      <c r="I426" s="19">
        <f>IF(G426="","",F426/G426)</f>
        <v/>
      </c>
      <c r="J426" s="26">
        <f>IFERROR(IF(OR(E426="",INDEX(E:E,MATCH(DATE(YEAR($A426)-1,MONTH($A426),DAY($A426)),$A:$A,0))=""),"",E426/INDEX(E:E,MATCH(DATE(YEAR($A426)-1,MONTH($A426),DAY($A426)),$A:$A,0))-1),"")</f>
        <v/>
      </c>
      <c r="K426" s="19">
        <f>IFERROR(IF(OR(F426="",INDEX(F:F,MATCH(DATE(YEAR($A426)-1,MONTH($A426),DAY($A426)),$A:$A,0))=""),"",F426/INDEX(F:F,MATCH(DATE(YEAR($A426)-1,MONTH($A426),DAY($A426)),$A:$A,0))-1),"")</f>
        <v/>
      </c>
      <c r="L426" s="19">
        <f>IFERROR(IF(OR(G426="",INDEX(G:G,MATCH(DATE(YEAR($A426)-1,MONTH($A426),DAY($A426)),$A:$A,0))=""),"",G426/INDEX(G:G,MATCH(DATE(YEAR($A426)-1,MONTH($A426),DAY($A426)),$A:$A,0))-1),"")</f>
        <v/>
      </c>
      <c r="M426" s="19">
        <f>IF(OR(E426="",E425=""),"",E426/E425-1)</f>
        <v/>
      </c>
      <c r="N426" s="19">
        <f>IF(OR(F426="",F425=""),"",F426/F425-1)</f>
        <v/>
      </c>
      <c r="O426" s="19">
        <f>IF(OR(G426="",G425=""),"",G426/G425-1)</f>
        <v/>
      </c>
      <c r="P426" s="22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IF(R426="","",P426/R426)</f>
        <v/>
      </c>
      <c r="T426" s="23">
        <f>IF(R426="","",Q426/R426)</f>
        <v/>
      </c>
      <c r="U426" s="24">
        <f>IF(SUMIFS('Daily NSE Equity Options'!$M:$M,'Daily NSE Equity Options'!$A:$A,$A426)=0,"",SUMIFS('Daily NSE Equity Options'!$M:$M,'Daily NSE Equity Options'!$A:$A,$A426))</f>
        <v/>
      </c>
      <c r="V426" s="9">
        <f>IF(SUMIFS('Daily BSE Equity Options'!$M:$M,'Daily BSE Equity Options'!$A:$A,$A426)=0,"",SUMIFS('Daily BSE Equity Options'!$M:$M,'Daily BSE Equity Options'!$A:$A,$A426))</f>
        <v/>
      </c>
      <c r="W426" s="9">
        <f>IF(OR(U426="",V426=""),"",U426+V426)</f>
        <v/>
      </c>
      <c r="X426" s="25">
        <f>IF(W426="","",U426/W426)</f>
        <v/>
      </c>
      <c r="Y426" s="25">
        <f>IF(W426="","",V426/W426)</f>
        <v/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19">
        <f>IF(G427="","",E427/G427)</f>
        <v/>
      </c>
      <c r="I427" s="19">
        <f>IF(G427="","",F427/G427)</f>
        <v/>
      </c>
      <c r="J427" s="26">
        <f>IFERROR(IF(OR(E427="",INDEX(E:E,MATCH(DATE(YEAR($A427)-1,MONTH($A427),DAY($A427)),$A:$A,0))=""),"",E427/INDEX(E:E,MATCH(DATE(YEAR($A427)-1,MONTH($A427),DAY($A427)),$A:$A,0))-1),"")</f>
        <v/>
      </c>
      <c r="K427" s="19">
        <f>IFERROR(IF(OR(F427="",INDEX(F:F,MATCH(DATE(YEAR($A427)-1,MONTH($A427),DAY($A427)),$A:$A,0))=""),"",F427/INDEX(F:F,MATCH(DATE(YEAR($A427)-1,MONTH($A427),DAY($A427)),$A:$A,0))-1),"")</f>
        <v/>
      </c>
      <c r="L427" s="19">
        <f>IFERROR(IF(OR(G427="",INDEX(G:G,MATCH(DATE(YEAR($A427)-1,MONTH($A427),DAY($A427)),$A:$A,0))=""),"",G427/INDEX(G:G,MATCH(DATE(YEAR($A427)-1,MONTH($A427),DAY($A427)),$A:$A,0))-1),"")</f>
        <v/>
      </c>
      <c r="M427" s="19">
        <f>IF(OR(E427="",E426=""),"",E427/E426-1)</f>
        <v/>
      </c>
      <c r="N427" s="19">
        <f>IF(OR(F427="",F426=""),"",F427/F426-1)</f>
        <v/>
      </c>
      <c r="O427" s="19">
        <f>IF(OR(G427="",G426=""),"",G427/G426-1)</f>
        <v/>
      </c>
      <c r="P427" s="22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IF(R427="","",P427/R427)</f>
        <v/>
      </c>
      <c r="T427" s="23">
        <f>IF(R427="","",Q427/R427)</f>
        <v/>
      </c>
      <c r="U427" s="24">
        <f>IF(SUMIFS('Daily NSE Equity Options'!$M:$M,'Daily NSE Equity Options'!$A:$A,$A427)=0,"",SUMIFS('Daily NSE Equity Options'!$M:$M,'Daily NSE Equity Options'!$A:$A,$A427))</f>
        <v/>
      </c>
      <c r="V427" s="9">
        <f>IF(SUMIFS('Daily BSE Equity Options'!$M:$M,'Daily BSE Equity Options'!$A:$A,$A427)=0,"",SUMIFS('Daily BSE Equity Options'!$M:$M,'Daily BSE Equity Options'!$A:$A,$A427))</f>
        <v/>
      </c>
      <c r="W427" s="9">
        <f>IF(OR(U427="",V427=""),"",U427+V427)</f>
        <v/>
      </c>
      <c r="X427" s="25">
        <f>IF(W427="","",U427/W427)</f>
        <v/>
      </c>
      <c r="Y427" s="25">
        <f>IF(W427="","",V427/W427)</f>
        <v/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19">
        <f>IF(G428="","",E428/G428)</f>
        <v/>
      </c>
      <c r="I428" s="19">
        <f>IF(G428="","",F428/G428)</f>
        <v/>
      </c>
      <c r="J428" s="26">
        <f>IFERROR(IF(OR(E428="",INDEX(E:E,MATCH(DATE(YEAR($A428)-1,MONTH($A428),DAY($A428)),$A:$A,0))=""),"",E428/INDEX(E:E,MATCH(DATE(YEAR($A428)-1,MONTH($A428),DAY($A428)),$A:$A,0))-1),"")</f>
        <v/>
      </c>
      <c r="K428" s="19">
        <f>IFERROR(IF(OR(F428="",INDEX(F:F,MATCH(DATE(YEAR($A428)-1,MONTH($A428),DAY($A428)),$A:$A,0))=""),"",F428/INDEX(F:F,MATCH(DATE(YEAR($A428)-1,MONTH($A428),DAY($A428)),$A:$A,0))-1),"")</f>
        <v/>
      </c>
      <c r="L428" s="19">
        <f>IFERROR(IF(OR(G428="",INDEX(G:G,MATCH(DATE(YEAR($A428)-1,MONTH($A428),DAY($A428)),$A:$A,0))=""),"",G428/INDEX(G:G,MATCH(DATE(YEAR($A428)-1,MONTH($A428),DAY($A428)),$A:$A,0))-1),"")</f>
        <v/>
      </c>
      <c r="M428" s="19">
        <f>IF(OR(E428="",E427=""),"",E428/E427-1)</f>
        <v/>
      </c>
      <c r="N428" s="19">
        <f>IF(OR(F428="",F427=""),"",F428/F427-1)</f>
        <v/>
      </c>
      <c r="O428" s="19">
        <f>IF(OR(G428="",G427=""),"",G428/G427-1)</f>
        <v/>
      </c>
      <c r="P428" s="22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IF(R428="","",P428/R428)</f>
        <v/>
      </c>
      <c r="T428" s="23">
        <f>IF(R428="","",Q428/R428)</f>
        <v/>
      </c>
      <c r="U428" s="24">
        <f>IF(SUMIFS('Daily NSE Equity Options'!$M:$M,'Daily NSE Equity Options'!$A:$A,$A428)=0,"",SUMIFS('Daily NSE Equity Options'!$M:$M,'Daily NSE Equity Options'!$A:$A,$A428))</f>
        <v/>
      </c>
      <c r="V428" s="9">
        <f>IF(SUMIFS('Daily BSE Equity Options'!$M:$M,'Daily BSE Equity Options'!$A:$A,$A428)=0,"",SUMIFS('Daily BSE Equity Options'!$M:$M,'Daily BSE Equity Options'!$A:$A,$A428))</f>
        <v/>
      </c>
      <c r="W428" s="9">
        <f>IF(OR(U428="",V428=""),"",U428+V428)</f>
        <v/>
      </c>
      <c r="X428" s="25">
        <f>IF(W428="","",U428/W428)</f>
        <v/>
      </c>
      <c r="Y428" s="25">
        <f>IF(W428="","",V428/W428)</f>
        <v/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19">
        <f>IF(G429="","",E429/G429)</f>
        <v/>
      </c>
      <c r="I429" s="19">
        <f>IF(G429="","",F429/G429)</f>
        <v/>
      </c>
      <c r="J429" s="26">
        <f>IFERROR(IF(OR(E429="",INDEX(E:E,MATCH(DATE(YEAR($A429)-1,MONTH($A429),DAY($A429)),$A:$A,0))=""),"",E429/INDEX(E:E,MATCH(DATE(YEAR($A429)-1,MONTH($A429),DAY($A429)),$A:$A,0))-1),"")</f>
        <v/>
      </c>
      <c r="K429" s="19">
        <f>IFERROR(IF(OR(F429="",INDEX(F:F,MATCH(DATE(YEAR($A429)-1,MONTH($A429),DAY($A429)),$A:$A,0))=""),"",F429/INDEX(F:F,MATCH(DATE(YEAR($A429)-1,MONTH($A429),DAY($A429)),$A:$A,0))-1),"")</f>
        <v/>
      </c>
      <c r="L429" s="19">
        <f>IFERROR(IF(OR(G429="",INDEX(G:G,MATCH(DATE(YEAR($A429)-1,MONTH($A429),DAY($A429)),$A:$A,0))=""),"",G429/INDEX(G:G,MATCH(DATE(YEAR($A429)-1,MONTH($A429),DAY($A429)),$A:$A,0))-1),"")</f>
        <v/>
      </c>
      <c r="M429" s="19">
        <f>IF(OR(E429="",E428=""),"",E429/E428-1)</f>
        <v/>
      </c>
      <c r="N429" s="19">
        <f>IF(OR(F429="",F428=""),"",F429/F428-1)</f>
        <v/>
      </c>
      <c r="O429" s="19">
        <f>IF(OR(G429="",G428=""),"",G429/G428-1)</f>
        <v/>
      </c>
      <c r="P429" s="22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IF(R429="","",P429/R429)</f>
        <v/>
      </c>
      <c r="T429" s="23">
        <f>IF(R429="","",Q429/R429)</f>
        <v/>
      </c>
      <c r="U429" s="24">
        <f>IF(SUMIFS('Daily NSE Equity Options'!$M:$M,'Daily NSE Equity Options'!$A:$A,$A429)=0,"",SUMIFS('Daily NSE Equity Options'!$M:$M,'Daily NSE Equity Options'!$A:$A,$A429))</f>
        <v/>
      </c>
      <c r="V429" s="9">
        <f>IF(SUMIFS('Daily BSE Equity Options'!$M:$M,'Daily BSE Equity Options'!$A:$A,$A429)=0,"",SUMIFS('Daily BSE Equity Options'!$M:$M,'Daily BSE Equity Options'!$A:$A,$A429))</f>
        <v/>
      </c>
      <c r="W429" s="9">
        <f>IF(OR(U429="",V429=""),"",U429+V429)</f>
        <v/>
      </c>
      <c r="X429" s="25">
        <f>IF(W429="","",U429/W429)</f>
        <v/>
      </c>
      <c r="Y429" s="25">
        <f>IF(W429="","",V429/W429)</f>
        <v/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19">
        <f>IF(G430="","",E430/G430)</f>
        <v/>
      </c>
      <c r="I430" s="19">
        <f>IF(G430="","",F430/G430)</f>
        <v/>
      </c>
      <c r="J430" s="26">
        <f>IFERROR(IF(OR(E430="",INDEX(E:E,MATCH(DATE(YEAR($A430)-1,MONTH($A430),DAY($A430)),$A:$A,0))=""),"",E430/INDEX(E:E,MATCH(DATE(YEAR($A430)-1,MONTH($A430),DAY($A430)),$A:$A,0))-1),"")</f>
        <v/>
      </c>
      <c r="K430" s="19">
        <f>IFERROR(IF(OR(F430="",INDEX(F:F,MATCH(DATE(YEAR($A430)-1,MONTH($A430),DAY($A430)),$A:$A,0))=""),"",F430/INDEX(F:F,MATCH(DATE(YEAR($A430)-1,MONTH($A430),DAY($A430)),$A:$A,0))-1),"")</f>
        <v/>
      </c>
      <c r="L430" s="19">
        <f>IFERROR(IF(OR(G430="",INDEX(G:G,MATCH(DATE(YEAR($A430)-1,MONTH($A430),DAY($A430)),$A:$A,0))=""),"",G430/INDEX(G:G,MATCH(DATE(YEAR($A430)-1,MONTH($A430),DAY($A430)),$A:$A,0))-1),"")</f>
        <v/>
      </c>
      <c r="M430" s="19">
        <f>IF(OR(E430="",E429=""),"",E430/E429-1)</f>
        <v/>
      </c>
      <c r="N430" s="19">
        <f>IF(OR(F430="",F429=""),"",F430/F429-1)</f>
        <v/>
      </c>
      <c r="O430" s="19">
        <f>IF(OR(G430="",G429=""),"",G430/G429-1)</f>
        <v/>
      </c>
      <c r="P430" s="22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IF(R430="","",P430/R430)</f>
        <v/>
      </c>
      <c r="T430" s="23">
        <f>IF(R430="","",Q430/R430)</f>
        <v/>
      </c>
      <c r="U430" s="24">
        <f>IF(SUMIFS('Daily NSE Equity Options'!$M:$M,'Daily NSE Equity Options'!$A:$A,$A430)=0,"",SUMIFS('Daily NSE Equity Options'!$M:$M,'Daily NSE Equity Options'!$A:$A,$A430))</f>
        <v/>
      </c>
      <c r="V430" s="9">
        <f>IF(SUMIFS('Daily BSE Equity Options'!$M:$M,'Daily BSE Equity Options'!$A:$A,$A430)=0,"",SUMIFS('Daily BSE Equity Options'!$M:$M,'Daily BSE Equity Options'!$A:$A,$A430))</f>
        <v/>
      </c>
      <c r="W430" s="9">
        <f>IF(OR(U430="",V430=""),"",U430+V430)</f>
        <v/>
      </c>
      <c r="X430" s="25">
        <f>IF(W430="","",U430/W430)</f>
        <v/>
      </c>
      <c r="Y430" s="25">
        <f>IF(W430="","",V430/W430)</f>
        <v/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19">
        <f>IF(G431="","",E431/G431)</f>
        <v/>
      </c>
      <c r="I431" s="19">
        <f>IF(G431="","",F431/G431)</f>
        <v/>
      </c>
      <c r="J431" s="26">
        <f>IFERROR(IF(OR(E431="",INDEX(E:E,MATCH(DATE(YEAR($A431)-1,MONTH($A431),DAY($A431)),$A:$A,0))=""),"",E431/INDEX(E:E,MATCH(DATE(YEAR($A431)-1,MONTH($A431),DAY($A431)),$A:$A,0))-1),"")</f>
        <v/>
      </c>
      <c r="K431" s="19">
        <f>IFERROR(IF(OR(F431="",INDEX(F:F,MATCH(DATE(YEAR($A431)-1,MONTH($A431),DAY($A431)),$A:$A,0))=""),"",F431/INDEX(F:F,MATCH(DATE(YEAR($A431)-1,MONTH($A431),DAY($A431)),$A:$A,0))-1),"")</f>
        <v/>
      </c>
      <c r="L431" s="19">
        <f>IFERROR(IF(OR(G431="",INDEX(G:G,MATCH(DATE(YEAR($A431)-1,MONTH($A431),DAY($A431)),$A:$A,0))=""),"",G431/INDEX(G:G,MATCH(DATE(YEAR($A431)-1,MONTH($A431),DAY($A431)),$A:$A,0))-1),"")</f>
        <v/>
      </c>
      <c r="M431" s="19">
        <f>IF(OR(E431="",E430=""),"",E431/E430-1)</f>
        <v/>
      </c>
      <c r="N431" s="19">
        <f>IF(OR(F431="",F430=""),"",F431/F430-1)</f>
        <v/>
      </c>
      <c r="O431" s="19">
        <f>IF(OR(G431="",G430=""),"",G431/G430-1)</f>
        <v/>
      </c>
      <c r="P431" s="22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IF(R431="","",P431/R431)</f>
        <v/>
      </c>
      <c r="T431" s="23">
        <f>IF(R431="","",Q431/R431)</f>
        <v/>
      </c>
      <c r="U431" s="24">
        <f>IF(SUMIFS('Daily NSE Equity Options'!$M:$M,'Daily NSE Equity Options'!$A:$A,$A431)=0,"",SUMIFS('Daily NSE Equity Options'!$M:$M,'Daily NSE Equity Options'!$A:$A,$A431))</f>
        <v/>
      </c>
      <c r="V431" s="9">
        <f>IF(SUMIFS('Daily BSE Equity Options'!$M:$M,'Daily BSE Equity Options'!$A:$A,$A431)=0,"",SUMIFS('Daily BSE Equity Options'!$M:$M,'Daily BSE Equity Options'!$A:$A,$A431))</f>
        <v/>
      </c>
      <c r="W431" s="9">
        <f>IF(OR(U431="",V431=""),"",U431+V431)</f>
        <v/>
      </c>
      <c r="X431" s="25">
        <f>IF(W431="","",U431/W431)</f>
        <v/>
      </c>
      <c r="Y431" s="25">
        <f>IF(W431="","",V431/W431)</f>
        <v/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19">
        <f>IF(G432="","",E432/G432)</f>
        <v/>
      </c>
      <c r="I432" s="19">
        <f>IF(G432="","",F432/G432)</f>
        <v/>
      </c>
      <c r="J432" s="26">
        <f>IFERROR(IF(OR(E432="",INDEX(E:E,MATCH(DATE(YEAR($A432)-1,MONTH($A432),DAY($A432)),$A:$A,0))=""),"",E432/INDEX(E:E,MATCH(DATE(YEAR($A432)-1,MONTH($A432),DAY($A432)),$A:$A,0))-1),"")</f>
        <v/>
      </c>
      <c r="K432" s="19">
        <f>IFERROR(IF(OR(F432="",INDEX(F:F,MATCH(DATE(YEAR($A432)-1,MONTH($A432),DAY($A432)),$A:$A,0))=""),"",F432/INDEX(F:F,MATCH(DATE(YEAR($A432)-1,MONTH($A432),DAY($A432)),$A:$A,0))-1),"")</f>
        <v/>
      </c>
      <c r="L432" s="19">
        <f>IFERROR(IF(OR(G432="",INDEX(G:G,MATCH(DATE(YEAR($A432)-1,MONTH($A432),DAY($A432)),$A:$A,0))=""),"",G432/INDEX(G:G,MATCH(DATE(YEAR($A432)-1,MONTH($A432),DAY($A432)),$A:$A,0))-1),"")</f>
        <v/>
      </c>
      <c r="M432" s="19">
        <f>IF(OR(E432="",E431=""),"",E432/E431-1)</f>
        <v/>
      </c>
      <c r="N432" s="19">
        <f>IF(OR(F432="",F431=""),"",F432/F431-1)</f>
        <v/>
      </c>
      <c r="O432" s="19">
        <f>IF(OR(G432="",G431=""),"",G432/G431-1)</f>
        <v/>
      </c>
      <c r="P432" s="22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IF(R432="","",P432/R432)</f>
        <v/>
      </c>
      <c r="T432" s="23">
        <f>IF(R432="","",Q432/R432)</f>
        <v/>
      </c>
      <c r="U432" s="24">
        <f>IF(SUMIFS('Daily NSE Equity Options'!$M:$M,'Daily NSE Equity Options'!$A:$A,$A432)=0,"",SUMIFS('Daily NSE Equity Options'!$M:$M,'Daily NSE Equity Options'!$A:$A,$A432))</f>
        <v/>
      </c>
      <c r="V432" s="9">
        <f>IF(SUMIFS('Daily BSE Equity Options'!$M:$M,'Daily BSE Equity Options'!$A:$A,$A432)=0,"",SUMIFS('Daily BSE Equity Options'!$M:$M,'Daily BSE Equity Options'!$A:$A,$A432))</f>
        <v/>
      </c>
      <c r="W432" s="9">
        <f>IF(OR(U432="",V432=""),"",U432+V432)</f>
        <v/>
      </c>
      <c r="X432" s="25">
        <f>IF(W432="","",U432/W432)</f>
        <v/>
      </c>
      <c r="Y432" s="25">
        <f>IF(W432="","",V432/W432)</f>
        <v/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19">
        <f>IF(G433="","",E433/G433)</f>
        <v/>
      </c>
      <c r="I433" s="19">
        <f>IF(G433="","",F433/G433)</f>
        <v/>
      </c>
      <c r="J433" s="26">
        <f>IFERROR(IF(OR(E433="",INDEX(E:E,MATCH(DATE(YEAR($A433)-1,MONTH($A433),DAY($A433)),$A:$A,0))=""),"",E433/INDEX(E:E,MATCH(DATE(YEAR($A433)-1,MONTH($A433),DAY($A433)),$A:$A,0))-1),"")</f>
        <v/>
      </c>
      <c r="K433" s="19">
        <f>IFERROR(IF(OR(F433="",INDEX(F:F,MATCH(DATE(YEAR($A433)-1,MONTH($A433),DAY($A433)),$A:$A,0))=""),"",F433/INDEX(F:F,MATCH(DATE(YEAR($A433)-1,MONTH($A433),DAY($A433)),$A:$A,0))-1),"")</f>
        <v/>
      </c>
      <c r="L433" s="19">
        <f>IFERROR(IF(OR(G433="",INDEX(G:G,MATCH(DATE(YEAR($A433)-1,MONTH($A433),DAY($A433)),$A:$A,0))=""),"",G433/INDEX(G:G,MATCH(DATE(YEAR($A433)-1,MONTH($A433),DAY($A433)),$A:$A,0))-1),"")</f>
        <v/>
      </c>
      <c r="M433" s="19">
        <f>IF(OR(E433="",E432=""),"",E433/E432-1)</f>
        <v/>
      </c>
      <c r="N433" s="19">
        <f>IF(OR(F433="",F432=""),"",F433/F432-1)</f>
        <v/>
      </c>
      <c r="O433" s="19">
        <f>IF(OR(G433="",G432=""),"",G433/G432-1)</f>
        <v/>
      </c>
      <c r="P433" s="22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IF(R433="","",P433/R433)</f>
        <v/>
      </c>
      <c r="T433" s="23">
        <f>IF(R433="","",Q433/R433)</f>
        <v/>
      </c>
      <c r="U433" s="24">
        <f>IF(SUMIFS('Daily NSE Equity Options'!$M:$M,'Daily NSE Equity Options'!$A:$A,$A433)=0,"",SUMIFS('Daily NSE Equity Options'!$M:$M,'Daily NSE Equity Options'!$A:$A,$A433))</f>
        <v/>
      </c>
      <c r="V433" s="9">
        <f>IF(SUMIFS('Daily BSE Equity Options'!$M:$M,'Daily BSE Equity Options'!$A:$A,$A433)=0,"",SUMIFS('Daily BSE Equity Options'!$M:$M,'Daily BSE Equity Options'!$A:$A,$A433))</f>
        <v/>
      </c>
      <c r="W433" s="9">
        <f>IF(OR(U433="",V433=""),"",U433+V433)</f>
        <v/>
      </c>
      <c r="X433" s="25">
        <f>IF(W433="","",U433/W433)</f>
        <v/>
      </c>
      <c r="Y433" s="25">
        <f>IF(W433="","",V433/W433)</f>
        <v/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19">
        <f>IF(G434="","",E434/G434)</f>
        <v/>
      </c>
      <c r="I434" s="19">
        <f>IF(G434="","",F434/G434)</f>
        <v/>
      </c>
      <c r="J434" s="26">
        <f>IFERROR(IF(OR(E434="",INDEX(E:E,MATCH(DATE(YEAR($A434)-1,MONTH($A434),DAY($A434)),$A:$A,0))=""),"",E434/INDEX(E:E,MATCH(DATE(YEAR($A434)-1,MONTH($A434),DAY($A434)),$A:$A,0))-1),"")</f>
        <v/>
      </c>
      <c r="K434" s="19">
        <f>IFERROR(IF(OR(F434="",INDEX(F:F,MATCH(DATE(YEAR($A434)-1,MONTH($A434),DAY($A434)),$A:$A,0))=""),"",F434/INDEX(F:F,MATCH(DATE(YEAR($A434)-1,MONTH($A434),DAY($A434)),$A:$A,0))-1),"")</f>
        <v/>
      </c>
      <c r="L434" s="19">
        <f>IFERROR(IF(OR(G434="",INDEX(G:G,MATCH(DATE(YEAR($A434)-1,MONTH($A434),DAY($A434)),$A:$A,0))=""),"",G434/INDEX(G:G,MATCH(DATE(YEAR($A434)-1,MONTH($A434),DAY($A434)),$A:$A,0))-1),"")</f>
        <v/>
      </c>
      <c r="M434" s="19">
        <f>IF(OR(E434="",E433=""),"",E434/E433-1)</f>
        <v/>
      </c>
      <c r="N434" s="19">
        <f>IF(OR(F434="",F433=""),"",F434/F433-1)</f>
        <v/>
      </c>
      <c r="O434" s="19">
        <f>IF(OR(G434="",G433=""),"",G434/G433-1)</f>
        <v/>
      </c>
      <c r="P434" s="22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IF(R434="","",P434/R434)</f>
        <v/>
      </c>
      <c r="T434" s="23">
        <f>IF(R434="","",Q434/R434)</f>
        <v/>
      </c>
      <c r="U434" s="24">
        <f>IF(SUMIFS('Daily NSE Equity Options'!$M:$M,'Daily NSE Equity Options'!$A:$A,$A434)=0,"",SUMIFS('Daily NSE Equity Options'!$M:$M,'Daily NSE Equity Options'!$A:$A,$A434))</f>
        <v/>
      </c>
      <c r="V434" s="9">
        <f>IF(SUMIFS('Daily BSE Equity Options'!$M:$M,'Daily BSE Equity Options'!$A:$A,$A434)=0,"",SUMIFS('Daily BSE Equity Options'!$M:$M,'Daily BSE Equity Options'!$A:$A,$A434))</f>
        <v/>
      </c>
      <c r="W434" s="9">
        <f>IF(OR(U434="",V434=""),"",U434+V434)</f>
        <v/>
      </c>
      <c r="X434" s="25">
        <f>IF(W434="","",U434/W434)</f>
        <v/>
      </c>
      <c r="Y434" s="25">
        <f>IF(W434="","",V434/W434)</f>
        <v/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19">
        <f>IF(G435="","",E435/G435)</f>
        <v/>
      </c>
      <c r="I435" s="19">
        <f>IF(G435="","",F435/G435)</f>
        <v/>
      </c>
      <c r="J435" s="26">
        <f>IFERROR(IF(OR(E435="",INDEX(E:E,MATCH(DATE(YEAR($A435)-1,MONTH($A435),DAY($A435)),$A:$A,0))=""),"",E435/INDEX(E:E,MATCH(DATE(YEAR($A435)-1,MONTH($A435),DAY($A435)),$A:$A,0))-1),"")</f>
        <v/>
      </c>
      <c r="K435" s="19">
        <f>IFERROR(IF(OR(F435="",INDEX(F:F,MATCH(DATE(YEAR($A435)-1,MONTH($A435),DAY($A435)),$A:$A,0))=""),"",F435/INDEX(F:F,MATCH(DATE(YEAR($A435)-1,MONTH($A435),DAY($A435)),$A:$A,0))-1),"")</f>
        <v/>
      </c>
      <c r="L435" s="19">
        <f>IFERROR(IF(OR(G435="",INDEX(G:G,MATCH(DATE(YEAR($A435)-1,MONTH($A435),DAY($A435)),$A:$A,0))=""),"",G435/INDEX(G:G,MATCH(DATE(YEAR($A435)-1,MONTH($A435),DAY($A435)),$A:$A,0))-1),"")</f>
        <v/>
      </c>
      <c r="M435" s="19">
        <f>IF(OR(E435="",E434=""),"",E435/E434-1)</f>
        <v/>
      </c>
      <c r="N435" s="19">
        <f>IF(OR(F435="",F434=""),"",F435/F434-1)</f>
        <v/>
      </c>
      <c r="O435" s="19">
        <f>IF(OR(G435="",G434=""),"",G435/G434-1)</f>
        <v/>
      </c>
      <c r="P435" s="22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IF(R435="","",P435/R435)</f>
        <v/>
      </c>
      <c r="T435" s="23">
        <f>IF(R435="","",Q435/R435)</f>
        <v/>
      </c>
      <c r="U435" s="24">
        <f>IF(SUMIFS('Daily NSE Equity Options'!$M:$M,'Daily NSE Equity Options'!$A:$A,$A435)=0,"",SUMIFS('Daily NSE Equity Options'!$M:$M,'Daily NSE Equity Options'!$A:$A,$A435))</f>
        <v/>
      </c>
      <c r="V435" s="9">
        <f>IF(SUMIFS('Daily BSE Equity Options'!$M:$M,'Daily BSE Equity Options'!$A:$A,$A435)=0,"",SUMIFS('Daily BSE Equity Options'!$M:$M,'Daily BSE Equity Options'!$A:$A,$A435))</f>
        <v/>
      </c>
      <c r="W435" s="9">
        <f>IF(OR(U435="",V435=""),"",U435+V435)</f>
        <v/>
      </c>
      <c r="X435" s="25">
        <f>IF(W435="","",U435/W435)</f>
        <v/>
      </c>
      <c r="Y435" s="25">
        <f>IF(W435="","",V435/W435)</f>
        <v/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19">
        <f>IF(G436="","",E436/G436)</f>
        <v/>
      </c>
      <c r="I436" s="19">
        <f>IF(G436="","",F436/G436)</f>
        <v/>
      </c>
      <c r="J436" s="26">
        <f>IFERROR(IF(OR(E436="",INDEX(E:E,MATCH(DATE(YEAR($A436)-1,MONTH($A436),DAY($A436)),$A:$A,0))=""),"",E436/INDEX(E:E,MATCH(DATE(YEAR($A436)-1,MONTH($A436),DAY($A436)),$A:$A,0))-1),"")</f>
        <v/>
      </c>
      <c r="K436" s="19">
        <f>IFERROR(IF(OR(F436="",INDEX(F:F,MATCH(DATE(YEAR($A436)-1,MONTH($A436),DAY($A436)),$A:$A,0))=""),"",F436/INDEX(F:F,MATCH(DATE(YEAR($A436)-1,MONTH($A436),DAY($A436)),$A:$A,0))-1),"")</f>
        <v/>
      </c>
      <c r="L436" s="19">
        <f>IFERROR(IF(OR(G436="",INDEX(G:G,MATCH(DATE(YEAR($A436)-1,MONTH($A436),DAY($A436)),$A:$A,0))=""),"",G436/INDEX(G:G,MATCH(DATE(YEAR($A436)-1,MONTH($A436),DAY($A436)),$A:$A,0))-1),"")</f>
        <v/>
      </c>
      <c r="M436" s="19">
        <f>IF(OR(E436="",E435=""),"",E436/E435-1)</f>
        <v/>
      </c>
      <c r="N436" s="19">
        <f>IF(OR(F436="",F435=""),"",F436/F435-1)</f>
        <v/>
      </c>
      <c r="O436" s="19">
        <f>IF(OR(G436="",G435=""),"",G436/G435-1)</f>
        <v/>
      </c>
      <c r="P436" s="22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IF(R436="","",P436/R436)</f>
        <v/>
      </c>
      <c r="T436" s="23">
        <f>IF(R436="","",Q436/R436)</f>
        <v/>
      </c>
      <c r="U436" s="24">
        <f>IF(SUMIFS('Daily NSE Equity Options'!$M:$M,'Daily NSE Equity Options'!$A:$A,$A436)=0,"",SUMIFS('Daily NSE Equity Options'!$M:$M,'Daily NSE Equity Options'!$A:$A,$A436))</f>
        <v/>
      </c>
      <c r="V436" s="9">
        <f>IF(SUMIFS('Daily BSE Equity Options'!$M:$M,'Daily BSE Equity Options'!$A:$A,$A436)=0,"",SUMIFS('Daily BSE Equity Options'!$M:$M,'Daily BSE Equity Options'!$A:$A,$A436))</f>
        <v/>
      </c>
      <c r="W436" s="9">
        <f>IF(OR(U436="",V436=""),"",U436+V436)</f>
        <v/>
      </c>
      <c r="X436" s="25">
        <f>IF(W436="","",U436/W436)</f>
        <v/>
      </c>
      <c r="Y436" s="25">
        <f>IF(W436="","",V436/W436)</f>
        <v/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19">
        <f>IF(G437="","",E437/G437)</f>
        <v/>
      </c>
      <c r="I437" s="19">
        <f>IF(G437="","",F437/G437)</f>
        <v/>
      </c>
      <c r="J437" s="26">
        <f>IFERROR(IF(OR(E437="",INDEX(E:E,MATCH(DATE(YEAR($A437)-1,MONTH($A437),DAY($A437)),$A:$A,0))=""),"",E437/INDEX(E:E,MATCH(DATE(YEAR($A437)-1,MONTH($A437),DAY($A437)),$A:$A,0))-1),"")</f>
        <v/>
      </c>
      <c r="K437" s="19">
        <f>IFERROR(IF(OR(F437="",INDEX(F:F,MATCH(DATE(YEAR($A437)-1,MONTH($A437),DAY($A437)),$A:$A,0))=""),"",F437/INDEX(F:F,MATCH(DATE(YEAR($A437)-1,MONTH($A437),DAY($A437)),$A:$A,0))-1),"")</f>
        <v/>
      </c>
      <c r="L437" s="19">
        <f>IFERROR(IF(OR(G437="",INDEX(G:G,MATCH(DATE(YEAR($A437)-1,MONTH($A437),DAY($A437)),$A:$A,0))=""),"",G437/INDEX(G:G,MATCH(DATE(YEAR($A437)-1,MONTH($A437),DAY($A437)),$A:$A,0))-1),"")</f>
        <v/>
      </c>
      <c r="M437" s="19">
        <f>IF(OR(E437="",E436=""),"",E437/E436-1)</f>
        <v/>
      </c>
      <c r="N437" s="19">
        <f>IF(OR(F437="",F436=""),"",F437/F436-1)</f>
        <v/>
      </c>
      <c r="O437" s="19">
        <f>IF(OR(G437="",G436=""),"",G437/G436-1)</f>
        <v/>
      </c>
      <c r="P437" s="22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IF(R437="","",P437/R437)</f>
        <v/>
      </c>
      <c r="T437" s="23">
        <f>IF(R437="","",Q437/R437)</f>
        <v/>
      </c>
      <c r="U437" s="24">
        <f>IF(SUMIFS('Daily NSE Equity Options'!$M:$M,'Daily NSE Equity Options'!$A:$A,$A437)=0,"",SUMIFS('Daily NSE Equity Options'!$M:$M,'Daily NSE Equity Options'!$A:$A,$A437))</f>
        <v/>
      </c>
      <c r="V437" s="9">
        <f>IF(SUMIFS('Daily BSE Equity Options'!$M:$M,'Daily BSE Equity Options'!$A:$A,$A437)=0,"",SUMIFS('Daily BSE Equity Options'!$M:$M,'Daily BSE Equity Options'!$A:$A,$A437))</f>
        <v/>
      </c>
      <c r="W437" s="9">
        <f>IF(OR(U437="",V437=""),"",U437+V437)</f>
        <v/>
      </c>
      <c r="X437" s="25">
        <f>IF(W437="","",U437/W437)</f>
        <v/>
      </c>
      <c r="Y437" s="25">
        <f>IF(W437="","",V437/W437)</f>
        <v/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19">
        <f>IF(G438="","",E438/G438)</f>
        <v/>
      </c>
      <c r="I438" s="19">
        <f>IF(G438="","",F438/G438)</f>
        <v/>
      </c>
      <c r="J438" s="26">
        <f>IFERROR(IF(OR(E438="",INDEX(E:E,MATCH(DATE(YEAR($A438)-1,MONTH($A438),DAY($A438)),$A:$A,0))=""),"",E438/INDEX(E:E,MATCH(DATE(YEAR($A438)-1,MONTH($A438),DAY($A438)),$A:$A,0))-1),"")</f>
        <v/>
      </c>
      <c r="K438" s="19">
        <f>IFERROR(IF(OR(F438="",INDEX(F:F,MATCH(DATE(YEAR($A438)-1,MONTH($A438),DAY($A438)),$A:$A,0))=""),"",F438/INDEX(F:F,MATCH(DATE(YEAR($A438)-1,MONTH($A438),DAY($A438)),$A:$A,0))-1),"")</f>
        <v/>
      </c>
      <c r="L438" s="19">
        <f>IFERROR(IF(OR(G438="",INDEX(G:G,MATCH(DATE(YEAR($A438)-1,MONTH($A438),DAY($A438)),$A:$A,0))=""),"",G438/INDEX(G:G,MATCH(DATE(YEAR($A438)-1,MONTH($A438),DAY($A438)),$A:$A,0))-1),"")</f>
        <v/>
      </c>
      <c r="M438" s="19">
        <f>IF(OR(E438="",E437=""),"",E438/E437-1)</f>
        <v/>
      </c>
      <c r="N438" s="19">
        <f>IF(OR(F438="",F437=""),"",F438/F437-1)</f>
        <v/>
      </c>
      <c r="O438" s="19">
        <f>IF(OR(G438="",G437=""),"",G438/G437-1)</f>
        <v/>
      </c>
      <c r="P438" s="22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IF(R438="","",P438/R438)</f>
        <v/>
      </c>
      <c r="T438" s="23">
        <f>IF(R438="","",Q438/R438)</f>
        <v/>
      </c>
      <c r="U438" s="24">
        <f>IF(SUMIFS('Daily NSE Equity Options'!$M:$M,'Daily NSE Equity Options'!$A:$A,$A438)=0,"",SUMIFS('Daily NSE Equity Options'!$M:$M,'Daily NSE Equity Options'!$A:$A,$A438))</f>
        <v/>
      </c>
      <c r="V438" s="9">
        <f>IF(SUMIFS('Daily BSE Equity Options'!$M:$M,'Daily BSE Equity Options'!$A:$A,$A438)=0,"",SUMIFS('Daily BSE Equity Options'!$M:$M,'Daily BSE Equity Options'!$A:$A,$A438))</f>
        <v/>
      </c>
      <c r="W438" s="9">
        <f>IF(OR(U438="",V438=""),"",U438+V438)</f>
        <v/>
      </c>
      <c r="X438" s="25">
        <f>IF(W438="","",U438/W438)</f>
        <v/>
      </c>
      <c r="Y438" s="25">
        <f>IF(W438="","",V438/W438)</f>
        <v/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19">
        <f>IF(G439="","",E439/G439)</f>
        <v/>
      </c>
      <c r="I439" s="19">
        <f>IF(G439="","",F439/G439)</f>
        <v/>
      </c>
      <c r="J439" s="26">
        <f>IFERROR(IF(OR(E439="",INDEX(E:E,MATCH(DATE(YEAR($A439)-1,MONTH($A439),DAY($A439)),$A:$A,0))=""),"",E439/INDEX(E:E,MATCH(DATE(YEAR($A439)-1,MONTH($A439),DAY($A439)),$A:$A,0))-1),"")</f>
        <v/>
      </c>
      <c r="K439" s="19">
        <f>IFERROR(IF(OR(F439="",INDEX(F:F,MATCH(DATE(YEAR($A439)-1,MONTH($A439),DAY($A439)),$A:$A,0))=""),"",F439/INDEX(F:F,MATCH(DATE(YEAR($A439)-1,MONTH($A439),DAY($A439)),$A:$A,0))-1),"")</f>
        <v/>
      </c>
      <c r="L439" s="19">
        <f>IFERROR(IF(OR(G439="",INDEX(G:G,MATCH(DATE(YEAR($A439)-1,MONTH($A439),DAY($A439)),$A:$A,0))=""),"",G439/INDEX(G:G,MATCH(DATE(YEAR($A439)-1,MONTH($A439),DAY($A439)),$A:$A,0))-1),"")</f>
        <v/>
      </c>
      <c r="M439" s="19">
        <f>IF(OR(E439="",E438=""),"",E439/E438-1)</f>
        <v/>
      </c>
      <c r="N439" s="19">
        <f>IF(OR(F439="",F438=""),"",F439/F438-1)</f>
        <v/>
      </c>
      <c r="O439" s="19">
        <f>IF(OR(G439="",G438=""),"",G439/G438-1)</f>
        <v/>
      </c>
      <c r="P439" s="22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IF(R439="","",P439/R439)</f>
        <v/>
      </c>
      <c r="T439" s="23">
        <f>IF(R439="","",Q439/R439)</f>
        <v/>
      </c>
      <c r="U439" s="24">
        <f>IF(SUMIFS('Daily NSE Equity Options'!$M:$M,'Daily NSE Equity Options'!$A:$A,$A439)=0,"",SUMIFS('Daily NSE Equity Options'!$M:$M,'Daily NSE Equity Options'!$A:$A,$A439))</f>
        <v/>
      </c>
      <c r="V439" s="9">
        <f>IF(SUMIFS('Daily BSE Equity Options'!$M:$M,'Daily BSE Equity Options'!$A:$A,$A439)=0,"",SUMIFS('Daily BSE Equity Options'!$M:$M,'Daily BSE Equity Options'!$A:$A,$A439))</f>
        <v/>
      </c>
      <c r="W439" s="9">
        <f>IF(OR(U439="",V439=""),"",U439+V439)</f>
        <v/>
      </c>
      <c r="X439" s="25">
        <f>IF(W439="","",U439/W439)</f>
        <v/>
      </c>
      <c r="Y439" s="25">
        <f>IF(W439="","",V439/W439)</f>
        <v/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19">
        <f>IF(G440="","",E440/G440)</f>
        <v/>
      </c>
      <c r="I440" s="19">
        <f>IF(G440="","",F440/G440)</f>
        <v/>
      </c>
      <c r="J440" s="26">
        <f>IFERROR(IF(OR(E440="",INDEX(E:E,MATCH(DATE(YEAR($A440)-1,MONTH($A440),DAY($A440)),$A:$A,0))=""),"",E440/INDEX(E:E,MATCH(DATE(YEAR($A440)-1,MONTH($A440),DAY($A440)),$A:$A,0))-1),"")</f>
        <v/>
      </c>
      <c r="K440" s="19">
        <f>IFERROR(IF(OR(F440="",INDEX(F:F,MATCH(DATE(YEAR($A440)-1,MONTH($A440),DAY($A440)),$A:$A,0))=""),"",F440/INDEX(F:F,MATCH(DATE(YEAR($A440)-1,MONTH($A440),DAY($A440)),$A:$A,0))-1),"")</f>
        <v/>
      </c>
      <c r="L440" s="19">
        <f>IFERROR(IF(OR(G440="",INDEX(G:G,MATCH(DATE(YEAR($A440)-1,MONTH($A440),DAY($A440)),$A:$A,0))=""),"",G440/INDEX(G:G,MATCH(DATE(YEAR($A440)-1,MONTH($A440),DAY($A440)),$A:$A,0))-1),"")</f>
        <v/>
      </c>
      <c r="M440" s="19">
        <f>IF(OR(E440="",E439=""),"",E440/E439-1)</f>
        <v/>
      </c>
      <c r="N440" s="19">
        <f>IF(OR(F440="",F439=""),"",F440/F439-1)</f>
        <v/>
      </c>
      <c r="O440" s="19">
        <f>IF(OR(G440="",G439=""),"",G440/G439-1)</f>
        <v/>
      </c>
      <c r="P440" s="22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IF(R440="","",P440/R440)</f>
        <v/>
      </c>
      <c r="T440" s="23">
        <f>IF(R440="","",Q440/R440)</f>
        <v/>
      </c>
      <c r="U440" s="24">
        <f>IF(SUMIFS('Daily NSE Equity Options'!$M:$M,'Daily NSE Equity Options'!$A:$A,$A440)=0,"",SUMIFS('Daily NSE Equity Options'!$M:$M,'Daily NSE Equity Options'!$A:$A,$A440))</f>
        <v/>
      </c>
      <c r="V440" s="9">
        <f>IF(SUMIFS('Daily BSE Equity Options'!$M:$M,'Daily BSE Equity Options'!$A:$A,$A440)=0,"",SUMIFS('Daily BSE Equity Options'!$M:$M,'Daily BSE Equity Options'!$A:$A,$A440))</f>
        <v/>
      </c>
      <c r="W440" s="9">
        <f>IF(OR(U440="",V440=""),"",U440+V440)</f>
        <v/>
      </c>
      <c r="X440" s="25">
        <f>IF(W440="","",U440/W440)</f>
        <v/>
      </c>
      <c r="Y440" s="25">
        <f>IF(W440="","",V440/W440)</f>
        <v/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19">
        <f>IF(G441="","",E441/G441)</f>
        <v/>
      </c>
      <c r="I441" s="19">
        <f>IF(G441="","",F441/G441)</f>
        <v/>
      </c>
      <c r="J441" s="26">
        <f>IFERROR(IF(OR(E441="",INDEX(E:E,MATCH(DATE(YEAR($A441)-1,MONTH($A441),DAY($A441)),$A:$A,0))=""),"",E441/INDEX(E:E,MATCH(DATE(YEAR($A441)-1,MONTH($A441),DAY($A441)),$A:$A,0))-1),"")</f>
        <v/>
      </c>
      <c r="K441" s="19">
        <f>IFERROR(IF(OR(F441="",INDEX(F:F,MATCH(DATE(YEAR($A441)-1,MONTH($A441),DAY($A441)),$A:$A,0))=""),"",F441/INDEX(F:F,MATCH(DATE(YEAR($A441)-1,MONTH($A441),DAY($A441)),$A:$A,0))-1),"")</f>
        <v/>
      </c>
      <c r="L441" s="19">
        <f>IFERROR(IF(OR(G441="",INDEX(G:G,MATCH(DATE(YEAR($A441)-1,MONTH($A441),DAY($A441)),$A:$A,0))=""),"",G441/INDEX(G:G,MATCH(DATE(YEAR($A441)-1,MONTH($A441),DAY($A441)),$A:$A,0))-1),"")</f>
        <v/>
      </c>
      <c r="M441" s="19">
        <f>IF(OR(E441="",E440=""),"",E441/E440-1)</f>
        <v/>
      </c>
      <c r="N441" s="19">
        <f>IF(OR(F441="",F440=""),"",F441/F440-1)</f>
        <v/>
      </c>
      <c r="O441" s="19">
        <f>IF(OR(G441="",G440=""),"",G441/G440-1)</f>
        <v/>
      </c>
      <c r="P441" s="22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IF(R441="","",P441/R441)</f>
        <v/>
      </c>
      <c r="T441" s="23">
        <f>IF(R441="","",Q441/R441)</f>
        <v/>
      </c>
      <c r="U441" s="24">
        <f>IF(SUMIFS('Daily NSE Equity Options'!$M:$M,'Daily NSE Equity Options'!$A:$A,$A441)=0,"",SUMIFS('Daily NSE Equity Options'!$M:$M,'Daily NSE Equity Options'!$A:$A,$A441))</f>
        <v/>
      </c>
      <c r="V441" s="9">
        <f>IF(SUMIFS('Daily BSE Equity Options'!$M:$M,'Daily BSE Equity Options'!$A:$A,$A441)=0,"",SUMIFS('Daily BSE Equity Options'!$M:$M,'Daily BSE Equity Options'!$A:$A,$A441))</f>
        <v/>
      </c>
      <c r="W441" s="9">
        <f>IF(OR(U441="",V441=""),"",U441+V441)</f>
        <v/>
      </c>
      <c r="X441" s="25">
        <f>IF(W441="","",U441/W441)</f>
        <v/>
      </c>
      <c r="Y441" s="25">
        <f>IF(W441="","",V441/W441)</f>
        <v/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19">
        <f>IF(G442="","",E442/G442)</f>
        <v/>
      </c>
      <c r="I442" s="19">
        <f>IF(G442="","",F442/G442)</f>
        <v/>
      </c>
      <c r="J442" s="26">
        <f>IFERROR(IF(OR(E442="",INDEX(E:E,MATCH(DATE(YEAR($A442)-1,MONTH($A442),DAY($A442)),$A:$A,0))=""),"",E442/INDEX(E:E,MATCH(DATE(YEAR($A442)-1,MONTH($A442),DAY($A442)),$A:$A,0))-1),"")</f>
        <v/>
      </c>
      <c r="K442" s="19">
        <f>IFERROR(IF(OR(F442="",INDEX(F:F,MATCH(DATE(YEAR($A442)-1,MONTH($A442),DAY($A442)),$A:$A,0))=""),"",F442/INDEX(F:F,MATCH(DATE(YEAR($A442)-1,MONTH($A442),DAY($A442)),$A:$A,0))-1),"")</f>
        <v/>
      </c>
      <c r="L442" s="19">
        <f>IFERROR(IF(OR(G442="",INDEX(G:G,MATCH(DATE(YEAR($A442)-1,MONTH($A442),DAY($A442)),$A:$A,0))=""),"",G442/INDEX(G:G,MATCH(DATE(YEAR($A442)-1,MONTH($A442),DAY($A442)),$A:$A,0))-1),"")</f>
        <v/>
      </c>
      <c r="M442" s="19">
        <f>IF(OR(E442="",E441=""),"",E442/E441-1)</f>
        <v/>
      </c>
      <c r="N442" s="19">
        <f>IF(OR(F442="",F441=""),"",F442/F441-1)</f>
        <v/>
      </c>
      <c r="O442" s="19">
        <f>IF(OR(G442="",G441=""),"",G442/G441-1)</f>
        <v/>
      </c>
      <c r="P442" s="22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IF(R442="","",P442/R442)</f>
        <v/>
      </c>
      <c r="T442" s="23">
        <f>IF(R442="","",Q442/R442)</f>
        <v/>
      </c>
      <c r="U442" s="24">
        <f>IF(SUMIFS('Daily NSE Equity Options'!$M:$M,'Daily NSE Equity Options'!$A:$A,$A442)=0,"",SUMIFS('Daily NSE Equity Options'!$M:$M,'Daily NSE Equity Options'!$A:$A,$A442))</f>
        <v/>
      </c>
      <c r="V442" s="9">
        <f>IF(SUMIFS('Daily BSE Equity Options'!$M:$M,'Daily BSE Equity Options'!$A:$A,$A442)=0,"",SUMIFS('Daily BSE Equity Options'!$M:$M,'Daily BSE Equity Options'!$A:$A,$A442))</f>
        <v/>
      </c>
      <c r="W442" s="9">
        <f>IF(OR(U442="",V442=""),"",U442+V442)</f>
        <v/>
      </c>
      <c r="X442" s="25">
        <f>IF(W442="","",U442/W442)</f>
        <v/>
      </c>
      <c r="Y442" s="25">
        <f>IF(W442="","",V442/W442)</f>
        <v/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19">
        <f>IF(G443="","",E443/G443)</f>
        <v/>
      </c>
      <c r="I443" s="19">
        <f>IF(G443="","",F443/G443)</f>
        <v/>
      </c>
      <c r="J443" s="26">
        <f>IFERROR(IF(OR(E443="",INDEX(E:E,MATCH(DATE(YEAR($A443)-1,MONTH($A443),DAY($A443)),$A:$A,0))=""),"",E443/INDEX(E:E,MATCH(DATE(YEAR($A443)-1,MONTH($A443),DAY($A443)),$A:$A,0))-1),"")</f>
        <v/>
      </c>
      <c r="K443" s="19">
        <f>IFERROR(IF(OR(F443="",INDEX(F:F,MATCH(DATE(YEAR($A443)-1,MONTH($A443),DAY($A443)),$A:$A,0))=""),"",F443/INDEX(F:F,MATCH(DATE(YEAR($A443)-1,MONTH($A443),DAY($A443)),$A:$A,0))-1),"")</f>
        <v/>
      </c>
      <c r="L443" s="19">
        <f>IFERROR(IF(OR(G443="",INDEX(G:G,MATCH(DATE(YEAR($A443)-1,MONTH($A443),DAY($A443)),$A:$A,0))=""),"",G443/INDEX(G:G,MATCH(DATE(YEAR($A443)-1,MONTH($A443),DAY($A443)),$A:$A,0))-1),"")</f>
        <v/>
      </c>
      <c r="M443" s="19">
        <f>IF(OR(E443="",E442=""),"",E443/E442-1)</f>
        <v/>
      </c>
      <c r="N443" s="19">
        <f>IF(OR(F443="",F442=""),"",F443/F442-1)</f>
        <v/>
      </c>
      <c r="O443" s="19">
        <f>IF(OR(G443="",G442=""),"",G443/G442-1)</f>
        <v/>
      </c>
      <c r="P443" s="22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IF(R443="","",P443/R443)</f>
        <v/>
      </c>
      <c r="T443" s="23">
        <f>IF(R443="","",Q443/R443)</f>
        <v/>
      </c>
      <c r="U443" s="24">
        <f>IF(SUMIFS('Daily NSE Equity Options'!$M:$M,'Daily NSE Equity Options'!$A:$A,$A443)=0,"",SUMIFS('Daily NSE Equity Options'!$M:$M,'Daily NSE Equity Options'!$A:$A,$A443))</f>
        <v/>
      </c>
      <c r="V443" s="9">
        <f>IF(SUMIFS('Daily BSE Equity Options'!$M:$M,'Daily BSE Equity Options'!$A:$A,$A443)=0,"",SUMIFS('Daily BSE Equity Options'!$M:$M,'Daily BSE Equity Options'!$A:$A,$A443))</f>
        <v/>
      </c>
      <c r="W443" s="9">
        <f>IF(OR(U443="",V443=""),"",U443+V443)</f>
        <v/>
      </c>
      <c r="X443" s="25">
        <f>IF(W443="","",U443/W443)</f>
        <v/>
      </c>
      <c r="Y443" s="25">
        <f>IF(W443="","",V443/W443)</f>
        <v/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19">
        <f>IF(G444="","",E444/G444)</f>
        <v/>
      </c>
      <c r="I444" s="19">
        <f>IF(G444="","",F444/G444)</f>
        <v/>
      </c>
      <c r="J444" s="26">
        <f>IFERROR(IF(OR(E444="",INDEX(E:E,MATCH(DATE(YEAR($A444)-1,MONTH($A444),DAY($A444)),$A:$A,0))=""),"",E444/INDEX(E:E,MATCH(DATE(YEAR($A444)-1,MONTH($A444),DAY($A444)),$A:$A,0))-1),"")</f>
        <v/>
      </c>
      <c r="K444" s="19">
        <f>IFERROR(IF(OR(F444="",INDEX(F:F,MATCH(DATE(YEAR($A444)-1,MONTH($A444),DAY($A444)),$A:$A,0))=""),"",F444/INDEX(F:F,MATCH(DATE(YEAR($A444)-1,MONTH($A444),DAY($A444)),$A:$A,0))-1),"")</f>
        <v/>
      </c>
      <c r="L444" s="19">
        <f>IFERROR(IF(OR(G444="",INDEX(G:G,MATCH(DATE(YEAR($A444)-1,MONTH($A444),DAY($A444)),$A:$A,0))=""),"",G444/INDEX(G:G,MATCH(DATE(YEAR($A444)-1,MONTH($A444),DAY($A444)),$A:$A,0))-1),"")</f>
        <v/>
      </c>
      <c r="M444" s="19">
        <f>IF(OR(E444="",E443=""),"",E444/E443-1)</f>
        <v/>
      </c>
      <c r="N444" s="19">
        <f>IF(OR(F444="",F443=""),"",F444/F443-1)</f>
        <v/>
      </c>
      <c r="O444" s="19">
        <f>IF(OR(G444="",G443=""),"",G444/G443-1)</f>
        <v/>
      </c>
      <c r="P444" s="22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IF(R444="","",P444/R444)</f>
        <v/>
      </c>
      <c r="T444" s="23">
        <f>IF(R444="","",Q444/R444)</f>
        <v/>
      </c>
      <c r="U444" s="24">
        <f>IF(SUMIFS('Daily NSE Equity Options'!$M:$M,'Daily NSE Equity Options'!$A:$A,$A444)=0,"",SUMIFS('Daily NSE Equity Options'!$M:$M,'Daily NSE Equity Options'!$A:$A,$A444))</f>
        <v/>
      </c>
      <c r="V444" s="9">
        <f>IF(SUMIFS('Daily BSE Equity Options'!$M:$M,'Daily BSE Equity Options'!$A:$A,$A444)=0,"",SUMIFS('Daily BSE Equity Options'!$M:$M,'Daily BSE Equity Options'!$A:$A,$A444))</f>
        <v/>
      </c>
      <c r="W444" s="9">
        <f>IF(OR(U444="",V444=""),"",U444+V444)</f>
        <v/>
      </c>
      <c r="X444" s="25">
        <f>IF(W444="","",U444/W444)</f>
        <v/>
      </c>
      <c r="Y444" s="25">
        <f>IF(W444="","",V444/W444)</f>
        <v/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19">
        <f>IF(G445="","",E445/G445)</f>
        <v/>
      </c>
      <c r="I445" s="19">
        <f>IF(G445="","",F445/G445)</f>
        <v/>
      </c>
      <c r="J445" s="26">
        <f>IFERROR(IF(OR(E445="",INDEX(E:E,MATCH(DATE(YEAR($A445)-1,MONTH($A445),DAY($A445)),$A:$A,0))=""),"",E445/INDEX(E:E,MATCH(DATE(YEAR($A445)-1,MONTH($A445),DAY($A445)),$A:$A,0))-1),"")</f>
        <v/>
      </c>
      <c r="K445" s="19">
        <f>IFERROR(IF(OR(F445="",INDEX(F:F,MATCH(DATE(YEAR($A445)-1,MONTH($A445),DAY($A445)),$A:$A,0))=""),"",F445/INDEX(F:F,MATCH(DATE(YEAR($A445)-1,MONTH($A445),DAY($A445)),$A:$A,0))-1),"")</f>
        <v/>
      </c>
      <c r="L445" s="19">
        <f>IFERROR(IF(OR(G445="",INDEX(G:G,MATCH(DATE(YEAR($A445)-1,MONTH($A445),DAY($A445)),$A:$A,0))=""),"",G445/INDEX(G:G,MATCH(DATE(YEAR($A445)-1,MONTH($A445),DAY($A445)),$A:$A,0))-1),"")</f>
        <v/>
      </c>
      <c r="M445" s="19">
        <f>IF(OR(E445="",E444=""),"",E445/E444-1)</f>
        <v/>
      </c>
      <c r="N445" s="19">
        <f>IF(OR(F445="",F444=""),"",F445/F444-1)</f>
        <v/>
      </c>
      <c r="O445" s="19">
        <f>IF(OR(G445="",G444=""),"",G445/G444-1)</f>
        <v/>
      </c>
      <c r="P445" s="22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IF(R445="","",P445/R445)</f>
        <v/>
      </c>
      <c r="T445" s="23">
        <f>IF(R445="","",Q445/R445)</f>
        <v/>
      </c>
      <c r="U445" s="24">
        <f>IF(SUMIFS('Daily NSE Equity Options'!$M:$M,'Daily NSE Equity Options'!$A:$A,$A445)=0,"",SUMIFS('Daily NSE Equity Options'!$M:$M,'Daily NSE Equity Options'!$A:$A,$A445))</f>
        <v/>
      </c>
      <c r="V445" s="9">
        <f>IF(SUMIFS('Daily BSE Equity Options'!$M:$M,'Daily BSE Equity Options'!$A:$A,$A445)=0,"",SUMIFS('Daily BSE Equity Options'!$M:$M,'Daily BSE Equity Options'!$A:$A,$A445))</f>
        <v/>
      </c>
      <c r="W445" s="9">
        <f>IF(OR(U445="",V445=""),"",U445+V445)</f>
        <v/>
      </c>
      <c r="X445" s="25">
        <f>IF(W445="","",U445/W445)</f>
        <v/>
      </c>
      <c r="Y445" s="25">
        <f>IF(W445="","",V445/W445)</f>
        <v/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19">
        <f>IF(G446="","",E446/G446)</f>
        <v/>
      </c>
      <c r="I446" s="19">
        <f>IF(G446="","",F446/G446)</f>
        <v/>
      </c>
      <c r="J446" s="26">
        <f>IFERROR(IF(OR(E446="",INDEX(E:E,MATCH(DATE(YEAR($A446)-1,MONTH($A446),DAY($A446)),$A:$A,0))=""),"",E446/INDEX(E:E,MATCH(DATE(YEAR($A446)-1,MONTH($A446),DAY($A446)),$A:$A,0))-1),"")</f>
        <v/>
      </c>
      <c r="K446" s="19">
        <f>IFERROR(IF(OR(F446="",INDEX(F:F,MATCH(DATE(YEAR($A446)-1,MONTH($A446),DAY($A446)),$A:$A,0))=""),"",F446/INDEX(F:F,MATCH(DATE(YEAR($A446)-1,MONTH($A446),DAY($A446)),$A:$A,0))-1),"")</f>
        <v/>
      </c>
      <c r="L446" s="19">
        <f>IFERROR(IF(OR(G446="",INDEX(G:G,MATCH(DATE(YEAR($A446)-1,MONTH($A446),DAY($A446)),$A:$A,0))=""),"",G446/INDEX(G:G,MATCH(DATE(YEAR($A446)-1,MONTH($A446),DAY($A446)),$A:$A,0))-1),"")</f>
        <v/>
      </c>
      <c r="M446" s="19">
        <f>IF(OR(E446="",E445=""),"",E446/E445-1)</f>
        <v/>
      </c>
      <c r="N446" s="19">
        <f>IF(OR(F446="",F445=""),"",F446/F445-1)</f>
        <v/>
      </c>
      <c r="O446" s="19">
        <f>IF(OR(G446="",G445=""),"",G446/G445-1)</f>
        <v/>
      </c>
      <c r="P446" s="22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IF(R446="","",P446/R446)</f>
        <v/>
      </c>
      <c r="T446" s="23">
        <f>IF(R446="","",Q446/R446)</f>
        <v/>
      </c>
      <c r="U446" s="24">
        <f>IF(SUMIFS('Daily NSE Equity Options'!$M:$M,'Daily NSE Equity Options'!$A:$A,$A446)=0,"",SUMIFS('Daily NSE Equity Options'!$M:$M,'Daily NSE Equity Options'!$A:$A,$A446))</f>
        <v/>
      </c>
      <c r="V446" s="9">
        <f>IF(SUMIFS('Daily BSE Equity Options'!$M:$M,'Daily BSE Equity Options'!$A:$A,$A446)=0,"",SUMIFS('Daily BSE Equity Options'!$M:$M,'Daily BSE Equity Options'!$A:$A,$A446))</f>
        <v/>
      </c>
      <c r="W446" s="9">
        <f>IF(OR(U446="",V446=""),"",U446+V446)</f>
        <v/>
      </c>
      <c r="X446" s="25">
        <f>IF(W446="","",U446/W446)</f>
        <v/>
      </c>
      <c r="Y446" s="25">
        <f>IF(W446="","",V446/W446)</f>
        <v/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19">
        <f>IF(G447="","",E447/G447)</f>
        <v/>
      </c>
      <c r="I447" s="19">
        <f>IF(G447="","",F447/G447)</f>
        <v/>
      </c>
      <c r="J447" s="26">
        <f>IFERROR(IF(OR(E447="",INDEX(E:E,MATCH(DATE(YEAR($A447)-1,MONTH($A447),DAY($A447)),$A:$A,0))=""),"",E447/INDEX(E:E,MATCH(DATE(YEAR($A447)-1,MONTH($A447),DAY($A447)),$A:$A,0))-1),"")</f>
        <v/>
      </c>
      <c r="K447" s="19">
        <f>IFERROR(IF(OR(F447="",INDEX(F:F,MATCH(DATE(YEAR($A447)-1,MONTH($A447),DAY($A447)),$A:$A,0))=""),"",F447/INDEX(F:F,MATCH(DATE(YEAR($A447)-1,MONTH($A447),DAY($A447)),$A:$A,0))-1),"")</f>
        <v/>
      </c>
      <c r="L447" s="19">
        <f>IFERROR(IF(OR(G447="",INDEX(G:G,MATCH(DATE(YEAR($A447)-1,MONTH($A447),DAY($A447)),$A:$A,0))=""),"",G447/INDEX(G:G,MATCH(DATE(YEAR($A447)-1,MONTH($A447),DAY($A447)),$A:$A,0))-1),"")</f>
        <v/>
      </c>
      <c r="M447" s="19">
        <f>IF(OR(E447="",E446=""),"",E447/E446-1)</f>
        <v/>
      </c>
      <c r="N447" s="19">
        <f>IF(OR(F447="",F446=""),"",F447/F446-1)</f>
        <v/>
      </c>
      <c r="O447" s="19">
        <f>IF(OR(G447="",G446=""),"",G447/G446-1)</f>
        <v/>
      </c>
      <c r="P447" s="22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IF(R447="","",P447/R447)</f>
        <v/>
      </c>
      <c r="T447" s="23">
        <f>IF(R447="","",Q447/R447)</f>
        <v/>
      </c>
      <c r="U447" s="24">
        <f>IF(SUMIFS('Daily NSE Equity Options'!$M:$M,'Daily NSE Equity Options'!$A:$A,$A447)=0,"",SUMIFS('Daily NSE Equity Options'!$M:$M,'Daily NSE Equity Options'!$A:$A,$A447))</f>
        <v/>
      </c>
      <c r="V447" s="9">
        <f>IF(SUMIFS('Daily BSE Equity Options'!$M:$M,'Daily BSE Equity Options'!$A:$A,$A447)=0,"",SUMIFS('Daily BSE Equity Options'!$M:$M,'Daily BSE Equity Options'!$A:$A,$A447))</f>
        <v/>
      </c>
      <c r="W447" s="9">
        <f>IF(OR(U447="",V447=""),"",U447+V447)</f>
        <v/>
      </c>
      <c r="X447" s="25">
        <f>IF(W447="","",U447/W447)</f>
        <v/>
      </c>
      <c r="Y447" s="25">
        <f>IF(W447="","",V447/W447)</f>
        <v/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19">
        <f>IF(G448="","",E448/G448)</f>
        <v/>
      </c>
      <c r="I448" s="19">
        <f>IF(G448="","",F448/G448)</f>
        <v/>
      </c>
      <c r="J448" s="26">
        <f>IFERROR(IF(OR(E448="",INDEX(E:E,MATCH(DATE(YEAR($A448)-1,MONTH($A448),DAY($A448)),$A:$A,0))=""),"",E448/INDEX(E:E,MATCH(DATE(YEAR($A448)-1,MONTH($A448),DAY($A448)),$A:$A,0))-1),"")</f>
        <v/>
      </c>
      <c r="K448" s="19">
        <f>IFERROR(IF(OR(F448="",INDEX(F:F,MATCH(DATE(YEAR($A448)-1,MONTH($A448),DAY($A448)),$A:$A,0))=""),"",F448/INDEX(F:F,MATCH(DATE(YEAR($A448)-1,MONTH($A448),DAY($A448)),$A:$A,0))-1),"")</f>
        <v/>
      </c>
      <c r="L448" s="19">
        <f>IFERROR(IF(OR(G448="",INDEX(G:G,MATCH(DATE(YEAR($A448)-1,MONTH($A448),DAY($A448)),$A:$A,0))=""),"",G448/INDEX(G:G,MATCH(DATE(YEAR($A448)-1,MONTH($A448),DAY($A448)),$A:$A,0))-1),"")</f>
        <v/>
      </c>
      <c r="M448" s="19">
        <f>IF(OR(E448="",E447=""),"",E448/E447-1)</f>
        <v/>
      </c>
      <c r="N448" s="19">
        <f>IF(OR(F448="",F447=""),"",F448/F447-1)</f>
        <v/>
      </c>
      <c r="O448" s="19">
        <f>IF(OR(G448="",G447=""),"",G448/G447-1)</f>
        <v/>
      </c>
      <c r="P448" s="22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IF(R448="","",P448/R448)</f>
        <v/>
      </c>
      <c r="T448" s="23">
        <f>IF(R448="","",Q448/R448)</f>
        <v/>
      </c>
      <c r="U448" s="24">
        <f>IF(SUMIFS('Daily NSE Equity Options'!$M:$M,'Daily NSE Equity Options'!$A:$A,$A448)=0,"",SUMIFS('Daily NSE Equity Options'!$M:$M,'Daily NSE Equity Options'!$A:$A,$A448))</f>
        <v/>
      </c>
      <c r="V448" s="9">
        <f>IF(SUMIFS('Daily BSE Equity Options'!$M:$M,'Daily BSE Equity Options'!$A:$A,$A448)=0,"",SUMIFS('Daily BSE Equity Options'!$M:$M,'Daily BSE Equity Options'!$A:$A,$A448))</f>
        <v/>
      </c>
      <c r="W448" s="9">
        <f>IF(OR(U448="",V448=""),"",U448+V448)</f>
        <v/>
      </c>
      <c r="X448" s="25">
        <f>IF(W448="","",U448/W448)</f>
        <v/>
      </c>
      <c r="Y448" s="25">
        <f>IF(W448="","",V448/W448)</f>
        <v/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19">
        <f>IF(G449="","",E449/G449)</f>
        <v/>
      </c>
      <c r="I449" s="19">
        <f>IF(G449="","",F449/G449)</f>
        <v/>
      </c>
      <c r="J449" s="26">
        <f>IFERROR(IF(OR(E449="",INDEX(E:E,MATCH(DATE(YEAR($A449)-1,MONTH($A449),DAY($A449)),$A:$A,0))=""),"",E449/INDEX(E:E,MATCH(DATE(YEAR($A449)-1,MONTH($A449),DAY($A449)),$A:$A,0))-1),"")</f>
        <v/>
      </c>
      <c r="K449" s="19">
        <f>IFERROR(IF(OR(F449="",INDEX(F:F,MATCH(DATE(YEAR($A449)-1,MONTH($A449),DAY($A449)),$A:$A,0))=""),"",F449/INDEX(F:F,MATCH(DATE(YEAR($A449)-1,MONTH($A449),DAY($A449)),$A:$A,0))-1),"")</f>
        <v/>
      </c>
      <c r="L449" s="19">
        <f>IFERROR(IF(OR(G449="",INDEX(G:G,MATCH(DATE(YEAR($A449)-1,MONTH($A449),DAY($A449)),$A:$A,0))=""),"",G449/INDEX(G:G,MATCH(DATE(YEAR($A449)-1,MONTH($A449),DAY($A449)),$A:$A,0))-1),"")</f>
        <v/>
      </c>
      <c r="M449" s="19">
        <f>IF(OR(E449="",E448=""),"",E449/E448-1)</f>
        <v/>
      </c>
      <c r="N449" s="19">
        <f>IF(OR(F449="",F448=""),"",F449/F448-1)</f>
        <v/>
      </c>
      <c r="O449" s="19">
        <f>IF(OR(G449="",G448=""),"",G449/G448-1)</f>
        <v/>
      </c>
      <c r="P449" s="22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IF(R449="","",P449/R449)</f>
        <v/>
      </c>
      <c r="T449" s="23">
        <f>IF(R449="","",Q449/R449)</f>
        <v/>
      </c>
      <c r="U449" s="24">
        <f>IF(SUMIFS('Daily NSE Equity Options'!$M:$M,'Daily NSE Equity Options'!$A:$A,$A449)=0,"",SUMIFS('Daily NSE Equity Options'!$M:$M,'Daily NSE Equity Options'!$A:$A,$A449))</f>
        <v/>
      </c>
      <c r="V449" s="9">
        <f>IF(SUMIFS('Daily BSE Equity Options'!$M:$M,'Daily BSE Equity Options'!$A:$A,$A449)=0,"",SUMIFS('Daily BSE Equity Options'!$M:$M,'Daily BSE Equity Options'!$A:$A,$A449))</f>
        <v/>
      </c>
      <c r="W449" s="9">
        <f>IF(OR(U449="",V449=""),"",U449+V449)</f>
        <v/>
      </c>
      <c r="X449" s="25">
        <f>IF(W449="","",U449/W449)</f>
        <v/>
      </c>
      <c r="Y449" s="25">
        <f>IF(W449="","",V449/W449)</f>
        <v/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19">
        <f>IF(G450="","",E450/G450)</f>
        <v/>
      </c>
      <c r="I450" s="19">
        <f>IF(G450="","",F450/G450)</f>
        <v/>
      </c>
      <c r="J450" s="26">
        <f>IFERROR(IF(OR(E450="",INDEX(E:E,MATCH(DATE(YEAR($A450)-1,MONTH($A450),DAY($A450)),$A:$A,0))=""),"",E450/INDEX(E:E,MATCH(DATE(YEAR($A450)-1,MONTH($A450),DAY($A450)),$A:$A,0))-1),"")</f>
        <v/>
      </c>
      <c r="K450" s="19">
        <f>IFERROR(IF(OR(F450="",INDEX(F:F,MATCH(DATE(YEAR($A450)-1,MONTH($A450),DAY($A450)),$A:$A,0))=""),"",F450/INDEX(F:F,MATCH(DATE(YEAR($A450)-1,MONTH($A450),DAY($A450)),$A:$A,0))-1),"")</f>
        <v/>
      </c>
      <c r="L450" s="19">
        <f>IFERROR(IF(OR(G450="",INDEX(G:G,MATCH(DATE(YEAR($A450)-1,MONTH($A450),DAY($A450)),$A:$A,0))=""),"",G450/INDEX(G:G,MATCH(DATE(YEAR($A450)-1,MONTH($A450),DAY($A450)),$A:$A,0))-1),"")</f>
        <v/>
      </c>
      <c r="M450" s="19">
        <f>IF(OR(E450="",E449=""),"",E450/E449-1)</f>
        <v/>
      </c>
      <c r="N450" s="19">
        <f>IF(OR(F450="",F449=""),"",F450/F449-1)</f>
        <v/>
      </c>
      <c r="O450" s="19">
        <f>IF(OR(G450="",G449=""),"",G450/G449-1)</f>
        <v/>
      </c>
      <c r="P450" s="22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IF(R450="","",P450/R450)</f>
        <v/>
      </c>
      <c r="T450" s="23">
        <f>IF(R450="","",Q450/R450)</f>
        <v/>
      </c>
      <c r="U450" s="24">
        <f>IF(SUMIFS('Daily NSE Equity Options'!$M:$M,'Daily NSE Equity Options'!$A:$A,$A450)=0,"",SUMIFS('Daily NSE Equity Options'!$M:$M,'Daily NSE Equity Options'!$A:$A,$A450))</f>
        <v/>
      </c>
      <c r="V450" s="9">
        <f>IF(SUMIFS('Daily BSE Equity Options'!$M:$M,'Daily BSE Equity Options'!$A:$A,$A450)=0,"",SUMIFS('Daily BSE Equity Options'!$M:$M,'Daily BSE Equity Options'!$A:$A,$A450))</f>
        <v/>
      </c>
      <c r="W450" s="9">
        <f>IF(OR(U450="",V450=""),"",U450+V450)</f>
        <v/>
      </c>
      <c r="X450" s="25">
        <f>IF(W450="","",U450/W450)</f>
        <v/>
      </c>
      <c r="Y450" s="25">
        <f>IF(W450="","",V450/W450)</f>
        <v/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19">
        <f>IF(G451="","",E451/G451)</f>
        <v/>
      </c>
      <c r="I451" s="19">
        <f>IF(G451="","",F451/G451)</f>
        <v/>
      </c>
      <c r="J451" s="26">
        <f>IFERROR(IF(OR(E451="",INDEX(E:E,MATCH(DATE(YEAR($A451)-1,MONTH($A451),DAY($A451)),$A:$A,0))=""),"",E451/INDEX(E:E,MATCH(DATE(YEAR($A451)-1,MONTH($A451),DAY($A451)),$A:$A,0))-1),"")</f>
        <v/>
      </c>
      <c r="K451" s="19">
        <f>IFERROR(IF(OR(F451="",INDEX(F:F,MATCH(DATE(YEAR($A451)-1,MONTH($A451),DAY($A451)),$A:$A,0))=""),"",F451/INDEX(F:F,MATCH(DATE(YEAR($A451)-1,MONTH($A451),DAY($A451)),$A:$A,0))-1),"")</f>
        <v/>
      </c>
      <c r="L451" s="19">
        <f>IFERROR(IF(OR(G451="",INDEX(G:G,MATCH(DATE(YEAR($A451)-1,MONTH($A451),DAY($A451)),$A:$A,0))=""),"",G451/INDEX(G:G,MATCH(DATE(YEAR($A451)-1,MONTH($A451),DAY($A451)),$A:$A,0))-1),"")</f>
        <v/>
      </c>
      <c r="M451" s="19">
        <f>IF(OR(E451="",E450=""),"",E451/E450-1)</f>
        <v/>
      </c>
      <c r="N451" s="19">
        <f>IF(OR(F451="",F450=""),"",F451/F450-1)</f>
        <v/>
      </c>
      <c r="O451" s="19">
        <f>IF(OR(G451="",G450=""),"",G451/G450-1)</f>
        <v/>
      </c>
      <c r="P451" s="22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IF(R451="","",P451/R451)</f>
        <v/>
      </c>
      <c r="T451" s="23">
        <f>IF(R451="","",Q451/R451)</f>
        <v/>
      </c>
      <c r="U451" s="24">
        <f>IF(SUMIFS('Daily NSE Equity Options'!$M:$M,'Daily NSE Equity Options'!$A:$A,$A451)=0,"",SUMIFS('Daily NSE Equity Options'!$M:$M,'Daily NSE Equity Options'!$A:$A,$A451))</f>
        <v/>
      </c>
      <c r="V451" s="9">
        <f>IF(SUMIFS('Daily BSE Equity Options'!$M:$M,'Daily BSE Equity Options'!$A:$A,$A451)=0,"",SUMIFS('Daily BSE Equity Options'!$M:$M,'Daily BSE Equity Options'!$A:$A,$A451))</f>
        <v/>
      </c>
      <c r="W451" s="9">
        <f>IF(OR(U451="",V451=""),"",U451+V451)</f>
        <v/>
      </c>
      <c r="X451" s="25">
        <f>IF(W451="","",U451/W451)</f>
        <v/>
      </c>
      <c r="Y451" s="25">
        <f>IF(W451="","",V451/W451)</f>
        <v/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19">
        <f>IF(G452="","",E452/G452)</f>
        <v/>
      </c>
      <c r="I452" s="19">
        <f>IF(G452="","",F452/G452)</f>
        <v/>
      </c>
      <c r="J452" s="26">
        <f>IFERROR(IF(OR(E452="",INDEX(E:E,MATCH(DATE(YEAR($A452)-1,MONTH($A452),DAY($A452)),$A:$A,0))=""),"",E452/INDEX(E:E,MATCH(DATE(YEAR($A452)-1,MONTH($A452),DAY($A452)),$A:$A,0))-1),"")</f>
        <v/>
      </c>
      <c r="K452" s="19">
        <f>IFERROR(IF(OR(F452="",INDEX(F:F,MATCH(DATE(YEAR($A452)-1,MONTH($A452),DAY($A452)),$A:$A,0))=""),"",F452/INDEX(F:F,MATCH(DATE(YEAR($A452)-1,MONTH($A452),DAY($A452)),$A:$A,0))-1),"")</f>
        <v/>
      </c>
      <c r="L452" s="19">
        <f>IFERROR(IF(OR(G452="",INDEX(G:G,MATCH(DATE(YEAR($A452)-1,MONTH($A452),DAY($A452)),$A:$A,0))=""),"",G452/INDEX(G:G,MATCH(DATE(YEAR($A452)-1,MONTH($A452),DAY($A452)),$A:$A,0))-1),"")</f>
        <v/>
      </c>
      <c r="M452" s="19">
        <f>IF(OR(E452="",E451=""),"",E452/E451-1)</f>
        <v/>
      </c>
      <c r="N452" s="19">
        <f>IF(OR(F452="",F451=""),"",F452/F451-1)</f>
        <v/>
      </c>
      <c r="O452" s="19">
        <f>IF(OR(G452="",G451=""),"",G452/G451-1)</f>
        <v/>
      </c>
      <c r="P452" s="22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IF(R452="","",P452/R452)</f>
        <v/>
      </c>
      <c r="T452" s="23">
        <f>IF(R452="","",Q452/R452)</f>
        <v/>
      </c>
      <c r="U452" s="24">
        <f>IF(SUMIFS('Daily NSE Equity Options'!$M:$M,'Daily NSE Equity Options'!$A:$A,$A452)=0,"",SUMIFS('Daily NSE Equity Options'!$M:$M,'Daily NSE Equity Options'!$A:$A,$A452))</f>
        <v/>
      </c>
      <c r="V452" s="9">
        <f>IF(SUMIFS('Daily BSE Equity Options'!$M:$M,'Daily BSE Equity Options'!$A:$A,$A452)=0,"",SUMIFS('Daily BSE Equity Options'!$M:$M,'Daily BSE Equity Options'!$A:$A,$A452))</f>
        <v/>
      </c>
      <c r="W452" s="9">
        <f>IF(OR(U452="",V452=""),"",U452+V452)</f>
        <v/>
      </c>
      <c r="X452" s="25">
        <f>IF(W452="","",U452/W452)</f>
        <v/>
      </c>
      <c r="Y452" s="25">
        <f>IF(W452="","",V452/W452)</f>
        <v/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19">
        <f>IF(G453="","",E453/G453)</f>
        <v/>
      </c>
      <c r="I453" s="19">
        <f>IF(G453="","",F453/G453)</f>
        <v/>
      </c>
      <c r="J453" s="26">
        <f>IFERROR(IF(OR(E453="",INDEX(E:E,MATCH(DATE(YEAR($A453)-1,MONTH($A453),DAY($A453)),$A:$A,0))=""),"",E453/INDEX(E:E,MATCH(DATE(YEAR($A453)-1,MONTH($A453),DAY($A453)),$A:$A,0))-1),"")</f>
        <v/>
      </c>
      <c r="K453" s="19">
        <f>IFERROR(IF(OR(F453="",INDEX(F:F,MATCH(DATE(YEAR($A453)-1,MONTH($A453),DAY($A453)),$A:$A,0))=""),"",F453/INDEX(F:F,MATCH(DATE(YEAR($A453)-1,MONTH($A453),DAY($A453)),$A:$A,0))-1),"")</f>
        <v/>
      </c>
      <c r="L453" s="19">
        <f>IFERROR(IF(OR(G453="",INDEX(G:G,MATCH(DATE(YEAR($A453)-1,MONTH($A453),DAY($A453)),$A:$A,0))=""),"",G453/INDEX(G:G,MATCH(DATE(YEAR($A453)-1,MONTH($A453),DAY($A453)),$A:$A,0))-1),"")</f>
        <v/>
      </c>
      <c r="M453" s="19">
        <f>IF(OR(E453="",E452=""),"",E453/E452-1)</f>
        <v/>
      </c>
      <c r="N453" s="19">
        <f>IF(OR(F453="",F452=""),"",F453/F452-1)</f>
        <v/>
      </c>
      <c r="O453" s="19">
        <f>IF(OR(G453="",G452=""),"",G453/G452-1)</f>
        <v/>
      </c>
      <c r="P453" s="22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IF(R453="","",P453/R453)</f>
        <v/>
      </c>
      <c r="T453" s="23">
        <f>IF(R453="","",Q453/R453)</f>
        <v/>
      </c>
      <c r="U453" s="24">
        <f>IF(SUMIFS('Daily NSE Equity Options'!$M:$M,'Daily NSE Equity Options'!$A:$A,$A453)=0,"",SUMIFS('Daily NSE Equity Options'!$M:$M,'Daily NSE Equity Options'!$A:$A,$A453))</f>
        <v/>
      </c>
      <c r="V453" s="9">
        <f>IF(SUMIFS('Daily BSE Equity Options'!$M:$M,'Daily BSE Equity Options'!$A:$A,$A453)=0,"",SUMIFS('Daily BSE Equity Options'!$M:$M,'Daily BSE Equity Options'!$A:$A,$A453))</f>
        <v/>
      </c>
      <c r="W453" s="9">
        <f>IF(OR(U453="",V453=""),"",U453+V453)</f>
        <v/>
      </c>
      <c r="X453" s="25">
        <f>IF(W453="","",U453/W453)</f>
        <v/>
      </c>
      <c r="Y453" s="25">
        <f>IF(W453="","",V453/W453)</f>
        <v/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19">
        <f>IF(G454="","",E454/G454)</f>
        <v/>
      </c>
      <c r="I454" s="19">
        <f>IF(G454="","",F454/G454)</f>
        <v/>
      </c>
      <c r="J454" s="26">
        <f>IFERROR(IF(OR(E454="",INDEX(E:E,MATCH(DATE(YEAR($A454)-1,MONTH($A454),DAY($A454)),$A:$A,0))=""),"",E454/INDEX(E:E,MATCH(DATE(YEAR($A454)-1,MONTH($A454),DAY($A454)),$A:$A,0))-1),"")</f>
        <v/>
      </c>
      <c r="K454" s="19">
        <f>IFERROR(IF(OR(F454="",INDEX(F:F,MATCH(DATE(YEAR($A454)-1,MONTH($A454),DAY($A454)),$A:$A,0))=""),"",F454/INDEX(F:F,MATCH(DATE(YEAR($A454)-1,MONTH($A454),DAY($A454)),$A:$A,0))-1),"")</f>
        <v/>
      </c>
      <c r="L454" s="19">
        <f>IFERROR(IF(OR(G454="",INDEX(G:G,MATCH(DATE(YEAR($A454)-1,MONTH($A454),DAY($A454)),$A:$A,0))=""),"",G454/INDEX(G:G,MATCH(DATE(YEAR($A454)-1,MONTH($A454),DAY($A454)),$A:$A,0))-1),"")</f>
        <v/>
      </c>
      <c r="M454" s="19">
        <f>IF(OR(E454="",E453=""),"",E454/E453-1)</f>
        <v/>
      </c>
      <c r="N454" s="19">
        <f>IF(OR(F454="",F453=""),"",F454/F453-1)</f>
        <v/>
      </c>
      <c r="O454" s="19">
        <f>IF(OR(G454="",G453=""),"",G454/G453-1)</f>
        <v/>
      </c>
      <c r="P454" s="22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IF(R454="","",P454/R454)</f>
        <v/>
      </c>
      <c r="T454" s="23">
        <f>IF(R454="","",Q454/R454)</f>
        <v/>
      </c>
      <c r="U454" s="24">
        <f>IF(SUMIFS('Daily NSE Equity Options'!$M:$M,'Daily NSE Equity Options'!$A:$A,$A454)=0,"",SUMIFS('Daily NSE Equity Options'!$M:$M,'Daily NSE Equity Options'!$A:$A,$A454))</f>
        <v/>
      </c>
      <c r="V454" s="9">
        <f>IF(SUMIFS('Daily BSE Equity Options'!$M:$M,'Daily BSE Equity Options'!$A:$A,$A454)=0,"",SUMIFS('Daily BSE Equity Options'!$M:$M,'Daily BSE Equity Options'!$A:$A,$A454))</f>
        <v/>
      </c>
      <c r="W454" s="9">
        <f>IF(OR(U454="",V454=""),"",U454+V454)</f>
        <v/>
      </c>
      <c r="X454" s="25">
        <f>IF(W454="","",U454/W454)</f>
        <v/>
      </c>
      <c r="Y454" s="25">
        <f>IF(W454="","",V454/W454)</f>
        <v/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19">
        <f>IF(G455="","",E455/G455)</f>
        <v/>
      </c>
      <c r="I455" s="19">
        <f>IF(G455="","",F455/G455)</f>
        <v/>
      </c>
      <c r="J455" s="26">
        <f>IFERROR(IF(OR(E455="",INDEX(E:E,MATCH(DATE(YEAR($A455)-1,MONTH($A455),DAY($A455)),$A:$A,0))=""),"",E455/INDEX(E:E,MATCH(DATE(YEAR($A455)-1,MONTH($A455),DAY($A455)),$A:$A,0))-1),"")</f>
        <v/>
      </c>
      <c r="K455" s="19">
        <f>IFERROR(IF(OR(F455="",INDEX(F:F,MATCH(DATE(YEAR($A455)-1,MONTH($A455),DAY($A455)),$A:$A,0))=""),"",F455/INDEX(F:F,MATCH(DATE(YEAR($A455)-1,MONTH($A455),DAY($A455)),$A:$A,0))-1),"")</f>
        <v/>
      </c>
      <c r="L455" s="19">
        <f>IFERROR(IF(OR(G455="",INDEX(G:G,MATCH(DATE(YEAR($A455)-1,MONTH($A455),DAY($A455)),$A:$A,0))=""),"",G455/INDEX(G:G,MATCH(DATE(YEAR($A455)-1,MONTH($A455),DAY($A455)),$A:$A,0))-1),"")</f>
        <v/>
      </c>
      <c r="M455" s="19">
        <f>IF(OR(E455="",E454=""),"",E455/E454-1)</f>
        <v/>
      </c>
      <c r="N455" s="19">
        <f>IF(OR(F455="",F454=""),"",F455/F454-1)</f>
        <v/>
      </c>
      <c r="O455" s="19">
        <f>IF(OR(G455="",G454=""),"",G455/G454-1)</f>
        <v/>
      </c>
      <c r="P455" s="22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IF(R455="","",P455/R455)</f>
        <v/>
      </c>
      <c r="T455" s="23">
        <f>IF(R455="","",Q455/R455)</f>
        <v/>
      </c>
      <c r="U455" s="24">
        <f>IF(SUMIFS('Daily NSE Equity Options'!$M:$M,'Daily NSE Equity Options'!$A:$A,$A455)=0,"",SUMIFS('Daily NSE Equity Options'!$M:$M,'Daily NSE Equity Options'!$A:$A,$A455))</f>
        <v/>
      </c>
      <c r="V455" s="9">
        <f>IF(SUMIFS('Daily BSE Equity Options'!$M:$M,'Daily BSE Equity Options'!$A:$A,$A455)=0,"",SUMIFS('Daily BSE Equity Options'!$M:$M,'Daily BSE Equity Options'!$A:$A,$A455))</f>
        <v/>
      </c>
      <c r="W455" s="9">
        <f>IF(OR(U455="",V455=""),"",U455+V455)</f>
        <v/>
      </c>
      <c r="X455" s="25">
        <f>IF(W455="","",U455/W455)</f>
        <v/>
      </c>
      <c r="Y455" s="25">
        <f>IF(W455="","",V455/W455)</f>
        <v/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19">
        <f>IF(G456="","",E456/G456)</f>
        <v/>
      </c>
      <c r="I456" s="19">
        <f>IF(G456="","",F456/G456)</f>
        <v/>
      </c>
      <c r="J456" s="26">
        <f>IFERROR(IF(OR(E456="",INDEX(E:E,MATCH(DATE(YEAR($A456)-1,MONTH($A456),DAY($A456)),$A:$A,0))=""),"",E456/INDEX(E:E,MATCH(DATE(YEAR($A456)-1,MONTH($A456),DAY($A456)),$A:$A,0))-1),"")</f>
        <v/>
      </c>
      <c r="K456" s="19">
        <f>IFERROR(IF(OR(F456="",INDEX(F:F,MATCH(DATE(YEAR($A456)-1,MONTH($A456),DAY($A456)),$A:$A,0))=""),"",F456/INDEX(F:F,MATCH(DATE(YEAR($A456)-1,MONTH($A456),DAY($A456)),$A:$A,0))-1),"")</f>
        <v/>
      </c>
      <c r="L456" s="19">
        <f>IFERROR(IF(OR(G456="",INDEX(G:G,MATCH(DATE(YEAR($A456)-1,MONTH($A456),DAY($A456)),$A:$A,0))=""),"",G456/INDEX(G:G,MATCH(DATE(YEAR($A456)-1,MONTH($A456),DAY($A456)),$A:$A,0))-1),"")</f>
        <v/>
      </c>
      <c r="M456" s="19">
        <f>IF(OR(E456="",E455=""),"",E456/E455-1)</f>
        <v/>
      </c>
      <c r="N456" s="19">
        <f>IF(OR(F456="",F455=""),"",F456/F455-1)</f>
        <v/>
      </c>
      <c r="O456" s="19">
        <f>IF(OR(G456="",G455=""),"",G456/G455-1)</f>
        <v/>
      </c>
      <c r="P456" s="22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IF(R456="","",P456/R456)</f>
        <v/>
      </c>
      <c r="T456" s="23">
        <f>IF(R456="","",Q456/R456)</f>
        <v/>
      </c>
      <c r="U456" s="24">
        <f>IF(SUMIFS('Daily NSE Equity Options'!$M:$M,'Daily NSE Equity Options'!$A:$A,$A456)=0,"",SUMIFS('Daily NSE Equity Options'!$M:$M,'Daily NSE Equity Options'!$A:$A,$A456))</f>
        <v/>
      </c>
      <c r="V456" s="9">
        <f>IF(SUMIFS('Daily BSE Equity Options'!$M:$M,'Daily BSE Equity Options'!$A:$A,$A456)=0,"",SUMIFS('Daily BSE Equity Options'!$M:$M,'Daily BSE Equity Options'!$A:$A,$A456))</f>
        <v/>
      </c>
      <c r="W456" s="9">
        <f>IF(OR(U456="",V456=""),"",U456+V456)</f>
        <v/>
      </c>
      <c r="X456" s="25">
        <f>IF(W456="","",U456/W456)</f>
        <v/>
      </c>
      <c r="Y456" s="25">
        <f>IF(W456="","",V456/W456)</f>
        <v/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19">
        <f>IF(G457="","",E457/G457)</f>
        <v/>
      </c>
      <c r="I457" s="19">
        <f>IF(G457="","",F457/G457)</f>
        <v/>
      </c>
      <c r="J457" s="26">
        <f>IFERROR(IF(OR(E457="",INDEX(E:E,MATCH(DATE(YEAR($A457)-1,MONTH($A457),DAY($A457)),$A:$A,0))=""),"",E457/INDEX(E:E,MATCH(DATE(YEAR($A457)-1,MONTH($A457),DAY($A457)),$A:$A,0))-1),"")</f>
        <v/>
      </c>
      <c r="K457" s="19">
        <f>IFERROR(IF(OR(F457="",INDEX(F:F,MATCH(DATE(YEAR($A457)-1,MONTH($A457),DAY($A457)),$A:$A,0))=""),"",F457/INDEX(F:F,MATCH(DATE(YEAR($A457)-1,MONTH($A457),DAY($A457)),$A:$A,0))-1),"")</f>
        <v/>
      </c>
      <c r="L457" s="19">
        <f>IFERROR(IF(OR(G457="",INDEX(G:G,MATCH(DATE(YEAR($A457)-1,MONTH($A457),DAY($A457)),$A:$A,0))=""),"",G457/INDEX(G:G,MATCH(DATE(YEAR($A457)-1,MONTH($A457),DAY($A457)),$A:$A,0))-1),"")</f>
        <v/>
      </c>
      <c r="M457" s="19">
        <f>IF(OR(E457="",E456=""),"",E457/E456-1)</f>
        <v/>
      </c>
      <c r="N457" s="19">
        <f>IF(OR(F457="",F456=""),"",F457/F456-1)</f>
        <v/>
      </c>
      <c r="O457" s="19">
        <f>IF(OR(G457="",G456=""),"",G457/G456-1)</f>
        <v/>
      </c>
      <c r="P457" s="22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IF(R457="","",P457/R457)</f>
        <v/>
      </c>
      <c r="T457" s="23">
        <f>IF(R457="","",Q457/R457)</f>
        <v/>
      </c>
      <c r="U457" s="24">
        <f>IF(SUMIFS('Daily NSE Equity Options'!$M:$M,'Daily NSE Equity Options'!$A:$A,$A457)=0,"",SUMIFS('Daily NSE Equity Options'!$M:$M,'Daily NSE Equity Options'!$A:$A,$A457))</f>
        <v/>
      </c>
      <c r="V457" s="9">
        <f>IF(SUMIFS('Daily BSE Equity Options'!$M:$M,'Daily BSE Equity Options'!$A:$A,$A457)=0,"",SUMIFS('Daily BSE Equity Options'!$M:$M,'Daily BSE Equity Options'!$A:$A,$A457))</f>
        <v/>
      </c>
      <c r="W457" s="9">
        <f>IF(OR(U457="",V457=""),"",U457+V457)</f>
        <v/>
      </c>
      <c r="X457" s="25">
        <f>IF(W457="","",U457/W457)</f>
        <v/>
      </c>
      <c r="Y457" s="25">
        <f>IF(W457="","",V457/W457)</f>
        <v/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19">
        <f>IF(G458="","",E458/G458)</f>
        <v/>
      </c>
      <c r="I458" s="19">
        <f>IF(G458="","",F458/G458)</f>
        <v/>
      </c>
      <c r="J458" s="26">
        <f>IFERROR(IF(OR(E458="",INDEX(E:E,MATCH(DATE(YEAR($A458)-1,MONTH($A458),DAY($A458)),$A:$A,0))=""),"",E458/INDEX(E:E,MATCH(DATE(YEAR($A458)-1,MONTH($A458),DAY($A458)),$A:$A,0))-1),"")</f>
        <v/>
      </c>
      <c r="K458" s="19">
        <f>IFERROR(IF(OR(F458="",INDEX(F:F,MATCH(DATE(YEAR($A458)-1,MONTH($A458),DAY($A458)),$A:$A,0))=""),"",F458/INDEX(F:F,MATCH(DATE(YEAR($A458)-1,MONTH($A458),DAY($A458)),$A:$A,0))-1),"")</f>
        <v/>
      </c>
      <c r="L458" s="19">
        <f>IFERROR(IF(OR(G458="",INDEX(G:G,MATCH(DATE(YEAR($A458)-1,MONTH($A458),DAY($A458)),$A:$A,0))=""),"",G458/INDEX(G:G,MATCH(DATE(YEAR($A458)-1,MONTH($A458),DAY($A458)),$A:$A,0))-1),"")</f>
        <v/>
      </c>
      <c r="M458" s="19">
        <f>IF(OR(E458="",E457=""),"",E458/E457-1)</f>
        <v/>
      </c>
      <c r="N458" s="19">
        <f>IF(OR(F458="",F457=""),"",F458/F457-1)</f>
        <v/>
      </c>
      <c r="O458" s="19">
        <f>IF(OR(G458="",G457=""),"",G458/G457-1)</f>
        <v/>
      </c>
      <c r="P458" s="22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IF(R458="","",P458/R458)</f>
        <v/>
      </c>
      <c r="T458" s="23">
        <f>IF(R458="","",Q458/R458)</f>
        <v/>
      </c>
      <c r="U458" s="24">
        <f>IF(SUMIFS('Daily NSE Equity Options'!$M:$M,'Daily NSE Equity Options'!$A:$A,$A458)=0,"",SUMIFS('Daily NSE Equity Options'!$M:$M,'Daily NSE Equity Options'!$A:$A,$A458))</f>
        <v/>
      </c>
      <c r="V458" s="9">
        <f>IF(SUMIFS('Daily BSE Equity Options'!$M:$M,'Daily BSE Equity Options'!$A:$A,$A458)=0,"",SUMIFS('Daily BSE Equity Options'!$M:$M,'Daily BSE Equity Options'!$A:$A,$A458))</f>
        <v/>
      </c>
      <c r="W458" s="9">
        <f>IF(OR(U458="",V458=""),"",U458+V458)</f>
        <v/>
      </c>
      <c r="X458" s="25">
        <f>IF(W458="","",U458/W458)</f>
        <v/>
      </c>
      <c r="Y458" s="25">
        <f>IF(W458="","",V458/W458)</f>
        <v/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19">
        <f>IF(G459="","",E459/G459)</f>
        <v/>
      </c>
      <c r="I459" s="19">
        <f>IF(G459="","",F459/G459)</f>
        <v/>
      </c>
      <c r="J459" s="26">
        <f>IFERROR(IF(OR(E459="",INDEX(E:E,MATCH(DATE(YEAR($A459)-1,MONTH($A459),DAY($A459)),$A:$A,0))=""),"",E459/INDEX(E:E,MATCH(DATE(YEAR($A459)-1,MONTH($A459),DAY($A459)),$A:$A,0))-1),"")</f>
        <v/>
      </c>
      <c r="K459" s="19">
        <f>IFERROR(IF(OR(F459="",INDEX(F:F,MATCH(DATE(YEAR($A459)-1,MONTH($A459),DAY($A459)),$A:$A,0))=""),"",F459/INDEX(F:F,MATCH(DATE(YEAR($A459)-1,MONTH($A459),DAY($A459)),$A:$A,0))-1),"")</f>
        <v/>
      </c>
      <c r="L459" s="19">
        <f>IFERROR(IF(OR(G459="",INDEX(G:G,MATCH(DATE(YEAR($A459)-1,MONTH($A459),DAY($A459)),$A:$A,0))=""),"",G459/INDEX(G:G,MATCH(DATE(YEAR($A459)-1,MONTH($A459),DAY($A459)),$A:$A,0))-1),"")</f>
        <v/>
      </c>
      <c r="M459" s="19">
        <f>IF(OR(E459="",E458=""),"",E459/E458-1)</f>
        <v/>
      </c>
      <c r="N459" s="19">
        <f>IF(OR(F459="",F458=""),"",F459/F458-1)</f>
        <v/>
      </c>
      <c r="O459" s="19">
        <f>IF(OR(G459="",G458=""),"",G459/G458-1)</f>
        <v/>
      </c>
      <c r="P459" s="22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IF(R459="","",P459/R459)</f>
        <v/>
      </c>
      <c r="T459" s="23">
        <f>IF(R459="","",Q459/R459)</f>
        <v/>
      </c>
      <c r="U459" s="24">
        <f>IF(SUMIFS('Daily NSE Equity Options'!$M:$M,'Daily NSE Equity Options'!$A:$A,$A459)=0,"",SUMIFS('Daily NSE Equity Options'!$M:$M,'Daily NSE Equity Options'!$A:$A,$A459))</f>
        <v/>
      </c>
      <c r="V459" s="9">
        <f>IF(SUMIFS('Daily BSE Equity Options'!$M:$M,'Daily BSE Equity Options'!$A:$A,$A459)=0,"",SUMIFS('Daily BSE Equity Options'!$M:$M,'Daily BSE Equity Options'!$A:$A,$A459))</f>
        <v/>
      </c>
      <c r="W459" s="9">
        <f>IF(OR(U459="",V459=""),"",U459+V459)</f>
        <v/>
      </c>
      <c r="X459" s="25">
        <f>IF(W459="","",U459/W459)</f>
        <v/>
      </c>
      <c r="Y459" s="25">
        <f>IF(W459="","",V459/W459)</f>
        <v/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19">
        <f>IF(G460="","",E460/G460)</f>
        <v/>
      </c>
      <c r="I460" s="19">
        <f>IF(G460="","",F460/G460)</f>
        <v/>
      </c>
      <c r="J460" s="26">
        <f>IFERROR(IF(OR(E460="",INDEX(E:E,MATCH(DATE(YEAR($A460)-1,MONTH($A460),DAY($A460)),$A:$A,0))=""),"",E460/INDEX(E:E,MATCH(DATE(YEAR($A460)-1,MONTH($A460),DAY($A460)),$A:$A,0))-1),"")</f>
        <v/>
      </c>
      <c r="K460" s="19">
        <f>IFERROR(IF(OR(F460="",INDEX(F:F,MATCH(DATE(YEAR($A460)-1,MONTH($A460),DAY($A460)),$A:$A,0))=""),"",F460/INDEX(F:F,MATCH(DATE(YEAR($A460)-1,MONTH($A460),DAY($A460)),$A:$A,0))-1),"")</f>
        <v/>
      </c>
      <c r="L460" s="19">
        <f>IFERROR(IF(OR(G460="",INDEX(G:G,MATCH(DATE(YEAR($A460)-1,MONTH($A460),DAY($A460)),$A:$A,0))=""),"",G460/INDEX(G:G,MATCH(DATE(YEAR($A460)-1,MONTH($A460),DAY($A460)),$A:$A,0))-1),"")</f>
        <v/>
      </c>
      <c r="M460" s="19">
        <f>IF(OR(E460="",E459=""),"",E460/E459-1)</f>
        <v/>
      </c>
      <c r="N460" s="19">
        <f>IF(OR(F460="",F459=""),"",F460/F459-1)</f>
        <v/>
      </c>
      <c r="O460" s="19">
        <f>IF(OR(G460="",G459=""),"",G460/G459-1)</f>
        <v/>
      </c>
      <c r="P460" s="22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IF(R460="","",P460/R460)</f>
        <v/>
      </c>
      <c r="T460" s="23">
        <f>IF(R460="","",Q460/R460)</f>
        <v/>
      </c>
      <c r="U460" s="24">
        <f>IF(SUMIFS('Daily NSE Equity Options'!$M:$M,'Daily NSE Equity Options'!$A:$A,$A460)=0,"",SUMIFS('Daily NSE Equity Options'!$M:$M,'Daily NSE Equity Options'!$A:$A,$A460))</f>
        <v/>
      </c>
      <c r="V460" s="9">
        <f>IF(SUMIFS('Daily BSE Equity Options'!$M:$M,'Daily BSE Equity Options'!$A:$A,$A460)=0,"",SUMIFS('Daily BSE Equity Options'!$M:$M,'Daily BSE Equity Options'!$A:$A,$A460))</f>
        <v/>
      </c>
      <c r="W460" s="9">
        <f>IF(OR(U460="",V460=""),"",U460+V460)</f>
        <v/>
      </c>
      <c r="X460" s="25">
        <f>IF(W460="","",U460/W460)</f>
        <v/>
      </c>
      <c r="Y460" s="25">
        <f>IF(W460="","",V460/W460)</f>
        <v/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19">
        <f>IF(G461="","",E461/G461)</f>
        <v/>
      </c>
      <c r="I461" s="19">
        <f>IF(G461="","",F461/G461)</f>
        <v/>
      </c>
      <c r="J461" s="26">
        <f>IFERROR(IF(OR(E461="",INDEX(E:E,MATCH(DATE(YEAR($A461)-1,MONTH($A461),DAY($A461)),$A:$A,0))=""),"",E461/INDEX(E:E,MATCH(DATE(YEAR($A461)-1,MONTH($A461),DAY($A461)),$A:$A,0))-1),"")</f>
        <v/>
      </c>
      <c r="K461" s="19">
        <f>IFERROR(IF(OR(F461="",INDEX(F:F,MATCH(DATE(YEAR($A461)-1,MONTH($A461),DAY($A461)),$A:$A,0))=""),"",F461/INDEX(F:F,MATCH(DATE(YEAR($A461)-1,MONTH($A461),DAY($A461)),$A:$A,0))-1),"")</f>
        <v/>
      </c>
      <c r="L461" s="19">
        <f>IFERROR(IF(OR(G461="",INDEX(G:G,MATCH(DATE(YEAR($A461)-1,MONTH($A461),DAY($A461)),$A:$A,0))=""),"",G461/INDEX(G:G,MATCH(DATE(YEAR($A461)-1,MONTH($A461),DAY($A461)),$A:$A,0))-1),"")</f>
        <v/>
      </c>
      <c r="M461" s="19">
        <f>IF(OR(E461="",E460=""),"",E461/E460-1)</f>
        <v/>
      </c>
      <c r="N461" s="19">
        <f>IF(OR(F461="",F460=""),"",F461/F460-1)</f>
        <v/>
      </c>
      <c r="O461" s="19">
        <f>IF(OR(G461="",G460=""),"",G461/G460-1)</f>
        <v/>
      </c>
      <c r="P461" s="22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IF(R461="","",P461/R461)</f>
        <v/>
      </c>
      <c r="T461" s="23">
        <f>IF(R461="","",Q461/R461)</f>
        <v/>
      </c>
      <c r="U461" s="24">
        <f>IF(SUMIFS('Daily NSE Equity Options'!$M:$M,'Daily NSE Equity Options'!$A:$A,$A461)=0,"",SUMIFS('Daily NSE Equity Options'!$M:$M,'Daily NSE Equity Options'!$A:$A,$A461))</f>
        <v/>
      </c>
      <c r="V461" s="9">
        <f>IF(SUMIFS('Daily BSE Equity Options'!$M:$M,'Daily BSE Equity Options'!$A:$A,$A461)=0,"",SUMIFS('Daily BSE Equity Options'!$M:$M,'Daily BSE Equity Options'!$A:$A,$A461))</f>
        <v/>
      </c>
      <c r="W461" s="9">
        <f>IF(OR(U461="",V461=""),"",U461+V461)</f>
        <v/>
      </c>
      <c r="X461" s="25">
        <f>IF(W461="","",U461/W461)</f>
        <v/>
      </c>
      <c r="Y461" s="25">
        <f>IF(W461="","",V461/W461)</f>
        <v/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19">
        <f>IF(G462="","",E462/G462)</f>
        <v/>
      </c>
      <c r="I462" s="19">
        <f>IF(G462="","",F462/G462)</f>
        <v/>
      </c>
      <c r="J462" s="26">
        <f>IFERROR(IF(OR(E462="",INDEX(E:E,MATCH(DATE(YEAR($A462)-1,MONTH($A462),DAY($A462)),$A:$A,0))=""),"",E462/INDEX(E:E,MATCH(DATE(YEAR($A462)-1,MONTH($A462),DAY($A462)),$A:$A,0))-1),"")</f>
        <v/>
      </c>
      <c r="K462" s="19">
        <f>IFERROR(IF(OR(F462="",INDEX(F:F,MATCH(DATE(YEAR($A462)-1,MONTH($A462),DAY($A462)),$A:$A,0))=""),"",F462/INDEX(F:F,MATCH(DATE(YEAR($A462)-1,MONTH($A462),DAY($A462)),$A:$A,0))-1),"")</f>
        <v/>
      </c>
      <c r="L462" s="19">
        <f>IFERROR(IF(OR(G462="",INDEX(G:G,MATCH(DATE(YEAR($A462)-1,MONTH($A462),DAY($A462)),$A:$A,0))=""),"",G462/INDEX(G:G,MATCH(DATE(YEAR($A462)-1,MONTH($A462),DAY($A462)),$A:$A,0))-1),"")</f>
        <v/>
      </c>
      <c r="M462" s="19">
        <f>IF(OR(E462="",E461=""),"",E462/E461-1)</f>
        <v/>
      </c>
      <c r="N462" s="19">
        <f>IF(OR(F462="",F461=""),"",F462/F461-1)</f>
        <v/>
      </c>
      <c r="O462" s="19">
        <f>IF(OR(G462="",G461=""),"",G462/G461-1)</f>
        <v/>
      </c>
      <c r="P462" s="22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IF(R462="","",P462/R462)</f>
        <v/>
      </c>
      <c r="T462" s="23">
        <f>IF(R462="","",Q462/R462)</f>
        <v/>
      </c>
      <c r="U462" s="24">
        <f>IF(SUMIFS('Daily NSE Equity Options'!$M:$M,'Daily NSE Equity Options'!$A:$A,$A462)=0,"",SUMIFS('Daily NSE Equity Options'!$M:$M,'Daily NSE Equity Options'!$A:$A,$A462))</f>
        <v/>
      </c>
      <c r="V462" s="9">
        <f>IF(SUMIFS('Daily BSE Equity Options'!$M:$M,'Daily BSE Equity Options'!$A:$A,$A462)=0,"",SUMIFS('Daily BSE Equity Options'!$M:$M,'Daily BSE Equity Options'!$A:$A,$A462))</f>
        <v/>
      </c>
      <c r="W462" s="9">
        <f>IF(OR(U462="",V462=""),"",U462+V462)</f>
        <v/>
      </c>
      <c r="X462" s="25">
        <f>IF(W462="","",U462/W462)</f>
        <v/>
      </c>
      <c r="Y462" s="25">
        <f>IF(W462="","",V462/W462)</f>
        <v/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19">
        <f>IF(G463="","",E463/G463)</f>
        <v/>
      </c>
      <c r="I463" s="19">
        <f>IF(G463="","",F463/G463)</f>
        <v/>
      </c>
      <c r="J463" s="26">
        <f>IFERROR(IF(OR(E463="",INDEX(E:E,MATCH(DATE(YEAR($A463)-1,MONTH($A463),DAY($A463)),$A:$A,0))=""),"",E463/INDEX(E:E,MATCH(DATE(YEAR($A463)-1,MONTH($A463),DAY($A463)),$A:$A,0))-1),"")</f>
        <v/>
      </c>
      <c r="K463" s="19">
        <f>IFERROR(IF(OR(F463="",INDEX(F:F,MATCH(DATE(YEAR($A463)-1,MONTH($A463),DAY($A463)),$A:$A,0))=""),"",F463/INDEX(F:F,MATCH(DATE(YEAR($A463)-1,MONTH($A463),DAY($A463)),$A:$A,0))-1),"")</f>
        <v/>
      </c>
      <c r="L463" s="19">
        <f>IFERROR(IF(OR(G463="",INDEX(G:G,MATCH(DATE(YEAR($A463)-1,MONTH($A463),DAY($A463)),$A:$A,0))=""),"",G463/INDEX(G:G,MATCH(DATE(YEAR($A463)-1,MONTH($A463),DAY($A463)),$A:$A,0))-1),"")</f>
        <v/>
      </c>
      <c r="M463" s="19">
        <f>IF(OR(E463="",E462=""),"",E463/E462-1)</f>
        <v/>
      </c>
      <c r="N463" s="19">
        <f>IF(OR(F463="",F462=""),"",F463/F462-1)</f>
        <v/>
      </c>
      <c r="O463" s="19">
        <f>IF(OR(G463="",G462=""),"",G463/G462-1)</f>
        <v/>
      </c>
      <c r="P463" s="22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IF(R463="","",P463/R463)</f>
        <v/>
      </c>
      <c r="T463" s="23">
        <f>IF(R463="","",Q463/R463)</f>
        <v/>
      </c>
      <c r="U463" s="24">
        <f>IF(SUMIFS('Daily NSE Equity Options'!$M:$M,'Daily NSE Equity Options'!$A:$A,$A463)=0,"",SUMIFS('Daily NSE Equity Options'!$M:$M,'Daily NSE Equity Options'!$A:$A,$A463))</f>
        <v/>
      </c>
      <c r="V463" s="9">
        <f>IF(SUMIFS('Daily BSE Equity Options'!$M:$M,'Daily BSE Equity Options'!$A:$A,$A463)=0,"",SUMIFS('Daily BSE Equity Options'!$M:$M,'Daily BSE Equity Options'!$A:$A,$A463))</f>
        <v/>
      </c>
      <c r="W463" s="9">
        <f>IF(OR(U463="",V463=""),"",U463+V463)</f>
        <v/>
      </c>
      <c r="X463" s="25">
        <f>IF(W463="","",U463/W463)</f>
        <v/>
      </c>
      <c r="Y463" s="25">
        <f>IF(W463="","",V463/W463)</f>
        <v/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19">
        <f>IF(G464="","",E464/G464)</f>
        <v/>
      </c>
      <c r="I464" s="19">
        <f>IF(G464="","",F464/G464)</f>
        <v/>
      </c>
      <c r="J464" s="26">
        <f>IFERROR(IF(OR(E464="",INDEX(E:E,MATCH(DATE(YEAR($A464)-1,MONTH($A464),DAY($A464)),$A:$A,0))=""),"",E464/INDEX(E:E,MATCH(DATE(YEAR($A464)-1,MONTH($A464),DAY($A464)),$A:$A,0))-1),"")</f>
        <v/>
      </c>
      <c r="K464" s="19">
        <f>IFERROR(IF(OR(F464="",INDEX(F:F,MATCH(DATE(YEAR($A464)-1,MONTH($A464),DAY($A464)),$A:$A,0))=""),"",F464/INDEX(F:F,MATCH(DATE(YEAR($A464)-1,MONTH($A464),DAY($A464)),$A:$A,0))-1),"")</f>
        <v/>
      </c>
      <c r="L464" s="19">
        <f>IFERROR(IF(OR(G464="",INDEX(G:G,MATCH(DATE(YEAR($A464)-1,MONTH($A464),DAY($A464)),$A:$A,0))=""),"",G464/INDEX(G:G,MATCH(DATE(YEAR($A464)-1,MONTH($A464),DAY($A464)),$A:$A,0))-1),"")</f>
        <v/>
      </c>
      <c r="M464" s="19">
        <f>IF(OR(E464="",E463=""),"",E464/E463-1)</f>
        <v/>
      </c>
      <c r="N464" s="19">
        <f>IF(OR(F464="",F463=""),"",F464/F463-1)</f>
        <v/>
      </c>
      <c r="O464" s="19">
        <f>IF(OR(G464="",G463=""),"",G464/G463-1)</f>
        <v/>
      </c>
      <c r="P464" s="22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IF(R464="","",P464/R464)</f>
        <v/>
      </c>
      <c r="T464" s="23">
        <f>IF(R464="","",Q464/R464)</f>
        <v/>
      </c>
      <c r="U464" s="24">
        <f>IF(SUMIFS('Daily NSE Equity Options'!$M:$M,'Daily NSE Equity Options'!$A:$A,$A464)=0,"",SUMIFS('Daily NSE Equity Options'!$M:$M,'Daily NSE Equity Options'!$A:$A,$A464))</f>
        <v/>
      </c>
      <c r="V464" s="9">
        <f>IF(SUMIFS('Daily BSE Equity Options'!$M:$M,'Daily BSE Equity Options'!$A:$A,$A464)=0,"",SUMIFS('Daily BSE Equity Options'!$M:$M,'Daily BSE Equity Options'!$A:$A,$A464))</f>
        <v/>
      </c>
      <c r="W464" s="9">
        <f>IF(OR(U464="",V464=""),"",U464+V464)</f>
        <v/>
      </c>
      <c r="X464" s="25">
        <f>IF(W464="","",U464/W464)</f>
        <v/>
      </c>
      <c r="Y464" s="25">
        <f>IF(W464="","",V464/W464)</f>
        <v/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19">
        <f>IF(G465="","",E465/G465)</f>
        <v/>
      </c>
      <c r="I465" s="19">
        <f>IF(G465="","",F465/G465)</f>
        <v/>
      </c>
      <c r="J465" s="26">
        <f>IFERROR(IF(OR(E465="",INDEX(E:E,MATCH(DATE(YEAR($A465)-1,MONTH($A465),DAY($A465)),$A:$A,0))=""),"",E465/INDEX(E:E,MATCH(DATE(YEAR($A465)-1,MONTH($A465),DAY($A465)),$A:$A,0))-1),"")</f>
        <v/>
      </c>
      <c r="K465" s="19">
        <f>IFERROR(IF(OR(F465="",INDEX(F:F,MATCH(DATE(YEAR($A465)-1,MONTH($A465),DAY($A465)),$A:$A,0))=""),"",F465/INDEX(F:F,MATCH(DATE(YEAR($A465)-1,MONTH($A465),DAY($A465)),$A:$A,0))-1),"")</f>
        <v/>
      </c>
      <c r="L465" s="19">
        <f>IFERROR(IF(OR(G465="",INDEX(G:G,MATCH(DATE(YEAR($A465)-1,MONTH($A465),DAY($A465)),$A:$A,0))=""),"",G465/INDEX(G:G,MATCH(DATE(YEAR($A465)-1,MONTH($A465),DAY($A465)),$A:$A,0))-1),"")</f>
        <v/>
      </c>
      <c r="M465" s="19">
        <f>IF(OR(E465="",E464=""),"",E465/E464-1)</f>
        <v/>
      </c>
      <c r="N465" s="19">
        <f>IF(OR(F465="",F464=""),"",F465/F464-1)</f>
        <v/>
      </c>
      <c r="O465" s="19">
        <f>IF(OR(G465="",G464=""),"",G465/G464-1)</f>
        <v/>
      </c>
      <c r="P465" s="22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IF(R465="","",P465/R465)</f>
        <v/>
      </c>
      <c r="T465" s="23">
        <f>IF(R465="","",Q465/R465)</f>
        <v/>
      </c>
      <c r="U465" s="24">
        <f>IF(SUMIFS('Daily NSE Equity Options'!$M:$M,'Daily NSE Equity Options'!$A:$A,$A465)=0,"",SUMIFS('Daily NSE Equity Options'!$M:$M,'Daily NSE Equity Options'!$A:$A,$A465))</f>
        <v/>
      </c>
      <c r="V465" s="9">
        <f>IF(SUMIFS('Daily BSE Equity Options'!$M:$M,'Daily BSE Equity Options'!$A:$A,$A465)=0,"",SUMIFS('Daily BSE Equity Options'!$M:$M,'Daily BSE Equity Options'!$A:$A,$A465))</f>
        <v/>
      </c>
      <c r="W465" s="9">
        <f>IF(OR(U465="",V465=""),"",U465+V465)</f>
        <v/>
      </c>
      <c r="X465" s="25">
        <f>IF(W465="","",U465/W465)</f>
        <v/>
      </c>
      <c r="Y465" s="25">
        <f>IF(W465="","",V465/W465)</f>
        <v/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19">
        <f>IF(G466="","",E466/G466)</f>
        <v/>
      </c>
      <c r="I466" s="19">
        <f>IF(G466="","",F466/G466)</f>
        <v/>
      </c>
      <c r="J466" s="26">
        <f>IFERROR(IF(OR(E466="",INDEX(E:E,MATCH(DATE(YEAR($A466)-1,MONTH($A466),DAY($A466)),$A:$A,0))=""),"",E466/INDEX(E:E,MATCH(DATE(YEAR($A466)-1,MONTH($A466),DAY($A466)),$A:$A,0))-1),"")</f>
        <v/>
      </c>
      <c r="K466" s="19">
        <f>IFERROR(IF(OR(F466="",INDEX(F:F,MATCH(DATE(YEAR($A466)-1,MONTH($A466),DAY($A466)),$A:$A,0))=""),"",F466/INDEX(F:F,MATCH(DATE(YEAR($A466)-1,MONTH($A466),DAY($A466)),$A:$A,0))-1),"")</f>
        <v/>
      </c>
      <c r="L466" s="19">
        <f>IFERROR(IF(OR(G466="",INDEX(G:G,MATCH(DATE(YEAR($A466)-1,MONTH($A466),DAY($A466)),$A:$A,0))=""),"",G466/INDEX(G:G,MATCH(DATE(YEAR($A466)-1,MONTH($A466),DAY($A466)),$A:$A,0))-1),"")</f>
        <v/>
      </c>
      <c r="M466" s="19">
        <f>IF(OR(E466="",E465=""),"",E466/E465-1)</f>
        <v/>
      </c>
      <c r="N466" s="19">
        <f>IF(OR(F466="",F465=""),"",F466/F465-1)</f>
        <v/>
      </c>
      <c r="O466" s="19">
        <f>IF(OR(G466="",G465=""),"",G466/G465-1)</f>
        <v/>
      </c>
      <c r="P466" s="22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IF(R466="","",P466/R466)</f>
        <v/>
      </c>
      <c r="T466" s="23">
        <f>IF(R466="","",Q466/R466)</f>
        <v/>
      </c>
      <c r="U466" s="24">
        <f>IF(SUMIFS('Daily NSE Equity Options'!$M:$M,'Daily NSE Equity Options'!$A:$A,$A466)=0,"",SUMIFS('Daily NSE Equity Options'!$M:$M,'Daily NSE Equity Options'!$A:$A,$A466))</f>
        <v/>
      </c>
      <c r="V466" s="9">
        <f>IF(SUMIFS('Daily BSE Equity Options'!$M:$M,'Daily BSE Equity Options'!$A:$A,$A466)=0,"",SUMIFS('Daily BSE Equity Options'!$M:$M,'Daily BSE Equity Options'!$A:$A,$A466))</f>
        <v/>
      </c>
      <c r="W466" s="9">
        <f>IF(OR(U466="",V466=""),"",U466+V466)</f>
        <v/>
      </c>
      <c r="X466" s="25">
        <f>IF(W466="","",U466/W466)</f>
        <v/>
      </c>
      <c r="Y466" s="25">
        <f>IF(W466="","",V466/W466)</f>
        <v/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19">
        <f>IF(G467="","",E467/G467)</f>
        <v/>
      </c>
      <c r="I467" s="19">
        <f>IF(G467="","",F467/G467)</f>
        <v/>
      </c>
      <c r="J467" s="26">
        <f>IFERROR(IF(OR(E467="",INDEX(E:E,MATCH(DATE(YEAR($A467)-1,MONTH($A467),DAY($A467)),$A:$A,0))=""),"",E467/INDEX(E:E,MATCH(DATE(YEAR($A467)-1,MONTH($A467),DAY($A467)),$A:$A,0))-1),"")</f>
        <v/>
      </c>
      <c r="K467" s="19">
        <f>IFERROR(IF(OR(F467="",INDEX(F:F,MATCH(DATE(YEAR($A467)-1,MONTH($A467),DAY($A467)),$A:$A,0))=""),"",F467/INDEX(F:F,MATCH(DATE(YEAR($A467)-1,MONTH($A467),DAY($A467)),$A:$A,0))-1),"")</f>
        <v/>
      </c>
      <c r="L467" s="19">
        <f>IFERROR(IF(OR(G467="",INDEX(G:G,MATCH(DATE(YEAR($A467)-1,MONTH($A467),DAY($A467)),$A:$A,0))=""),"",G467/INDEX(G:G,MATCH(DATE(YEAR($A467)-1,MONTH($A467),DAY($A467)),$A:$A,0))-1),"")</f>
        <v/>
      </c>
      <c r="M467" s="19">
        <f>IF(OR(E467="",E466=""),"",E467/E466-1)</f>
        <v/>
      </c>
      <c r="N467" s="19">
        <f>IF(OR(F467="",F466=""),"",F467/F466-1)</f>
        <v/>
      </c>
      <c r="O467" s="19">
        <f>IF(OR(G467="",G466=""),"",G467/G466-1)</f>
        <v/>
      </c>
      <c r="P467" s="22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IF(R467="","",P467/R467)</f>
        <v/>
      </c>
      <c r="T467" s="23">
        <f>IF(R467="","",Q467/R467)</f>
        <v/>
      </c>
      <c r="U467" s="24">
        <f>IF(SUMIFS('Daily NSE Equity Options'!$M:$M,'Daily NSE Equity Options'!$A:$A,$A467)=0,"",SUMIFS('Daily NSE Equity Options'!$M:$M,'Daily NSE Equity Options'!$A:$A,$A467))</f>
        <v/>
      </c>
      <c r="V467" s="9">
        <f>IF(SUMIFS('Daily BSE Equity Options'!$M:$M,'Daily BSE Equity Options'!$A:$A,$A467)=0,"",SUMIFS('Daily BSE Equity Options'!$M:$M,'Daily BSE Equity Options'!$A:$A,$A467))</f>
        <v/>
      </c>
      <c r="W467" s="9">
        <f>IF(OR(U467="",V467=""),"",U467+V467)</f>
        <v/>
      </c>
      <c r="X467" s="25">
        <f>IF(W467="","",U467/W467)</f>
        <v/>
      </c>
      <c r="Y467" s="25">
        <f>IF(W467="","",V467/W467)</f>
        <v/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19">
        <f>IF(G468="","",E468/G468)</f>
        <v/>
      </c>
      <c r="I468" s="19">
        <f>IF(G468="","",F468/G468)</f>
        <v/>
      </c>
      <c r="J468" s="26">
        <f>IFERROR(IF(OR(E468="",INDEX(E:E,MATCH(DATE(YEAR($A468)-1,MONTH($A468),DAY($A468)),$A:$A,0))=""),"",E468/INDEX(E:E,MATCH(DATE(YEAR($A468)-1,MONTH($A468),DAY($A468)),$A:$A,0))-1),"")</f>
        <v/>
      </c>
      <c r="K468" s="19">
        <f>IFERROR(IF(OR(F468="",INDEX(F:F,MATCH(DATE(YEAR($A468)-1,MONTH($A468),DAY($A468)),$A:$A,0))=""),"",F468/INDEX(F:F,MATCH(DATE(YEAR($A468)-1,MONTH($A468),DAY($A468)),$A:$A,0))-1),"")</f>
        <v/>
      </c>
      <c r="L468" s="19">
        <f>IFERROR(IF(OR(G468="",INDEX(G:G,MATCH(DATE(YEAR($A468)-1,MONTH($A468),DAY($A468)),$A:$A,0))=""),"",G468/INDEX(G:G,MATCH(DATE(YEAR($A468)-1,MONTH($A468),DAY($A468)),$A:$A,0))-1),"")</f>
        <v/>
      </c>
      <c r="M468" s="19">
        <f>IF(OR(E468="",E467=""),"",E468/E467-1)</f>
        <v/>
      </c>
      <c r="N468" s="19">
        <f>IF(OR(F468="",F467=""),"",F468/F467-1)</f>
        <v/>
      </c>
      <c r="O468" s="19">
        <f>IF(OR(G468="",G467=""),"",G468/G467-1)</f>
        <v/>
      </c>
      <c r="P468" s="22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IF(R468="","",P468/R468)</f>
        <v/>
      </c>
      <c r="T468" s="23">
        <f>IF(R468="","",Q468/R468)</f>
        <v/>
      </c>
      <c r="U468" s="24">
        <f>IF(SUMIFS('Daily NSE Equity Options'!$M:$M,'Daily NSE Equity Options'!$A:$A,$A468)=0,"",SUMIFS('Daily NSE Equity Options'!$M:$M,'Daily NSE Equity Options'!$A:$A,$A468))</f>
        <v/>
      </c>
      <c r="V468" s="9">
        <f>IF(SUMIFS('Daily BSE Equity Options'!$M:$M,'Daily BSE Equity Options'!$A:$A,$A468)=0,"",SUMIFS('Daily BSE Equity Options'!$M:$M,'Daily BSE Equity Options'!$A:$A,$A468))</f>
        <v/>
      </c>
      <c r="W468" s="9">
        <f>IF(OR(U468="",V468=""),"",U468+V468)</f>
        <v/>
      </c>
      <c r="X468" s="25">
        <f>IF(W468="","",U468/W468)</f>
        <v/>
      </c>
      <c r="Y468" s="25">
        <f>IF(W468="","",V468/W468)</f>
        <v/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19">
        <f>IF(G469="","",E469/G469)</f>
        <v/>
      </c>
      <c r="I469" s="19">
        <f>IF(G469="","",F469/G469)</f>
        <v/>
      </c>
      <c r="J469" s="26">
        <f>IFERROR(IF(OR(E469="",INDEX(E:E,MATCH(DATE(YEAR($A469)-1,MONTH($A469),DAY($A469)),$A:$A,0))=""),"",E469/INDEX(E:E,MATCH(DATE(YEAR($A469)-1,MONTH($A469),DAY($A469)),$A:$A,0))-1),"")</f>
        <v/>
      </c>
      <c r="K469" s="19">
        <f>IFERROR(IF(OR(F469="",INDEX(F:F,MATCH(DATE(YEAR($A469)-1,MONTH($A469),DAY($A469)),$A:$A,0))=""),"",F469/INDEX(F:F,MATCH(DATE(YEAR($A469)-1,MONTH($A469),DAY($A469)),$A:$A,0))-1),"")</f>
        <v/>
      </c>
      <c r="L469" s="19">
        <f>IFERROR(IF(OR(G469="",INDEX(G:G,MATCH(DATE(YEAR($A469)-1,MONTH($A469),DAY($A469)),$A:$A,0))=""),"",G469/INDEX(G:G,MATCH(DATE(YEAR($A469)-1,MONTH($A469),DAY($A469)),$A:$A,0))-1),"")</f>
        <v/>
      </c>
      <c r="M469" s="19">
        <f>IF(OR(E469="",E468=""),"",E469/E468-1)</f>
        <v/>
      </c>
      <c r="N469" s="19">
        <f>IF(OR(F469="",F468=""),"",F469/F468-1)</f>
        <v/>
      </c>
      <c r="O469" s="19">
        <f>IF(OR(G469="",G468=""),"",G469/G468-1)</f>
        <v/>
      </c>
      <c r="P469" s="22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IF(R469="","",P469/R469)</f>
        <v/>
      </c>
      <c r="T469" s="23">
        <f>IF(R469="","",Q469/R469)</f>
        <v/>
      </c>
      <c r="U469" s="24">
        <f>IF(SUMIFS('Daily NSE Equity Options'!$M:$M,'Daily NSE Equity Options'!$A:$A,$A469)=0,"",SUMIFS('Daily NSE Equity Options'!$M:$M,'Daily NSE Equity Options'!$A:$A,$A469))</f>
        <v/>
      </c>
      <c r="V469" s="9">
        <f>IF(SUMIFS('Daily BSE Equity Options'!$M:$M,'Daily BSE Equity Options'!$A:$A,$A469)=0,"",SUMIFS('Daily BSE Equity Options'!$M:$M,'Daily BSE Equity Options'!$A:$A,$A469))</f>
        <v/>
      </c>
      <c r="W469" s="9">
        <f>IF(OR(U469="",V469=""),"",U469+V469)</f>
        <v/>
      </c>
      <c r="X469" s="25">
        <f>IF(W469="","",U469/W469)</f>
        <v/>
      </c>
      <c r="Y469" s="25">
        <f>IF(W469="","",V469/W469)</f>
        <v/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19">
        <f>IF(G470="","",E470/G470)</f>
        <v/>
      </c>
      <c r="I470" s="19">
        <f>IF(G470="","",F470/G470)</f>
        <v/>
      </c>
      <c r="J470" s="26">
        <f>IFERROR(IF(OR(E470="",INDEX(E:E,MATCH(DATE(YEAR($A470)-1,MONTH($A470),DAY($A470)),$A:$A,0))=""),"",E470/INDEX(E:E,MATCH(DATE(YEAR($A470)-1,MONTH($A470),DAY($A470)),$A:$A,0))-1),"")</f>
        <v/>
      </c>
      <c r="K470" s="19">
        <f>IFERROR(IF(OR(F470="",INDEX(F:F,MATCH(DATE(YEAR($A470)-1,MONTH($A470),DAY($A470)),$A:$A,0))=""),"",F470/INDEX(F:F,MATCH(DATE(YEAR($A470)-1,MONTH($A470),DAY($A470)),$A:$A,0))-1),"")</f>
        <v/>
      </c>
      <c r="L470" s="19">
        <f>IFERROR(IF(OR(G470="",INDEX(G:G,MATCH(DATE(YEAR($A470)-1,MONTH($A470),DAY($A470)),$A:$A,0))=""),"",G470/INDEX(G:G,MATCH(DATE(YEAR($A470)-1,MONTH($A470),DAY($A470)),$A:$A,0))-1),"")</f>
        <v/>
      </c>
      <c r="M470" s="19">
        <f>IF(OR(E470="",E469=""),"",E470/E469-1)</f>
        <v/>
      </c>
      <c r="N470" s="19">
        <f>IF(OR(F470="",F469=""),"",F470/F469-1)</f>
        <v/>
      </c>
      <c r="O470" s="19">
        <f>IF(OR(G470="",G469=""),"",G470/G469-1)</f>
        <v/>
      </c>
      <c r="P470" s="22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IF(R470="","",P470/R470)</f>
        <v/>
      </c>
      <c r="T470" s="23">
        <f>IF(R470="","",Q470/R470)</f>
        <v/>
      </c>
      <c r="U470" s="24">
        <f>IF(SUMIFS('Daily NSE Equity Options'!$M:$M,'Daily NSE Equity Options'!$A:$A,$A470)=0,"",SUMIFS('Daily NSE Equity Options'!$M:$M,'Daily NSE Equity Options'!$A:$A,$A470))</f>
        <v/>
      </c>
      <c r="V470" s="9">
        <f>IF(SUMIFS('Daily BSE Equity Options'!$M:$M,'Daily BSE Equity Options'!$A:$A,$A470)=0,"",SUMIFS('Daily BSE Equity Options'!$M:$M,'Daily BSE Equity Options'!$A:$A,$A470))</f>
        <v/>
      </c>
      <c r="W470" s="9">
        <f>IF(OR(U470="",V470=""),"",U470+V470)</f>
        <v/>
      </c>
      <c r="X470" s="25">
        <f>IF(W470="","",U470/W470)</f>
        <v/>
      </c>
      <c r="Y470" s="25">
        <f>IF(W470="","",V470/W470)</f>
        <v/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19">
        <f>IF(G471="","",E471/G471)</f>
        <v/>
      </c>
      <c r="I471" s="19">
        <f>IF(G471="","",F471/G471)</f>
        <v/>
      </c>
      <c r="J471" s="26">
        <f>IFERROR(IF(OR(E471="",INDEX(E:E,MATCH(DATE(YEAR($A471)-1,MONTH($A471),DAY($A471)),$A:$A,0))=""),"",E471/INDEX(E:E,MATCH(DATE(YEAR($A471)-1,MONTH($A471),DAY($A471)),$A:$A,0))-1),"")</f>
        <v/>
      </c>
      <c r="K471" s="19">
        <f>IFERROR(IF(OR(F471="",INDEX(F:F,MATCH(DATE(YEAR($A471)-1,MONTH($A471),DAY($A471)),$A:$A,0))=""),"",F471/INDEX(F:F,MATCH(DATE(YEAR($A471)-1,MONTH($A471),DAY($A471)),$A:$A,0))-1),"")</f>
        <v/>
      </c>
      <c r="L471" s="19">
        <f>IFERROR(IF(OR(G471="",INDEX(G:G,MATCH(DATE(YEAR($A471)-1,MONTH($A471),DAY($A471)),$A:$A,0))=""),"",G471/INDEX(G:G,MATCH(DATE(YEAR($A471)-1,MONTH($A471),DAY($A471)),$A:$A,0))-1),"")</f>
        <v/>
      </c>
      <c r="M471" s="19">
        <f>IF(OR(E471="",E470=""),"",E471/E470-1)</f>
        <v/>
      </c>
      <c r="N471" s="19">
        <f>IF(OR(F471="",F470=""),"",F471/F470-1)</f>
        <v/>
      </c>
      <c r="O471" s="19">
        <f>IF(OR(G471="",G470=""),"",G471/G470-1)</f>
        <v/>
      </c>
      <c r="P471" s="22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IF(R471="","",P471/R471)</f>
        <v/>
      </c>
      <c r="T471" s="23">
        <f>IF(R471="","",Q471/R471)</f>
        <v/>
      </c>
      <c r="U471" s="24">
        <f>IF(SUMIFS('Daily NSE Equity Options'!$M:$M,'Daily NSE Equity Options'!$A:$A,$A471)=0,"",SUMIFS('Daily NSE Equity Options'!$M:$M,'Daily NSE Equity Options'!$A:$A,$A471))</f>
        <v/>
      </c>
      <c r="V471" s="9">
        <f>IF(SUMIFS('Daily BSE Equity Options'!$M:$M,'Daily BSE Equity Options'!$A:$A,$A471)=0,"",SUMIFS('Daily BSE Equity Options'!$M:$M,'Daily BSE Equity Options'!$A:$A,$A471))</f>
        <v/>
      </c>
      <c r="W471" s="9">
        <f>IF(OR(U471="",V471=""),"",U471+V471)</f>
        <v/>
      </c>
      <c r="X471" s="25">
        <f>IF(W471="","",U471/W471)</f>
        <v/>
      </c>
      <c r="Y471" s="25">
        <f>IF(W471="","",V471/W471)</f>
        <v/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19">
        <f>IF(G472="","",E472/G472)</f>
        <v/>
      </c>
      <c r="I472" s="19">
        <f>IF(G472="","",F472/G472)</f>
        <v/>
      </c>
      <c r="J472" s="26">
        <f>IFERROR(IF(OR(E472="",INDEX(E:E,MATCH(DATE(YEAR($A472)-1,MONTH($A472),DAY($A472)),$A:$A,0))=""),"",E472/INDEX(E:E,MATCH(DATE(YEAR($A472)-1,MONTH($A472),DAY($A472)),$A:$A,0))-1),"")</f>
        <v/>
      </c>
      <c r="K472" s="19">
        <f>IFERROR(IF(OR(F472="",INDEX(F:F,MATCH(DATE(YEAR($A472)-1,MONTH($A472),DAY($A472)),$A:$A,0))=""),"",F472/INDEX(F:F,MATCH(DATE(YEAR($A472)-1,MONTH($A472),DAY($A472)),$A:$A,0))-1),"")</f>
        <v/>
      </c>
      <c r="L472" s="19">
        <f>IFERROR(IF(OR(G472="",INDEX(G:G,MATCH(DATE(YEAR($A472)-1,MONTH($A472),DAY($A472)),$A:$A,0))=""),"",G472/INDEX(G:G,MATCH(DATE(YEAR($A472)-1,MONTH($A472),DAY($A472)),$A:$A,0))-1),"")</f>
        <v/>
      </c>
      <c r="M472" s="19">
        <f>IF(OR(E472="",E471=""),"",E472/E471-1)</f>
        <v/>
      </c>
      <c r="N472" s="19">
        <f>IF(OR(F472="",F471=""),"",F472/F471-1)</f>
        <v/>
      </c>
      <c r="O472" s="19">
        <f>IF(OR(G472="",G471=""),"",G472/G471-1)</f>
        <v/>
      </c>
      <c r="P472" s="22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IF(R472="","",P472/R472)</f>
        <v/>
      </c>
      <c r="T472" s="23">
        <f>IF(R472="","",Q472/R472)</f>
        <v/>
      </c>
      <c r="U472" s="24">
        <f>IF(SUMIFS('Daily NSE Equity Options'!$M:$M,'Daily NSE Equity Options'!$A:$A,$A472)=0,"",SUMIFS('Daily NSE Equity Options'!$M:$M,'Daily NSE Equity Options'!$A:$A,$A472))</f>
        <v/>
      </c>
      <c r="V472" s="9">
        <f>IF(SUMIFS('Daily BSE Equity Options'!$M:$M,'Daily BSE Equity Options'!$A:$A,$A472)=0,"",SUMIFS('Daily BSE Equity Options'!$M:$M,'Daily BSE Equity Options'!$A:$A,$A472))</f>
        <v/>
      </c>
      <c r="W472" s="9">
        <f>IF(OR(U472="",V472=""),"",U472+V472)</f>
        <v/>
      </c>
      <c r="X472" s="25">
        <f>IF(W472="","",U472/W472)</f>
        <v/>
      </c>
      <c r="Y472" s="25">
        <f>IF(W472="","",V472/W472)</f>
        <v/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19">
        <f>IF(G473="","",E473/G473)</f>
        <v/>
      </c>
      <c r="I473" s="19">
        <f>IF(G473="","",F473/G473)</f>
        <v/>
      </c>
      <c r="J473" s="26">
        <f>IFERROR(IF(OR(E473="",INDEX(E:E,MATCH(DATE(YEAR($A473)-1,MONTH($A473),DAY($A473)),$A:$A,0))=""),"",E473/INDEX(E:E,MATCH(DATE(YEAR($A473)-1,MONTH($A473),DAY($A473)),$A:$A,0))-1),"")</f>
        <v/>
      </c>
      <c r="K473" s="19">
        <f>IFERROR(IF(OR(F473="",INDEX(F:F,MATCH(DATE(YEAR($A473)-1,MONTH($A473),DAY($A473)),$A:$A,0))=""),"",F473/INDEX(F:F,MATCH(DATE(YEAR($A473)-1,MONTH($A473),DAY($A473)),$A:$A,0))-1),"")</f>
        <v/>
      </c>
      <c r="L473" s="19">
        <f>IFERROR(IF(OR(G473="",INDEX(G:G,MATCH(DATE(YEAR($A473)-1,MONTH($A473),DAY($A473)),$A:$A,0))=""),"",G473/INDEX(G:G,MATCH(DATE(YEAR($A473)-1,MONTH($A473),DAY($A473)),$A:$A,0))-1),"")</f>
        <v/>
      </c>
      <c r="M473" s="19">
        <f>IF(OR(E473="",E472=""),"",E473/E472-1)</f>
        <v/>
      </c>
      <c r="N473" s="19">
        <f>IF(OR(F473="",F472=""),"",F473/F472-1)</f>
        <v/>
      </c>
      <c r="O473" s="19">
        <f>IF(OR(G473="",G472=""),"",G473/G472-1)</f>
        <v/>
      </c>
      <c r="P473" s="22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IF(R473="","",P473/R473)</f>
        <v/>
      </c>
      <c r="T473" s="23">
        <f>IF(R473="","",Q473/R473)</f>
        <v/>
      </c>
      <c r="U473" s="24">
        <f>IF(SUMIFS('Daily NSE Equity Options'!$M:$M,'Daily NSE Equity Options'!$A:$A,$A473)=0,"",SUMIFS('Daily NSE Equity Options'!$M:$M,'Daily NSE Equity Options'!$A:$A,$A473))</f>
        <v/>
      </c>
      <c r="V473" s="9">
        <f>IF(SUMIFS('Daily BSE Equity Options'!$M:$M,'Daily BSE Equity Options'!$A:$A,$A473)=0,"",SUMIFS('Daily BSE Equity Options'!$M:$M,'Daily BSE Equity Options'!$A:$A,$A473))</f>
        <v/>
      </c>
      <c r="W473" s="9">
        <f>IF(OR(U473="",V473=""),"",U473+V473)</f>
        <v/>
      </c>
      <c r="X473" s="25">
        <f>IF(W473="","",U473/W473)</f>
        <v/>
      </c>
      <c r="Y473" s="25">
        <f>IF(W473="","",V473/W473)</f>
        <v/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19">
        <f>IF(G474="","",E474/G474)</f>
        <v/>
      </c>
      <c r="I474" s="19">
        <f>IF(G474="","",F474/G474)</f>
        <v/>
      </c>
      <c r="J474" s="26">
        <f>IFERROR(IF(OR(E474="",INDEX(E:E,MATCH(DATE(YEAR($A474)-1,MONTH($A474),DAY($A474)),$A:$A,0))=""),"",E474/INDEX(E:E,MATCH(DATE(YEAR($A474)-1,MONTH($A474),DAY($A474)),$A:$A,0))-1),"")</f>
        <v/>
      </c>
      <c r="K474" s="19">
        <f>IFERROR(IF(OR(F474="",INDEX(F:F,MATCH(DATE(YEAR($A474)-1,MONTH($A474),DAY($A474)),$A:$A,0))=""),"",F474/INDEX(F:F,MATCH(DATE(YEAR($A474)-1,MONTH($A474),DAY($A474)),$A:$A,0))-1),"")</f>
        <v/>
      </c>
      <c r="L474" s="19">
        <f>IFERROR(IF(OR(G474="",INDEX(G:G,MATCH(DATE(YEAR($A474)-1,MONTH($A474),DAY($A474)),$A:$A,0))=""),"",G474/INDEX(G:G,MATCH(DATE(YEAR($A474)-1,MONTH($A474),DAY($A474)),$A:$A,0))-1),"")</f>
        <v/>
      </c>
      <c r="M474" s="19">
        <f>IF(OR(E474="",E473=""),"",E474/E473-1)</f>
        <v/>
      </c>
      <c r="N474" s="19">
        <f>IF(OR(F474="",F473=""),"",F474/F473-1)</f>
        <v/>
      </c>
      <c r="O474" s="19">
        <f>IF(OR(G474="",G473=""),"",G474/G473-1)</f>
        <v/>
      </c>
      <c r="P474" s="22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IF(R474="","",P474/R474)</f>
        <v/>
      </c>
      <c r="T474" s="23">
        <f>IF(R474="","",Q474/R474)</f>
        <v/>
      </c>
      <c r="U474" s="24">
        <f>IF(SUMIFS('Daily NSE Equity Options'!$M:$M,'Daily NSE Equity Options'!$A:$A,$A474)=0,"",SUMIFS('Daily NSE Equity Options'!$M:$M,'Daily NSE Equity Options'!$A:$A,$A474))</f>
        <v/>
      </c>
      <c r="V474" s="9">
        <f>IF(SUMIFS('Daily BSE Equity Options'!$M:$M,'Daily BSE Equity Options'!$A:$A,$A474)=0,"",SUMIFS('Daily BSE Equity Options'!$M:$M,'Daily BSE Equity Options'!$A:$A,$A474))</f>
        <v/>
      </c>
      <c r="W474" s="9">
        <f>IF(OR(U474="",V474=""),"",U474+V474)</f>
        <v/>
      </c>
      <c r="X474" s="25">
        <f>IF(W474="","",U474/W474)</f>
        <v/>
      </c>
      <c r="Y474" s="25">
        <f>IF(W474="","",V474/W474)</f>
        <v/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19">
        <f>IF(G475="","",E475/G475)</f>
        <v/>
      </c>
      <c r="I475" s="19">
        <f>IF(G475="","",F475/G475)</f>
        <v/>
      </c>
      <c r="J475" s="26">
        <f>IFERROR(IF(OR(E475="",INDEX(E:E,MATCH(DATE(YEAR($A475)-1,MONTH($A475),DAY($A475)),$A:$A,0))=""),"",E475/INDEX(E:E,MATCH(DATE(YEAR($A475)-1,MONTH($A475),DAY($A475)),$A:$A,0))-1),"")</f>
        <v/>
      </c>
      <c r="K475" s="19">
        <f>IFERROR(IF(OR(F475="",INDEX(F:F,MATCH(DATE(YEAR($A475)-1,MONTH($A475),DAY($A475)),$A:$A,0))=""),"",F475/INDEX(F:F,MATCH(DATE(YEAR($A475)-1,MONTH($A475),DAY($A475)),$A:$A,0))-1),"")</f>
        <v/>
      </c>
      <c r="L475" s="19">
        <f>IFERROR(IF(OR(G475="",INDEX(G:G,MATCH(DATE(YEAR($A475)-1,MONTH($A475),DAY($A475)),$A:$A,0))=""),"",G475/INDEX(G:G,MATCH(DATE(YEAR($A475)-1,MONTH($A475),DAY($A475)),$A:$A,0))-1),"")</f>
        <v/>
      </c>
      <c r="M475" s="19">
        <f>IF(OR(E475="",E474=""),"",E475/E474-1)</f>
        <v/>
      </c>
      <c r="N475" s="19">
        <f>IF(OR(F475="",F474=""),"",F475/F474-1)</f>
        <v/>
      </c>
      <c r="O475" s="19">
        <f>IF(OR(G475="",G474=""),"",G475/G474-1)</f>
        <v/>
      </c>
      <c r="P475" s="22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IF(R475="","",P475/R475)</f>
        <v/>
      </c>
      <c r="T475" s="23">
        <f>IF(R475="","",Q475/R475)</f>
        <v/>
      </c>
      <c r="U475" s="24">
        <f>IF(SUMIFS('Daily NSE Equity Options'!$M:$M,'Daily NSE Equity Options'!$A:$A,$A475)=0,"",SUMIFS('Daily NSE Equity Options'!$M:$M,'Daily NSE Equity Options'!$A:$A,$A475))</f>
        <v/>
      </c>
      <c r="V475" s="9">
        <f>IF(SUMIFS('Daily BSE Equity Options'!$M:$M,'Daily BSE Equity Options'!$A:$A,$A475)=0,"",SUMIFS('Daily BSE Equity Options'!$M:$M,'Daily BSE Equity Options'!$A:$A,$A475))</f>
        <v/>
      </c>
      <c r="W475" s="9">
        <f>IF(OR(U475="",V475=""),"",U475+V475)</f>
        <v/>
      </c>
      <c r="X475" s="25">
        <f>IF(W475="","",U475/W475)</f>
        <v/>
      </c>
      <c r="Y475" s="25">
        <f>IF(W475="","",V475/W475)</f>
        <v/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19">
        <f>IF(G476="","",E476/G476)</f>
        <v/>
      </c>
      <c r="I476" s="19">
        <f>IF(G476="","",F476/G476)</f>
        <v/>
      </c>
      <c r="J476" s="26">
        <f>IFERROR(IF(OR(E476="",INDEX(E:E,MATCH(DATE(YEAR($A476)-1,MONTH($A476),DAY($A476)),$A:$A,0))=""),"",E476/INDEX(E:E,MATCH(DATE(YEAR($A476)-1,MONTH($A476),DAY($A476)),$A:$A,0))-1),"")</f>
        <v/>
      </c>
      <c r="K476" s="19">
        <f>IFERROR(IF(OR(F476="",INDEX(F:F,MATCH(DATE(YEAR($A476)-1,MONTH($A476),DAY($A476)),$A:$A,0))=""),"",F476/INDEX(F:F,MATCH(DATE(YEAR($A476)-1,MONTH($A476),DAY($A476)),$A:$A,0))-1),"")</f>
        <v/>
      </c>
      <c r="L476" s="19">
        <f>IFERROR(IF(OR(G476="",INDEX(G:G,MATCH(DATE(YEAR($A476)-1,MONTH($A476),DAY($A476)),$A:$A,0))=""),"",G476/INDEX(G:G,MATCH(DATE(YEAR($A476)-1,MONTH($A476),DAY($A476)),$A:$A,0))-1),"")</f>
        <v/>
      </c>
      <c r="M476" s="19">
        <f>IF(OR(E476="",E475=""),"",E476/E475-1)</f>
        <v/>
      </c>
      <c r="N476" s="19">
        <f>IF(OR(F476="",F475=""),"",F476/F475-1)</f>
        <v/>
      </c>
      <c r="O476" s="19">
        <f>IF(OR(G476="",G475=""),"",G476/G475-1)</f>
        <v/>
      </c>
      <c r="P476" s="22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IF(R476="","",P476/R476)</f>
        <v/>
      </c>
      <c r="T476" s="23">
        <f>IF(R476="","",Q476/R476)</f>
        <v/>
      </c>
      <c r="U476" s="24">
        <f>IF(SUMIFS('Daily NSE Equity Options'!$M:$M,'Daily NSE Equity Options'!$A:$A,$A476)=0,"",SUMIFS('Daily NSE Equity Options'!$M:$M,'Daily NSE Equity Options'!$A:$A,$A476))</f>
        <v/>
      </c>
      <c r="V476" s="9">
        <f>IF(SUMIFS('Daily BSE Equity Options'!$M:$M,'Daily BSE Equity Options'!$A:$A,$A476)=0,"",SUMIFS('Daily BSE Equity Options'!$M:$M,'Daily BSE Equity Options'!$A:$A,$A476))</f>
        <v/>
      </c>
      <c r="W476" s="9">
        <f>IF(OR(U476="",V476=""),"",U476+V476)</f>
        <v/>
      </c>
      <c r="X476" s="25">
        <f>IF(W476="","",U476/W476)</f>
        <v/>
      </c>
      <c r="Y476" s="25">
        <f>IF(W476="","",V476/W476)</f>
        <v/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19">
        <f>IF(G477="","",E477/G477)</f>
        <v/>
      </c>
      <c r="I477" s="19">
        <f>IF(G477="","",F477/G477)</f>
        <v/>
      </c>
      <c r="J477" s="26">
        <f>IFERROR(IF(OR(E477="",INDEX(E:E,MATCH(DATE(YEAR($A477)-1,MONTH($A477),DAY($A477)),$A:$A,0))=""),"",E477/INDEX(E:E,MATCH(DATE(YEAR($A477)-1,MONTH($A477),DAY($A477)),$A:$A,0))-1),"")</f>
        <v/>
      </c>
      <c r="K477" s="19">
        <f>IFERROR(IF(OR(F477="",INDEX(F:F,MATCH(DATE(YEAR($A477)-1,MONTH($A477),DAY($A477)),$A:$A,0))=""),"",F477/INDEX(F:F,MATCH(DATE(YEAR($A477)-1,MONTH($A477),DAY($A477)),$A:$A,0))-1),"")</f>
        <v/>
      </c>
      <c r="L477" s="19">
        <f>IFERROR(IF(OR(G477="",INDEX(G:G,MATCH(DATE(YEAR($A477)-1,MONTH($A477),DAY($A477)),$A:$A,0))=""),"",G477/INDEX(G:G,MATCH(DATE(YEAR($A477)-1,MONTH($A477),DAY($A477)),$A:$A,0))-1),"")</f>
        <v/>
      </c>
      <c r="M477" s="19">
        <f>IF(OR(E477="",E476=""),"",E477/E476-1)</f>
        <v/>
      </c>
      <c r="N477" s="19">
        <f>IF(OR(F477="",F476=""),"",F477/F476-1)</f>
        <v/>
      </c>
      <c r="O477" s="19">
        <f>IF(OR(G477="",G476=""),"",G477/G476-1)</f>
        <v/>
      </c>
      <c r="P477" s="22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IF(R477="","",P477/R477)</f>
        <v/>
      </c>
      <c r="T477" s="23">
        <f>IF(R477="","",Q477/R477)</f>
        <v/>
      </c>
      <c r="U477" s="24">
        <f>IF(SUMIFS('Daily NSE Equity Options'!$M:$M,'Daily NSE Equity Options'!$A:$A,$A477)=0,"",SUMIFS('Daily NSE Equity Options'!$M:$M,'Daily NSE Equity Options'!$A:$A,$A477))</f>
        <v/>
      </c>
      <c r="V477" s="9">
        <f>IF(SUMIFS('Daily BSE Equity Options'!$M:$M,'Daily BSE Equity Options'!$A:$A,$A477)=0,"",SUMIFS('Daily BSE Equity Options'!$M:$M,'Daily BSE Equity Options'!$A:$A,$A477))</f>
        <v/>
      </c>
      <c r="W477" s="9">
        <f>IF(OR(U477="",V477=""),"",U477+V477)</f>
        <v/>
      </c>
      <c r="X477" s="25">
        <f>IF(W477="","",U477/W477)</f>
        <v/>
      </c>
      <c r="Y477" s="25">
        <f>IF(W477="","",V477/W477)</f>
        <v/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19">
        <f>IF(G478="","",E478/G478)</f>
        <v/>
      </c>
      <c r="I478" s="19">
        <f>IF(G478="","",F478/G478)</f>
        <v/>
      </c>
      <c r="J478" s="26">
        <f>IFERROR(IF(OR(E478="",INDEX(E:E,MATCH(DATE(YEAR($A478)-1,MONTH($A478),DAY($A478)),$A:$A,0))=""),"",E478/INDEX(E:E,MATCH(DATE(YEAR($A478)-1,MONTH($A478),DAY($A478)),$A:$A,0))-1),"")</f>
        <v/>
      </c>
      <c r="K478" s="19">
        <f>IFERROR(IF(OR(F478="",INDEX(F:F,MATCH(DATE(YEAR($A478)-1,MONTH($A478),DAY($A478)),$A:$A,0))=""),"",F478/INDEX(F:F,MATCH(DATE(YEAR($A478)-1,MONTH($A478),DAY($A478)),$A:$A,0))-1),"")</f>
        <v/>
      </c>
      <c r="L478" s="19">
        <f>IFERROR(IF(OR(G478="",INDEX(G:G,MATCH(DATE(YEAR($A478)-1,MONTH($A478),DAY($A478)),$A:$A,0))=""),"",G478/INDEX(G:G,MATCH(DATE(YEAR($A478)-1,MONTH($A478),DAY($A478)),$A:$A,0))-1),"")</f>
        <v/>
      </c>
      <c r="M478" s="19">
        <f>IF(OR(E478="",E477=""),"",E478/E477-1)</f>
        <v/>
      </c>
      <c r="N478" s="19">
        <f>IF(OR(F478="",F477=""),"",F478/F477-1)</f>
        <v/>
      </c>
      <c r="O478" s="19">
        <f>IF(OR(G478="",G477=""),"",G478/G477-1)</f>
        <v/>
      </c>
      <c r="P478" s="22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IF(R478="","",P478/R478)</f>
        <v/>
      </c>
      <c r="T478" s="23">
        <f>IF(R478="","",Q478/R478)</f>
        <v/>
      </c>
      <c r="U478" s="24">
        <f>IF(SUMIFS('Daily NSE Equity Options'!$M:$M,'Daily NSE Equity Options'!$A:$A,$A478)=0,"",SUMIFS('Daily NSE Equity Options'!$M:$M,'Daily NSE Equity Options'!$A:$A,$A478))</f>
        <v/>
      </c>
      <c r="V478" s="9">
        <f>IF(SUMIFS('Daily BSE Equity Options'!$M:$M,'Daily BSE Equity Options'!$A:$A,$A478)=0,"",SUMIFS('Daily BSE Equity Options'!$M:$M,'Daily BSE Equity Options'!$A:$A,$A478))</f>
        <v/>
      </c>
      <c r="W478" s="9">
        <f>IF(OR(U478="",V478=""),"",U478+V478)</f>
        <v/>
      </c>
      <c r="X478" s="25">
        <f>IF(W478="","",U478/W478)</f>
        <v/>
      </c>
      <c r="Y478" s="25">
        <f>IF(W478="","",V478/W478)</f>
        <v/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19">
        <f>IF(G479="","",E479/G479)</f>
        <v/>
      </c>
      <c r="I479" s="19">
        <f>IF(G479="","",F479/G479)</f>
        <v/>
      </c>
      <c r="J479" s="26">
        <f>IFERROR(IF(OR(E479="",INDEX(E:E,MATCH(DATE(YEAR($A479)-1,MONTH($A479),DAY($A479)),$A:$A,0))=""),"",E479/INDEX(E:E,MATCH(DATE(YEAR($A479)-1,MONTH($A479),DAY($A479)),$A:$A,0))-1),"")</f>
        <v/>
      </c>
      <c r="K479" s="19">
        <f>IFERROR(IF(OR(F479="",INDEX(F:F,MATCH(DATE(YEAR($A479)-1,MONTH($A479),DAY($A479)),$A:$A,0))=""),"",F479/INDEX(F:F,MATCH(DATE(YEAR($A479)-1,MONTH($A479),DAY($A479)),$A:$A,0))-1),"")</f>
        <v/>
      </c>
      <c r="L479" s="19">
        <f>IFERROR(IF(OR(G479="",INDEX(G:G,MATCH(DATE(YEAR($A479)-1,MONTH($A479),DAY($A479)),$A:$A,0))=""),"",G479/INDEX(G:G,MATCH(DATE(YEAR($A479)-1,MONTH($A479),DAY($A479)),$A:$A,0))-1),"")</f>
        <v/>
      </c>
      <c r="M479" s="19">
        <f>IF(OR(E479="",E478=""),"",E479/E478-1)</f>
        <v/>
      </c>
      <c r="N479" s="19">
        <f>IF(OR(F479="",F478=""),"",F479/F478-1)</f>
        <v/>
      </c>
      <c r="O479" s="19">
        <f>IF(OR(G479="",G478=""),"",G479/G478-1)</f>
        <v/>
      </c>
      <c r="P479" s="22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IF(R479="","",P479/R479)</f>
        <v/>
      </c>
      <c r="T479" s="23">
        <f>IF(R479="","",Q479/R479)</f>
        <v/>
      </c>
      <c r="U479" s="24">
        <f>IF(SUMIFS('Daily NSE Equity Options'!$M:$M,'Daily NSE Equity Options'!$A:$A,$A479)=0,"",SUMIFS('Daily NSE Equity Options'!$M:$M,'Daily NSE Equity Options'!$A:$A,$A479))</f>
        <v/>
      </c>
      <c r="V479" s="9">
        <f>IF(SUMIFS('Daily BSE Equity Options'!$M:$M,'Daily BSE Equity Options'!$A:$A,$A479)=0,"",SUMIFS('Daily BSE Equity Options'!$M:$M,'Daily BSE Equity Options'!$A:$A,$A479))</f>
        <v/>
      </c>
      <c r="W479" s="9">
        <f>IF(OR(U479="",V479=""),"",U479+V479)</f>
        <v/>
      </c>
      <c r="X479" s="25">
        <f>IF(W479="","",U479/W479)</f>
        <v/>
      </c>
      <c r="Y479" s="25">
        <f>IF(W479="","",V479/W479)</f>
        <v/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19">
        <f>IF(G480="","",E480/G480)</f>
        <v/>
      </c>
      <c r="I480" s="19">
        <f>IF(G480="","",F480/G480)</f>
        <v/>
      </c>
      <c r="J480" s="26">
        <f>IFERROR(IF(OR(E480="",INDEX(E:E,MATCH(DATE(YEAR($A480)-1,MONTH($A480),DAY($A480)),$A:$A,0))=""),"",E480/INDEX(E:E,MATCH(DATE(YEAR($A480)-1,MONTH($A480),DAY($A480)),$A:$A,0))-1),"")</f>
        <v/>
      </c>
      <c r="K480" s="19">
        <f>IFERROR(IF(OR(F480="",INDEX(F:F,MATCH(DATE(YEAR($A480)-1,MONTH($A480),DAY($A480)),$A:$A,0))=""),"",F480/INDEX(F:F,MATCH(DATE(YEAR($A480)-1,MONTH($A480),DAY($A480)),$A:$A,0))-1),"")</f>
        <v/>
      </c>
      <c r="L480" s="19">
        <f>IFERROR(IF(OR(G480="",INDEX(G:G,MATCH(DATE(YEAR($A480)-1,MONTH($A480),DAY($A480)),$A:$A,0))=""),"",G480/INDEX(G:G,MATCH(DATE(YEAR($A480)-1,MONTH($A480),DAY($A480)),$A:$A,0))-1),"")</f>
        <v/>
      </c>
      <c r="M480" s="19">
        <f>IF(OR(E480="",E479=""),"",E480/E479-1)</f>
        <v/>
      </c>
      <c r="N480" s="19">
        <f>IF(OR(F480="",F479=""),"",F480/F479-1)</f>
        <v/>
      </c>
      <c r="O480" s="19">
        <f>IF(OR(G480="",G479=""),"",G480/G479-1)</f>
        <v/>
      </c>
      <c r="P480" s="22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IF(R480="","",P480/R480)</f>
        <v/>
      </c>
      <c r="T480" s="23">
        <f>IF(R480="","",Q480/R480)</f>
        <v/>
      </c>
      <c r="U480" s="24">
        <f>IF(SUMIFS('Daily NSE Equity Options'!$M:$M,'Daily NSE Equity Options'!$A:$A,$A480)=0,"",SUMIFS('Daily NSE Equity Options'!$M:$M,'Daily NSE Equity Options'!$A:$A,$A480))</f>
        <v/>
      </c>
      <c r="V480" s="9">
        <f>IF(SUMIFS('Daily BSE Equity Options'!$M:$M,'Daily BSE Equity Options'!$A:$A,$A480)=0,"",SUMIFS('Daily BSE Equity Options'!$M:$M,'Daily BSE Equity Options'!$A:$A,$A480))</f>
        <v/>
      </c>
      <c r="W480" s="9">
        <f>IF(OR(U480="",V480=""),"",U480+V480)</f>
        <v/>
      </c>
      <c r="X480" s="25">
        <f>IF(W480="","",U480/W480)</f>
        <v/>
      </c>
      <c r="Y480" s="25">
        <f>IF(W480="","",V480/W480)</f>
        <v/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19">
        <f>IF(G481="","",E481/G481)</f>
        <v/>
      </c>
      <c r="I481" s="19">
        <f>IF(G481="","",F481/G481)</f>
        <v/>
      </c>
      <c r="J481" s="26">
        <f>IFERROR(IF(OR(E481="",INDEX(E:E,MATCH(DATE(YEAR($A481)-1,MONTH($A481),DAY($A481)),$A:$A,0))=""),"",E481/INDEX(E:E,MATCH(DATE(YEAR($A481)-1,MONTH($A481),DAY($A481)),$A:$A,0))-1),"")</f>
        <v/>
      </c>
      <c r="K481" s="19">
        <f>IFERROR(IF(OR(F481="",INDEX(F:F,MATCH(DATE(YEAR($A481)-1,MONTH($A481),DAY($A481)),$A:$A,0))=""),"",F481/INDEX(F:F,MATCH(DATE(YEAR($A481)-1,MONTH($A481),DAY($A481)),$A:$A,0))-1),"")</f>
        <v/>
      </c>
      <c r="L481" s="19">
        <f>IFERROR(IF(OR(G481="",INDEX(G:G,MATCH(DATE(YEAR($A481)-1,MONTH($A481),DAY($A481)),$A:$A,0))=""),"",G481/INDEX(G:G,MATCH(DATE(YEAR($A481)-1,MONTH($A481),DAY($A481)),$A:$A,0))-1),"")</f>
        <v/>
      </c>
      <c r="M481" s="19">
        <f>IF(OR(E481="",E480=""),"",E481/E480-1)</f>
        <v/>
      </c>
      <c r="N481" s="19">
        <f>IF(OR(F481="",F480=""),"",F481/F480-1)</f>
        <v/>
      </c>
      <c r="O481" s="19">
        <f>IF(OR(G481="",G480=""),"",G481/G480-1)</f>
        <v/>
      </c>
      <c r="P481" s="22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IF(R481="","",P481/R481)</f>
        <v/>
      </c>
      <c r="T481" s="23">
        <f>IF(R481="","",Q481/R481)</f>
        <v/>
      </c>
      <c r="U481" s="24">
        <f>IF(SUMIFS('Daily NSE Equity Options'!$M:$M,'Daily NSE Equity Options'!$A:$A,$A481)=0,"",SUMIFS('Daily NSE Equity Options'!$M:$M,'Daily NSE Equity Options'!$A:$A,$A481))</f>
        <v/>
      </c>
      <c r="V481" s="9">
        <f>IF(SUMIFS('Daily BSE Equity Options'!$M:$M,'Daily BSE Equity Options'!$A:$A,$A481)=0,"",SUMIFS('Daily BSE Equity Options'!$M:$M,'Daily BSE Equity Options'!$A:$A,$A481))</f>
        <v/>
      </c>
      <c r="W481" s="9">
        <f>IF(OR(U481="",V481=""),"",U481+V481)</f>
        <v/>
      </c>
      <c r="X481" s="25">
        <f>IF(W481="","",U481/W481)</f>
        <v/>
      </c>
      <c r="Y481" s="25">
        <f>IF(W481="","",V481/W481)</f>
        <v/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19">
        <f>IF(G482="","",E482/G482)</f>
        <v/>
      </c>
      <c r="I482" s="19">
        <f>IF(G482="","",F482/G482)</f>
        <v/>
      </c>
      <c r="J482" s="26">
        <f>IFERROR(IF(OR(E482="",INDEX(E:E,MATCH(DATE(YEAR($A482)-1,MONTH($A482),DAY($A482)),$A:$A,0))=""),"",E482/INDEX(E:E,MATCH(DATE(YEAR($A482)-1,MONTH($A482),DAY($A482)),$A:$A,0))-1),"")</f>
        <v/>
      </c>
      <c r="K482" s="19">
        <f>IFERROR(IF(OR(F482="",INDEX(F:F,MATCH(DATE(YEAR($A482)-1,MONTH($A482),DAY($A482)),$A:$A,0))=""),"",F482/INDEX(F:F,MATCH(DATE(YEAR($A482)-1,MONTH($A482),DAY($A482)),$A:$A,0))-1),"")</f>
        <v/>
      </c>
      <c r="L482" s="19">
        <f>IFERROR(IF(OR(G482="",INDEX(G:G,MATCH(DATE(YEAR($A482)-1,MONTH($A482),DAY($A482)),$A:$A,0))=""),"",G482/INDEX(G:G,MATCH(DATE(YEAR($A482)-1,MONTH($A482),DAY($A482)),$A:$A,0))-1),"")</f>
        <v/>
      </c>
      <c r="M482" s="19">
        <f>IF(OR(E482="",E481=""),"",E482/E481-1)</f>
        <v/>
      </c>
      <c r="N482" s="19">
        <f>IF(OR(F482="",F481=""),"",F482/F481-1)</f>
        <v/>
      </c>
      <c r="O482" s="19">
        <f>IF(OR(G482="",G481=""),"",G482/G481-1)</f>
        <v/>
      </c>
      <c r="P482" s="22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IF(R482="","",P482/R482)</f>
        <v/>
      </c>
      <c r="T482" s="23">
        <f>IF(R482="","",Q482/R482)</f>
        <v/>
      </c>
      <c r="U482" s="24">
        <f>IF(SUMIFS('Daily NSE Equity Options'!$M:$M,'Daily NSE Equity Options'!$A:$A,$A482)=0,"",SUMIFS('Daily NSE Equity Options'!$M:$M,'Daily NSE Equity Options'!$A:$A,$A482))</f>
        <v/>
      </c>
      <c r="V482" s="9">
        <f>IF(SUMIFS('Daily BSE Equity Options'!$M:$M,'Daily BSE Equity Options'!$A:$A,$A482)=0,"",SUMIFS('Daily BSE Equity Options'!$M:$M,'Daily BSE Equity Options'!$A:$A,$A482))</f>
        <v/>
      </c>
      <c r="W482" s="9">
        <f>IF(OR(U482="",V482=""),"",U482+V482)</f>
        <v/>
      </c>
      <c r="X482" s="25">
        <f>IF(W482="","",U482/W482)</f>
        <v/>
      </c>
      <c r="Y482" s="25">
        <f>IF(W482="","",V482/W482)</f>
        <v/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19">
        <f>IF(G483="","",E483/G483)</f>
        <v/>
      </c>
      <c r="I483" s="19">
        <f>IF(G483="","",F483/G483)</f>
        <v/>
      </c>
      <c r="J483" s="26">
        <f>IFERROR(IF(OR(E483="",INDEX(E:E,MATCH(DATE(YEAR($A483)-1,MONTH($A483),DAY($A483)),$A:$A,0))=""),"",E483/INDEX(E:E,MATCH(DATE(YEAR($A483)-1,MONTH($A483),DAY($A483)),$A:$A,0))-1),"")</f>
        <v/>
      </c>
      <c r="K483" s="19">
        <f>IFERROR(IF(OR(F483="",INDEX(F:F,MATCH(DATE(YEAR($A483)-1,MONTH($A483),DAY($A483)),$A:$A,0))=""),"",F483/INDEX(F:F,MATCH(DATE(YEAR($A483)-1,MONTH($A483),DAY($A483)),$A:$A,0))-1),"")</f>
        <v/>
      </c>
      <c r="L483" s="19">
        <f>IFERROR(IF(OR(G483="",INDEX(G:G,MATCH(DATE(YEAR($A483)-1,MONTH($A483),DAY($A483)),$A:$A,0))=""),"",G483/INDEX(G:G,MATCH(DATE(YEAR($A483)-1,MONTH($A483),DAY($A483)),$A:$A,0))-1),"")</f>
        <v/>
      </c>
      <c r="M483" s="19">
        <f>IF(OR(E483="",E482=""),"",E483/E482-1)</f>
        <v/>
      </c>
      <c r="N483" s="19">
        <f>IF(OR(F483="",F482=""),"",F483/F482-1)</f>
        <v/>
      </c>
      <c r="O483" s="19">
        <f>IF(OR(G483="",G482=""),"",G483/G482-1)</f>
        <v/>
      </c>
      <c r="P483" s="22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IF(R483="","",P483/R483)</f>
        <v/>
      </c>
      <c r="T483" s="23">
        <f>IF(R483="","",Q483/R483)</f>
        <v/>
      </c>
      <c r="U483" s="24">
        <f>IF(SUMIFS('Daily NSE Equity Options'!$M:$M,'Daily NSE Equity Options'!$A:$A,$A483)=0,"",SUMIFS('Daily NSE Equity Options'!$M:$M,'Daily NSE Equity Options'!$A:$A,$A483))</f>
        <v/>
      </c>
      <c r="V483" s="9">
        <f>IF(SUMIFS('Daily BSE Equity Options'!$M:$M,'Daily BSE Equity Options'!$A:$A,$A483)=0,"",SUMIFS('Daily BSE Equity Options'!$M:$M,'Daily BSE Equity Options'!$A:$A,$A483))</f>
        <v/>
      </c>
      <c r="W483" s="9">
        <f>IF(OR(U483="",V483=""),"",U483+V483)</f>
        <v/>
      </c>
      <c r="X483" s="25">
        <f>IF(W483="","",U483/W483)</f>
        <v/>
      </c>
      <c r="Y483" s="25">
        <f>IF(W483="","",V483/W483)</f>
        <v/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19">
        <f>IF(G484="","",E484/G484)</f>
        <v/>
      </c>
      <c r="I484" s="19">
        <f>IF(G484="","",F484/G484)</f>
        <v/>
      </c>
      <c r="J484" s="26">
        <f>IFERROR(IF(OR(E484="",INDEX(E:E,MATCH(DATE(YEAR($A484)-1,MONTH($A484),DAY($A484)),$A:$A,0))=""),"",E484/INDEX(E:E,MATCH(DATE(YEAR($A484)-1,MONTH($A484),DAY($A484)),$A:$A,0))-1),"")</f>
        <v/>
      </c>
      <c r="K484" s="19">
        <f>IFERROR(IF(OR(F484="",INDEX(F:F,MATCH(DATE(YEAR($A484)-1,MONTH($A484),DAY($A484)),$A:$A,0))=""),"",F484/INDEX(F:F,MATCH(DATE(YEAR($A484)-1,MONTH($A484),DAY($A484)),$A:$A,0))-1),"")</f>
        <v/>
      </c>
      <c r="L484" s="19">
        <f>IFERROR(IF(OR(G484="",INDEX(G:G,MATCH(DATE(YEAR($A484)-1,MONTH($A484),DAY($A484)),$A:$A,0))=""),"",G484/INDEX(G:G,MATCH(DATE(YEAR($A484)-1,MONTH($A484),DAY($A484)),$A:$A,0))-1),"")</f>
        <v/>
      </c>
      <c r="M484" s="19">
        <f>IF(OR(E484="",E483=""),"",E484/E483-1)</f>
        <v/>
      </c>
      <c r="N484" s="19">
        <f>IF(OR(F484="",F483=""),"",F484/F483-1)</f>
        <v/>
      </c>
      <c r="O484" s="19">
        <f>IF(OR(G484="",G483=""),"",G484/G483-1)</f>
        <v/>
      </c>
      <c r="P484" s="22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IF(R484="","",P484/R484)</f>
        <v/>
      </c>
      <c r="T484" s="23">
        <f>IF(R484="","",Q484/R484)</f>
        <v/>
      </c>
      <c r="U484" s="24">
        <f>IF(SUMIFS('Daily NSE Equity Options'!$M:$M,'Daily NSE Equity Options'!$A:$A,$A484)=0,"",SUMIFS('Daily NSE Equity Options'!$M:$M,'Daily NSE Equity Options'!$A:$A,$A484))</f>
        <v/>
      </c>
      <c r="V484" s="9">
        <f>IF(SUMIFS('Daily BSE Equity Options'!$M:$M,'Daily BSE Equity Options'!$A:$A,$A484)=0,"",SUMIFS('Daily BSE Equity Options'!$M:$M,'Daily BSE Equity Options'!$A:$A,$A484))</f>
        <v/>
      </c>
      <c r="W484" s="9">
        <f>IF(OR(U484="",V484=""),"",U484+V484)</f>
        <v/>
      </c>
      <c r="X484" s="25">
        <f>IF(W484="","",U484/W484)</f>
        <v/>
      </c>
      <c r="Y484" s="25">
        <f>IF(W484="","",V484/W484)</f>
        <v/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19">
        <f>IF(G485="","",E485/G485)</f>
        <v/>
      </c>
      <c r="I485" s="19">
        <f>IF(G485="","",F485/G485)</f>
        <v/>
      </c>
      <c r="J485" s="26">
        <f>IFERROR(IF(OR(E485="",INDEX(E:E,MATCH(DATE(YEAR($A485)-1,MONTH($A485),DAY($A485)),$A:$A,0))=""),"",E485/INDEX(E:E,MATCH(DATE(YEAR($A485)-1,MONTH($A485),DAY($A485)),$A:$A,0))-1),"")</f>
        <v/>
      </c>
      <c r="K485" s="19">
        <f>IFERROR(IF(OR(F485="",INDEX(F:F,MATCH(DATE(YEAR($A485)-1,MONTH($A485),DAY($A485)),$A:$A,0))=""),"",F485/INDEX(F:F,MATCH(DATE(YEAR($A485)-1,MONTH($A485),DAY($A485)),$A:$A,0))-1),"")</f>
        <v/>
      </c>
      <c r="L485" s="19">
        <f>IFERROR(IF(OR(G485="",INDEX(G:G,MATCH(DATE(YEAR($A485)-1,MONTH($A485),DAY($A485)),$A:$A,0))=""),"",G485/INDEX(G:G,MATCH(DATE(YEAR($A485)-1,MONTH($A485),DAY($A485)),$A:$A,0))-1),"")</f>
        <v/>
      </c>
      <c r="M485" s="19">
        <f>IF(OR(E485="",E484=""),"",E485/E484-1)</f>
        <v/>
      </c>
      <c r="N485" s="19">
        <f>IF(OR(F485="",F484=""),"",F485/F484-1)</f>
        <v/>
      </c>
      <c r="O485" s="19">
        <f>IF(OR(G485="",G484=""),"",G485/G484-1)</f>
        <v/>
      </c>
      <c r="P485" s="22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IF(R485="","",P485/R485)</f>
        <v/>
      </c>
      <c r="T485" s="23">
        <f>IF(R485="","",Q485/R485)</f>
        <v/>
      </c>
      <c r="U485" s="24">
        <f>IF(SUMIFS('Daily NSE Equity Options'!$M:$M,'Daily NSE Equity Options'!$A:$A,$A485)=0,"",SUMIFS('Daily NSE Equity Options'!$M:$M,'Daily NSE Equity Options'!$A:$A,$A485))</f>
        <v/>
      </c>
      <c r="V485" s="9">
        <f>IF(SUMIFS('Daily BSE Equity Options'!$M:$M,'Daily BSE Equity Options'!$A:$A,$A485)=0,"",SUMIFS('Daily BSE Equity Options'!$M:$M,'Daily BSE Equity Options'!$A:$A,$A485))</f>
        <v/>
      </c>
      <c r="W485" s="9">
        <f>IF(OR(U485="",V485=""),"",U485+V485)</f>
        <v/>
      </c>
      <c r="X485" s="25">
        <f>IF(W485="","",U485/W485)</f>
        <v/>
      </c>
      <c r="Y485" s="25">
        <f>IF(W485="","",V485/W485)</f>
        <v/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19">
        <f>IF(G486="","",E486/G486)</f>
        <v/>
      </c>
      <c r="I486" s="19">
        <f>IF(G486="","",F486/G486)</f>
        <v/>
      </c>
      <c r="J486" s="26">
        <f>IFERROR(IF(OR(E486="",INDEX(E:E,MATCH(DATE(YEAR($A486)-1,MONTH($A486),DAY($A486)),$A:$A,0))=""),"",E486/INDEX(E:E,MATCH(DATE(YEAR($A486)-1,MONTH($A486),DAY($A486)),$A:$A,0))-1),"")</f>
        <v/>
      </c>
      <c r="K486" s="19">
        <f>IFERROR(IF(OR(F486="",INDEX(F:F,MATCH(DATE(YEAR($A486)-1,MONTH($A486),DAY($A486)),$A:$A,0))=""),"",F486/INDEX(F:F,MATCH(DATE(YEAR($A486)-1,MONTH($A486),DAY($A486)),$A:$A,0))-1),"")</f>
        <v/>
      </c>
      <c r="L486" s="19">
        <f>IFERROR(IF(OR(G486="",INDEX(G:G,MATCH(DATE(YEAR($A486)-1,MONTH($A486),DAY($A486)),$A:$A,0))=""),"",G486/INDEX(G:G,MATCH(DATE(YEAR($A486)-1,MONTH($A486),DAY($A486)),$A:$A,0))-1),"")</f>
        <v/>
      </c>
      <c r="M486" s="19">
        <f>IF(OR(E486="",E485=""),"",E486/E485-1)</f>
        <v/>
      </c>
      <c r="N486" s="19">
        <f>IF(OR(F486="",F485=""),"",F486/F485-1)</f>
        <v/>
      </c>
      <c r="O486" s="19">
        <f>IF(OR(G486="",G485=""),"",G486/G485-1)</f>
        <v/>
      </c>
      <c r="P486" s="22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IF(R486="","",P486/R486)</f>
        <v/>
      </c>
      <c r="T486" s="23">
        <f>IF(R486="","",Q486/R486)</f>
        <v/>
      </c>
      <c r="U486" s="24">
        <f>IF(SUMIFS('Daily NSE Equity Options'!$M:$M,'Daily NSE Equity Options'!$A:$A,$A486)=0,"",SUMIFS('Daily NSE Equity Options'!$M:$M,'Daily NSE Equity Options'!$A:$A,$A486))</f>
        <v/>
      </c>
      <c r="V486" s="9">
        <f>IF(SUMIFS('Daily BSE Equity Options'!$M:$M,'Daily BSE Equity Options'!$A:$A,$A486)=0,"",SUMIFS('Daily BSE Equity Options'!$M:$M,'Daily BSE Equity Options'!$A:$A,$A486))</f>
        <v/>
      </c>
      <c r="W486" s="9">
        <f>IF(OR(U486="",V486=""),"",U486+V486)</f>
        <v/>
      </c>
      <c r="X486" s="25">
        <f>IF(W486="","",U486/W486)</f>
        <v/>
      </c>
      <c r="Y486" s="25">
        <f>IF(W486="","",V486/W486)</f>
        <v/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19">
        <f>IF(G487="","",E487/G487)</f>
        <v/>
      </c>
      <c r="I487" s="19">
        <f>IF(G487="","",F487/G487)</f>
        <v/>
      </c>
      <c r="J487" s="26">
        <f>IFERROR(IF(OR(E487="",INDEX(E:E,MATCH(DATE(YEAR($A487)-1,MONTH($A487),DAY($A487)),$A:$A,0))=""),"",E487/INDEX(E:E,MATCH(DATE(YEAR($A487)-1,MONTH($A487),DAY($A487)),$A:$A,0))-1),"")</f>
        <v/>
      </c>
      <c r="K487" s="19">
        <f>IFERROR(IF(OR(F487="",INDEX(F:F,MATCH(DATE(YEAR($A487)-1,MONTH($A487),DAY($A487)),$A:$A,0))=""),"",F487/INDEX(F:F,MATCH(DATE(YEAR($A487)-1,MONTH($A487),DAY($A487)),$A:$A,0))-1),"")</f>
        <v/>
      </c>
      <c r="L487" s="19">
        <f>IFERROR(IF(OR(G487="",INDEX(G:G,MATCH(DATE(YEAR($A487)-1,MONTH($A487),DAY($A487)),$A:$A,0))=""),"",G487/INDEX(G:G,MATCH(DATE(YEAR($A487)-1,MONTH($A487),DAY($A487)),$A:$A,0))-1),"")</f>
        <v/>
      </c>
      <c r="M487" s="19">
        <f>IF(OR(E487="",E486=""),"",E487/E486-1)</f>
        <v/>
      </c>
      <c r="N487" s="19">
        <f>IF(OR(F487="",F486=""),"",F487/F486-1)</f>
        <v/>
      </c>
      <c r="O487" s="19">
        <f>IF(OR(G487="",G486=""),"",G487/G486-1)</f>
        <v/>
      </c>
      <c r="P487" s="22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IF(R487="","",P487/R487)</f>
        <v/>
      </c>
      <c r="T487" s="23">
        <f>IF(R487="","",Q487/R487)</f>
        <v/>
      </c>
      <c r="U487" s="24">
        <f>IF(SUMIFS('Daily NSE Equity Options'!$M:$M,'Daily NSE Equity Options'!$A:$A,$A487)=0,"",SUMIFS('Daily NSE Equity Options'!$M:$M,'Daily NSE Equity Options'!$A:$A,$A487))</f>
        <v/>
      </c>
      <c r="V487" s="9">
        <f>IF(SUMIFS('Daily BSE Equity Options'!$M:$M,'Daily BSE Equity Options'!$A:$A,$A487)=0,"",SUMIFS('Daily BSE Equity Options'!$M:$M,'Daily BSE Equity Options'!$A:$A,$A487))</f>
        <v/>
      </c>
      <c r="W487" s="9">
        <f>IF(OR(U487="",V487=""),"",U487+V487)</f>
        <v/>
      </c>
      <c r="X487" s="25">
        <f>IF(W487="","",U487/W487)</f>
        <v/>
      </c>
      <c r="Y487" s="25">
        <f>IF(W487="","",V487/W487)</f>
        <v/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19">
        <f>IF(G488="","",E488/G488)</f>
        <v/>
      </c>
      <c r="I488" s="19">
        <f>IF(G488="","",F488/G488)</f>
        <v/>
      </c>
      <c r="J488" s="26">
        <f>IFERROR(IF(OR(E488="",INDEX(E:E,MATCH(DATE(YEAR($A488)-1,MONTH($A488),DAY($A488)),$A:$A,0))=""),"",E488/INDEX(E:E,MATCH(DATE(YEAR($A488)-1,MONTH($A488),DAY($A488)),$A:$A,0))-1),"")</f>
        <v/>
      </c>
      <c r="K488" s="19">
        <f>IFERROR(IF(OR(F488="",INDEX(F:F,MATCH(DATE(YEAR($A488)-1,MONTH($A488),DAY($A488)),$A:$A,0))=""),"",F488/INDEX(F:F,MATCH(DATE(YEAR($A488)-1,MONTH($A488),DAY($A488)),$A:$A,0))-1),"")</f>
        <v/>
      </c>
      <c r="L488" s="19">
        <f>IFERROR(IF(OR(G488="",INDEX(G:G,MATCH(DATE(YEAR($A488)-1,MONTH($A488),DAY($A488)),$A:$A,0))=""),"",G488/INDEX(G:G,MATCH(DATE(YEAR($A488)-1,MONTH($A488),DAY($A488)),$A:$A,0))-1),"")</f>
        <v/>
      </c>
      <c r="M488" s="19">
        <f>IF(OR(E488="",E487=""),"",E488/E487-1)</f>
        <v/>
      </c>
      <c r="N488" s="19">
        <f>IF(OR(F488="",F487=""),"",F488/F487-1)</f>
        <v/>
      </c>
      <c r="O488" s="19">
        <f>IF(OR(G488="",G487=""),"",G488/G487-1)</f>
        <v/>
      </c>
      <c r="P488" s="22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IF(R488="","",P488/R488)</f>
        <v/>
      </c>
      <c r="T488" s="23">
        <f>IF(R488="","",Q488/R488)</f>
        <v/>
      </c>
      <c r="U488" s="24">
        <f>IF(SUMIFS('Daily NSE Equity Options'!$M:$M,'Daily NSE Equity Options'!$A:$A,$A488)=0,"",SUMIFS('Daily NSE Equity Options'!$M:$M,'Daily NSE Equity Options'!$A:$A,$A488))</f>
        <v/>
      </c>
      <c r="V488" s="9">
        <f>IF(SUMIFS('Daily BSE Equity Options'!$M:$M,'Daily BSE Equity Options'!$A:$A,$A488)=0,"",SUMIFS('Daily BSE Equity Options'!$M:$M,'Daily BSE Equity Options'!$A:$A,$A488))</f>
        <v/>
      </c>
      <c r="W488" s="9">
        <f>IF(OR(U488="",V488=""),"",U488+V488)</f>
        <v/>
      </c>
      <c r="X488" s="25">
        <f>IF(W488="","",U488/W488)</f>
        <v/>
      </c>
      <c r="Y488" s="25">
        <f>IF(W488="","",V488/W488)</f>
        <v/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19">
        <f>IF(G489="","",E489/G489)</f>
        <v/>
      </c>
      <c r="I489" s="19">
        <f>IF(G489="","",F489/G489)</f>
        <v/>
      </c>
      <c r="J489" s="26">
        <f>IFERROR(IF(OR(E489="",INDEX(E:E,MATCH(DATE(YEAR($A489)-1,MONTH($A489),DAY($A489)),$A:$A,0))=""),"",E489/INDEX(E:E,MATCH(DATE(YEAR($A489)-1,MONTH($A489),DAY($A489)),$A:$A,0))-1),"")</f>
        <v/>
      </c>
      <c r="K489" s="19">
        <f>IFERROR(IF(OR(F489="",INDEX(F:F,MATCH(DATE(YEAR($A489)-1,MONTH($A489),DAY($A489)),$A:$A,0))=""),"",F489/INDEX(F:F,MATCH(DATE(YEAR($A489)-1,MONTH($A489),DAY($A489)),$A:$A,0))-1),"")</f>
        <v/>
      </c>
      <c r="L489" s="19">
        <f>IFERROR(IF(OR(G489="",INDEX(G:G,MATCH(DATE(YEAR($A489)-1,MONTH($A489),DAY($A489)),$A:$A,0))=""),"",G489/INDEX(G:G,MATCH(DATE(YEAR($A489)-1,MONTH($A489),DAY($A489)),$A:$A,0))-1),"")</f>
        <v/>
      </c>
      <c r="M489" s="19">
        <f>IF(OR(E489="",E488=""),"",E489/E488-1)</f>
        <v/>
      </c>
      <c r="N489" s="19">
        <f>IF(OR(F489="",F488=""),"",F489/F488-1)</f>
        <v/>
      </c>
      <c r="O489" s="19">
        <f>IF(OR(G489="",G488=""),"",G489/G488-1)</f>
        <v/>
      </c>
      <c r="P489" s="22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IF(R489="","",P489/R489)</f>
        <v/>
      </c>
      <c r="T489" s="23">
        <f>IF(R489="","",Q489/R489)</f>
        <v/>
      </c>
      <c r="U489" s="24">
        <f>IF(SUMIFS('Daily NSE Equity Options'!$M:$M,'Daily NSE Equity Options'!$A:$A,$A489)=0,"",SUMIFS('Daily NSE Equity Options'!$M:$M,'Daily NSE Equity Options'!$A:$A,$A489))</f>
        <v/>
      </c>
      <c r="V489" s="9">
        <f>IF(SUMIFS('Daily BSE Equity Options'!$M:$M,'Daily BSE Equity Options'!$A:$A,$A489)=0,"",SUMIFS('Daily BSE Equity Options'!$M:$M,'Daily BSE Equity Options'!$A:$A,$A489))</f>
        <v/>
      </c>
      <c r="W489" s="9">
        <f>IF(OR(U489="",V489=""),"",U489+V489)</f>
        <v/>
      </c>
      <c r="X489" s="25">
        <f>IF(W489="","",U489/W489)</f>
        <v/>
      </c>
      <c r="Y489" s="25">
        <f>IF(W489="","",V489/W489)</f>
        <v/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19">
        <f>IF(G490="","",E490/G490)</f>
        <v/>
      </c>
      <c r="I490" s="19">
        <f>IF(G490="","",F490/G490)</f>
        <v/>
      </c>
      <c r="J490" s="26">
        <f>IFERROR(IF(OR(E490="",INDEX(E:E,MATCH(DATE(YEAR($A490)-1,MONTH($A490),DAY($A490)),$A:$A,0))=""),"",E490/INDEX(E:E,MATCH(DATE(YEAR($A490)-1,MONTH($A490),DAY($A490)),$A:$A,0))-1),"")</f>
        <v/>
      </c>
      <c r="K490" s="19">
        <f>IFERROR(IF(OR(F490="",INDEX(F:F,MATCH(DATE(YEAR($A490)-1,MONTH($A490),DAY($A490)),$A:$A,0))=""),"",F490/INDEX(F:F,MATCH(DATE(YEAR($A490)-1,MONTH($A490),DAY($A490)),$A:$A,0))-1),"")</f>
        <v/>
      </c>
      <c r="L490" s="19">
        <f>IFERROR(IF(OR(G490="",INDEX(G:G,MATCH(DATE(YEAR($A490)-1,MONTH($A490),DAY($A490)),$A:$A,0))=""),"",G490/INDEX(G:G,MATCH(DATE(YEAR($A490)-1,MONTH($A490),DAY($A490)),$A:$A,0))-1),"")</f>
        <v/>
      </c>
      <c r="M490" s="19">
        <f>IF(OR(E490="",E489=""),"",E490/E489-1)</f>
        <v/>
      </c>
      <c r="N490" s="19">
        <f>IF(OR(F490="",F489=""),"",F490/F489-1)</f>
        <v/>
      </c>
      <c r="O490" s="19">
        <f>IF(OR(G490="",G489=""),"",G490/G489-1)</f>
        <v/>
      </c>
      <c r="P490" s="22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IF(R490="","",P490/R490)</f>
        <v/>
      </c>
      <c r="T490" s="23">
        <f>IF(R490="","",Q490/R490)</f>
        <v/>
      </c>
      <c r="U490" s="24">
        <f>IF(SUMIFS('Daily NSE Equity Options'!$M:$M,'Daily NSE Equity Options'!$A:$A,$A490)=0,"",SUMIFS('Daily NSE Equity Options'!$M:$M,'Daily NSE Equity Options'!$A:$A,$A490))</f>
        <v/>
      </c>
      <c r="V490" s="9">
        <f>IF(SUMIFS('Daily BSE Equity Options'!$M:$M,'Daily BSE Equity Options'!$A:$A,$A490)=0,"",SUMIFS('Daily BSE Equity Options'!$M:$M,'Daily BSE Equity Options'!$A:$A,$A490))</f>
        <v/>
      </c>
      <c r="W490" s="9">
        <f>IF(OR(U490="",V490=""),"",U490+V490)</f>
        <v/>
      </c>
      <c r="X490" s="25">
        <f>IF(W490="","",U490/W490)</f>
        <v/>
      </c>
      <c r="Y490" s="25">
        <f>IF(W490="","",V490/W490)</f>
        <v/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19">
        <f>IF(G491="","",E491/G491)</f>
        <v/>
      </c>
      <c r="I491" s="19">
        <f>IF(G491="","",F491/G491)</f>
        <v/>
      </c>
      <c r="J491" s="26">
        <f>IFERROR(IF(OR(E491="",INDEX(E:E,MATCH(DATE(YEAR($A491)-1,MONTH($A491),DAY($A491)),$A:$A,0))=""),"",E491/INDEX(E:E,MATCH(DATE(YEAR($A491)-1,MONTH($A491),DAY($A491)),$A:$A,0))-1),"")</f>
        <v/>
      </c>
      <c r="K491" s="19">
        <f>IFERROR(IF(OR(F491="",INDEX(F:F,MATCH(DATE(YEAR($A491)-1,MONTH($A491),DAY($A491)),$A:$A,0))=""),"",F491/INDEX(F:F,MATCH(DATE(YEAR($A491)-1,MONTH($A491),DAY($A491)),$A:$A,0))-1),"")</f>
        <v/>
      </c>
      <c r="L491" s="19">
        <f>IFERROR(IF(OR(G491="",INDEX(G:G,MATCH(DATE(YEAR($A491)-1,MONTH($A491),DAY($A491)),$A:$A,0))=""),"",G491/INDEX(G:G,MATCH(DATE(YEAR($A491)-1,MONTH($A491),DAY($A491)),$A:$A,0))-1),"")</f>
        <v/>
      </c>
      <c r="M491" s="19">
        <f>IF(OR(E491="",E490=""),"",E491/E490-1)</f>
        <v/>
      </c>
      <c r="N491" s="19">
        <f>IF(OR(F491="",F490=""),"",F491/F490-1)</f>
        <v/>
      </c>
      <c r="O491" s="19">
        <f>IF(OR(G491="",G490=""),"",G491/G490-1)</f>
        <v/>
      </c>
      <c r="P491" s="22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IF(R491="","",P491/R491)</f>
        <v/>
      </c>
      <c r="T491" s="23">
        <f>IF(R491="","",Q491/R491)</f>
        <v/>
      </c>
      <c r="U491" s="24">
        <f>IF(SUMIFS('Daily NSE Equity Options'!$M:$M,'Daily NSE Equity Options'!$A:$A,$A491)=0,"",SUMIFS('Daily NSE Equity Options'!$M:$M,'Daily NSE Equity Options'!$A:$A,$A491))</f>
        <v/>
      </c>
      <c r="V491" s="9">
        <f>IF(SUMIFS('Daily BSE Equity Options'!$M:$M,'Daily BSE Equity Options'!$A:$A,$A491)=0,"",SUMIFS('Daily BSE Equity Options'!$M:$M,'Daily BSE Equity Options'!$A:$A,$A491))</f>
        <v/>
      </c>
      <c r="W491" s="9">
        <f>IF(OR(U491="",V491=""),"",U491+V491)</f>
        <v/>
      </c>
      <c r="X491" s="25">
        <f>IF(W491="","",U491/W491)</f>
        <v/>
      </c>
      <c r="Y491" s="25">
        <f>IF(W491="","",V491/W491)</f>
        <v/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19">
        <f>IF(G492="","",E492/G492)</f>
        <v/>
      </c>
      <c r="I492" s="19">
        <f>IF(G492="","",F492/G492)</f>
        <v/>
      </c>
      <c r="J492" s="26">
        <f>IFERROR(IF(OR(E492="",INDEX(E:E,MATCH(DATE(YEAR($A492)-1,MONTH($A492),DAY($A492)),$A:$A,0))=""),"",E492/INDEX(E:E,MATCH(DATE(YEAR($A492)-1,MONTH($A492),DAY($A492)),$A:$A,0))-1),"")</f>
        <v/>
      </c>
      <c r="K492" s="19">
        <f>IFERROR(IF(OR(F492="",INDEX(F:F,MATCH(DATE(YEAR($A492)-1,MONTH($A492),DAY($A492)),$A:$A,0))=""),"",F492/INDEX(F:F,MATCH(DATE(YEAR($A492)-1,MONTH($A492),DAY($A492)),$A:$A,0))-1),"")</f>
        <v/>
      </c>
      <c r="L492" s="19">
        <f>IFERROR(IF(OR(G492="",INDEX(G:G,MATCH(DATE(YEAR($A492)-1,MONTH($A492),DAY($A492)),$A:$A,0))=""),"",G492/INDEX(G:G,MATCH(DATE(YEAR($A492)-1,MONTH($A492),DAY($A492)),$A:$A,0))-1),"")</f>
        <v/>
      </c>
      <c r="M492" s="19">
        <f>IF(OR(E492="",E491=""),"",E492/E491-1)</f>
        <v/>
      </c>
      <c r="N492" s="19">
        <f>IF(OR(F492="",F491=""),"",F492/F491-1)</f>
        <v/>
      </c>
      <c r="O492" s="19">
        <f>IF(OR(G492="",G491=""),"",G492/G491-1)</f>
        <v/>
      </c>
      <c r="P492" s="22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IF(R492="","",P492/R492)</f>
        <v/>
      </c>
      <c r="T492" s="23">
        <f>IF(R492="","",Q492/R492)</f>
        <v/>
      </c>
      <c r="U492" s="24">
        <f>IF(SUMIFS('Daily NSE Equity Options'!$M:$M,'Daily NSE Equity Options'!$A:$A,$A492)=0,"",SUMIFS('Daily NSE Equity Options'!$M:$M,'Daily NSE Equity Options'!$A:$A,$A492))</f>
        <v/>
      </c>
      <c r="V492" s="9">
        <f>IF(SUMIFS('Daily BSE Equity Options'!$M:$M,'Daily BSE Equity Options'!$A:$A,$A492)=0,"",SUMIFS('Daily BSE Equity Options'!$M:$M,'Daily BSE Equity Options'!$A:$A,$A492))</f>
        <v/>
      </c>
      <c r="W492" s="9">
        <f>IF(OR(U492="",V492=""),"",U492+V492)</f>
        <v/>
      </c>
      <c r="X492" s="25">
        <f>IF(W492="","",U492/W492)</f>
        <v/>
      </c>
      <c r="Y492" s="25">
        <f>IF(W492="","",V492/W492)</f>
        <v/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19">
        <f>IF(G493="","",E493/G493)</f>
        <v/>
      </c>
      <c r="I493" s="19">
        <f>IF(G493="","",F493/G493)</f>
        <v/>
      </c>
      <c r="J493" s="26">
        <f>IFERROR(IF(OR(E493="",INDEX(E:E,MATCH(DATE(YEAR($A493)-1,MONTH($A493),DAY($A493)),$A:$A,0))=""),"",E493/INDEX(E:E,MATCH(DATE(YEAR($A493)-1,MONTH($A493),DAY($A493)),$A:$A,0))-1),"")</f>
        <v/>
      </c>
      <c r="K493" s="19">
        <f>IFERROR(IF(OR(F493="",INDEX(F:F,MATCH(DATE(YEAR($A493)-1,MONTH($A493),DAY($A493)),$A:$A,0))=""),"",F493/INDEX(F:F,MATCH(DATE(YEAR($A493)-1,MONTH($A493),DAY($A493)),$A:$A,0))-1),"")</f>
        <v/>
      </c>
      <c r="L493" s="19">
        <f>IFERROR(IF(OR(G493="",INDEX(G:G,MATCH(DATE(YEAR($A493)-1,MONTH($A493),DAY($A493)),$A:$A,0))=""),"",G493/INDEX(G:G,MATCH(DATE(YEAR($A493)-1,MONTH($A493),DAY($A493)),$A:$A,0))-1),"")</f>
        <v/>
      </c>
      <c r="M493" s="19">
        <f>IF(OR(E493="",E492=""),"",E493/E492-1)</f>
        <v/>
      </c>
      <c r="N493" s="19">
        <f>IF(OR(F493="",F492=""),"",F493/F492-1)</f>
        <v/>
      </c>
      <c r="O493" s="19">
        <f>IF(OR(G493="",G492=""),"",G493/G492-1)</f>
        <v/>
      </c>
      <c r="P493" s="22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IF(R493="","",P493/R493)</f>
        <v/>
      </c>
      <c r="T493" s="23">
        <f>IF(R493="","",Q493/R493)</f>
        <v/>
      </c>
      <c r="U493" s="24">
        <f>IF(SUMIFS('Daily NSE Equity Options'!$M:$M,'Daily NSE Equity Options'!$A:$A,$A493)=0,"",SUMIFS('Daily NSE Equity Options'!$M:$M,'Daily NSE Equity Options'!$A:$A,$A493))</f>
        <v/>
      </c>
      <c r="V493" s="9">
        <f>IF(SUMIFS('Daily BSE Equity Options'!$M:$M,'Daily BSE Equity Options'!$A:$A,$A493)=0,"",SUMIFS('Daily BSE Equity Options'!$M:$M,'Daily BSE Equity Options'!$A:$A,$A493))</f>
        <v/>
      </c>
      <c r="W493" s="9">
        <f>IF(OR(U493="",V493=""),"",U493+V493)</f>
        <v/>
      </c>
      <c r="X493" s="25">
        <f>IF(W493="","",U493/W493)</f>
        <v/>
      </c>
      <c r="Y493" s="25">
        <f>IF(W493="","",V493/W493)</f>
        <v/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19">
        <f>IF(G494="","",E494/G494)</f>
        <v/>
      </c>
      <c r="I494" s="19">
        <f>IF(G494="","",F494/G494)</f>
        <v/>
      </c>
      <c r="J494" s="26">
        <f>IFERROR(IF(OR(E494="",INDEX(E:E,MATCH(DATE(YEAR($A494)-1,MONTH($A494),DAY($A494)),$A:$A,0))=""),"",E494/INDEX(E:E,MATCH(DATE(YEAR($A494)-1,MONTH($A494),DAY($A494)),$A:$A,0))-1),"")</f>
        <v/>
      </c>
      <c r="K494" s="19">
        <f>IFERROR(IF(OR(F494="",INDEX(F:F,MATCH(DATE(YEAR($A494)-1,MONTH($A494),DAY($A494)),$A:$A,0))=""),"",F494/INDEX(F:F,MATCH(DATE(YEAR($A494)-1,MONTH($A494),DAY($A494)),$A:$A,0))-1),"")</f>
        <v/>
      </c>
      <c r="L494" s="19">
        <f>IFERROR(IF(OR(G494="",INDEX(G:G,MATCH(DATE(YEAR($A494)-1,MONTH($A494),DAY($A494)),$A:$A,0))=""),"",G494/INDEX(G:G,MATCH(DATE(YEAR($A494)-1,MONTH($A494),DAY($A494)),$A:$A,0))-1),"")</f>
        <v/>
      </c>
      <c r="M494" s="19">
        <f>IF(OR(E494="",E493=""),"",E494/E493-1)</f>
        <v/>
      </c>
      <c r="N494" s="19">
        <f>IF(OR(F494="",F493=""),"",F494/F493-1)</f>
        <v/>
      </c>
      <c r="O494" s="19">
        <f>IF(OR(G494="",G493=""),"",G494/G493-1)</f>
        <v/>
      </c>
      <c r="P494" s="22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IF(R494="","",P494/R494)</f>
        <v/>
      </c>
      <c r="T494" s="23">
        <f>IF(R494="","",Q494/R494)</f>
        <v/>
      </c>
      <c r="U494" s="24">
        <f>IF(SUMIFS('Daily NSE Equity Options'!$M:$M,'Daily NSE Equity Options'!$A:$A,$A494)=0,"",SUMIFS('Daily NSE Equity Options'!$M:$M,'Daily NSE Equity Options'!$A:$A,$A494))</f>
        <v/>
      </c>
      <c r="V494" s="9">
        <f>IF(SUMIFS('Daily BSE Equity Options'!$M:$M,'Daily BSE Equity Options'!$A:$A,$A494)=0,"",SUMIFS('Daily BSE Equity Options'!$M:$M,'Daily BSE Equity Options'!$A:$A,$A494))</f>
        <v/>
      </c>
      <c r="W494" s="9">
        <f>IF(OR(U494="",V494=""),"",U494+V494)</f>
        <v/>
      </c>
      <c r="X494" s="25">
        <f>IF(W494="","",U494/W494)</f>
        <v/>
      </c>
      <c r="Y494" s="25">
        <f>IF(W494="","",V494/W494)</f>
        <v/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19">
        <f>IF(G495="","",E495/G495)</f>
        <v/>
      </c>
      <c r="I495" s="19">
        <f>IF(G495="","",F495/G495)</f>
        <v/>
      </c>
      <c r="J495" s="26">
        <f>IFERROR(IF(OR(E495="",INDEX(E:E,MATCH(DATE(YEAR($A495)-1,MONTH($A495),DAY($A495)),$A:$A,0))=""),"",E495/INDEX(E:E,MATCH(DATE(YEAR($A495)-1,MONTH($A495),DAY($A495)),$A:$A,0))-1),"")</f>
        <v/>
      </c>
      <c r="K495" s="19">
        <f>IFERROR(IF(OR(F495="",INDEX(F:F,MATCH(DATE(YEAR($A495)-1,MONTH($A495),DAY($A495)),$A:$A,0))=""),"",F495/INDEX(F:F,MATCH(DATE(YEAR($A495)-1,MONTH($A495),DAY($A495)),$A:$A,0))-1),"")</f>
        <v/>
      </c>
      <c r="L495" s="19">
        <f>IFERROR(IF(OR(G495="",INDEX(G:G,MATCH(DATE(YEAR($A495)-1,MONTH($A495),DAY($A495)),$A:$A,0))=""),"",G495/INDEX(G:G,MATCH(DATE(YEAR($A495)-1,MONTH($A495),DAY($A495)),$A:$A,0))-1),"")</f>
        <v/>
      </c>
      <c r="M495" s="19">
        <f>IF(OR(E495="",E494=""),"",E495/E494-1)</f>
        <v/>
      </c>
      <c r="N495" s="19">
        <f>IF(OR(F495="",F494=""),"",F495/F494-1)</f>
        <v/>
      </c>
      <c r="O495" s="19">
        <f>IF(OR(G495="",G494=""),"",G495/G494-1)</f>
        <v/>
      </c>
      <c r="P495" s="22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IF(R495="","",P495/R495)</f>
        <v/>
      </c>
      <c r="T495" s="23">
        <f>IF(R495="","",Q495/R495)</f>
        <v/>
      </c>
      <c r="U495" s="24">
        <f>IF(SUMIFS('Daily NSE Equity Options'!$M:$M,'Daily NSE Equity Options'!$A:$A,$A495)=0,"",SUMIFS('Daily NSE Equity Options'!$M:$M,'Daily NSE Equity Options'!$A:$A,$A495))</f>
        <v/>
      </c>
      <c r="V495" s="9">
        <f>IF(SUMIFS('Daily BSE Equity Options'!$M:$M,'Daily BSE Equity Options'!$A:$A,$A495)=0,"",SUMIFS('Daily BSE Equity Options'!$M:$M,'Daily BSE Equity Options'!$A:$A,$A495))</f>
        <v/>
      </c>
      <c r="W495" s="9">
        <f>IF(OR(U495="",V495=""),"",U495+V495)</f>
        <v/>
      </c>
      <c r="X495" s="25">
        <f>IF(W495="","",U495/W495)</f>
        <v/>
      </c>
      <c r="Y495" s="25">
        <f>IF(W495="","",V495/W495)</f>
        <v/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19">
        <f>IF(G496="","",E496/G496)</f>
        <v/>
      </c>
      <c r="I496" s="19">
        <f>IF(G496="","",F496/G496)</f>
        <v/>
      </c>
      <c r="J496" s="26">
        <f>IFERROR(IF(OR(E496="",INDEX(E:E,MATCH(DATE(YEAR($A496)-1,MONTH($A496),DAY($A496)),$A:$A,0))=""),"",E496/INDEX(E:E,MATCH(DATE(YEAR($A496)-1,MONTH($A496),DAY($A496)),$A:$A,0))-1),"")</f>
        <v/>
      </c>
      <c r="K496" s="19">
        <f>IFERROR(IF(OR(F496="",INDEX(F:F,MATCH(DATE(YEAR($A496)-1,MONTH($A496),DAY($A496)),$A:$A,0))=""),"",F496/INDEX(F:F,MATCH(DATE(YEAR($A496)-1,MONTH($A496),DAY($A496)),$A:$A,0))-1),"")</f>
        <v/>
      </c>
      <c r="L496" s="19">
        <f>IFERROR(IF(OR(G496="",INDEX(G:G,MATCH(DATE(YEAR($A496)-1,MONTH($A496),DAY($A496)),$A:$A,0))=""),"",G496/INDEX(G:G,MATCH(DATE(YEAR($A496)-1,MONTH($A496),DAY($A496)),$A:$A,0))-1),"")</f>
        <v/>
      </c>
      <c r="M496" s="19">
        <f>IF(OR(E496="",E495=""),"",E496/E495-1)</f>
        <v/>
      </c>
      <c r="N496" s="19">
        <f>IF(OR(F496="",F495=""),"",F496/F495-1)</f>
        <v/>
      </c>
      <c r="O496" s="19">
        <f>IF(OR(G496="",G495=""),"",G496/G495-1)</f>
        <v/>
      </c>
      <c r="P496" s="22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IF(R496="","",P496/R496)</f>
        <v/>
      </c>
      <c r="T496" s="23">
        <f>IF(R496="","",Q496/R496)</f>
        <v/>
      </c>
      <c r="U496" s="24">
        <f>IF(SUMIFS('Daily NSE Equity Options'!$M:$M,'Daily NSE Equity Options'!$A:$A,$A496)=0,"",SUMIFS('Daily NSE Equity Options'!$M:$M,'Daily NSE Equity Options'!$A:$A,$A496))</f>
        <v/>
      </c>
      <c r="V496" s="9">
        <f>IF(SUMIFS('Daily BSE Equity Options'!$M:$M,'Daily BSE Equity Options'!$A:$A,$A496)=0,"",SUMIFS('Daily BSE Equity Options'!$M:$M,'Daily BSE Equity Options'!$A:$A,$A496))</f>
        <v/>
      </c>
      <c r="W496" s="9">
        <f>IF(OR(U496="",V496=""),"",U496+V496)</f>
        <v/>
      </c>
      <c r="X496" s="25">
        <f>IF(W496="","",U496/W496)</f>
        <v/>
      </c>
      <c r="Y496" s="25">
        <f>IF(W496="","",V496/W496)</f>
        <v/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19">
        <f>IF(G497="","",E497/G497)</f>
        <v/>
      </c>
      <c r="I497" s="19">
        <f>IF(G497="","",F497/G497)</f>
        <v/>
      </c>
      <c r="J497" s="26">
        <f>IFERROR(IF(OR(E497="",INDEX(E:E,MATCH(DATE(YEAR($A497)-1,MONTH($A497),DAY($A497)),$A:$A,0))=""),"",E497/INDEX(E:E,MATCH(DATE(YEAR($A497)-1,MONTH($A497),DAY($A497)),$A:$A,0))-1),"")</f>
        <v/>
      </c>
      <c r="K497" s="19">
        <f>IFERROR(IF(OR(F497="",INDEX(F:F,MATCH(DATE(YEAR($A497)-1,MONTH($A497),DAY($A497)),$A:$A,0))=""),"",F497/INDEX(F:F,MATCH(DATE(YEAR($A497)-1,MONTH($A497),DAY($A497)),$A:$A,0))-1),"")</f>
        <v/>
      </c>
      <c r="L497" s="19">
        <f>IFERROR(IF(OR(G497="",INDEX(G:G,MATCH(DATE(YEAR($A497)-1,MONTH($A497),DAY($A497)),$A:$A,0))=""),"",G497/INDEX(G:G,MATCH(DATE(YEAR($A497)-1,MONTH($A497),DAY($A497)),$A:$A,0))-1),"")</f>
        <v/>
      </c>
      <c r="M497" s="19">
        <f>IF(OR(E497="",E496=""),"",E497/E496-1)</f>
        <v/>
      </c>
      <c r="N497" s="19">
        <f>IF(OR(F497="",F496=""),"",F497/F496-1)</f>
        <v/>
      </c>
      <c r="O497" s="19">
        <f>IF(OR(G497="",G496=""),"",G497/G496-1)</f>
        <v/>
      </c>
      <c r="P497" s="22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IF(R497="","",P497/R497)</f>
        <v/>
      </c>
      <c r="T497" s="23">
        <f>IF(R497="","",Q497/R497)</f>
        <v/>
      </c>
      <c r="U497" s="24">
        <f>IF(SUMIFS('Daily NSE Equity Options'!$M:$M,'Daily NSE Equity Options'!$A:$A,$A497)=0,"",SUMIFS('Daily NSE Equity Options'!$M:$M,'Daily NSE Equity Options'!$A:$A,$A497))</f>
        <v/>
      </c>
      <c r="V497" s="9">
        <f>IF(SUMIFS('Daily BSE Equity Options'!$M:$M,'Daily BSE Equity Options'!$A:$A,$A497)=0,"",SUMIFS('Daily BSE Equity Options'!$M:$M,'Daily BSE Equity Options'!$A:$A,$A497))</f>
        <v/>
      </c>
      <c r="W497" s="9">
        <f>IF(OR(U497="",V497=""),"",U497+V497)</f>
        <v/>
      </c>
      <c r="X497" s="25">
        <f>IF(W497="","",U497/W497)</f>
        <v/>
      </c>
      <c r="Y497" s="25">
        <f>IF(W497="","",V497/W497)</f>
        <v/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19">
        <f>IF(G498="","",E498/G498)</f>
        <v/>
      </c>
      <c r="I498" s="19">
        <f>IF(G498="","",F498/G498)</f>
        <v/>
      </c>
      <c r="J498" s="26">
        <f>IFERROR(IF(OR(E498="",INDEX(E:E,MATCH(DATE(YEAR($A498)-1,MONTH($A498),DAY($A498)),$A:$A,0))=""),"",E498/INDEX(E:E,MATCH(DATE(YEAR($A498)-1,MONTH($A498),DAY($A498)),$A:$A,0))-1),"")</f>
        <v/>
      </c>
      <c r="K498" s="19">
        <f>IFERROR(IF(OR(F498="",INDEX(F:F,MATCH(DATE(YEAR($A498)-1,MONTH($A498),DAY($A498)),$A:$A,0))=""),"",F498/INDEX(F:F,MATCH(DATE(YEAR($A498)-1,MONTH($A498),DAY($A498)),$A:$A,0))-1),"")</f>
        <v/>
      </c>
      <c r="L498" s="19">
        <f>IFERROR(IF(OR(G498="",INDEX(G:G,MATCH(DATE(YEAR($A498)-1,MONTH($A498),DAY($A498)),$A:$A,0))=""),"",G498/INDEX(G:G,MATCH(DATE(YEAR($A498)-1,MONTH($A498),DAY($A498)),$A:$A,0))-1),"")</f>
        <v/>
      </c>
      <c r="M498" s="19">
        <f>IF(OR(E498="",E497=""),"",E498/E497-1)</f>
        <v/>
      </c>
      <c r="N498" s="19">
        <f>IF(OR(F498="",F497=""),"",F498/F497-1)</f>
        <v/>
      </c>
      <c r="O498" s="19">
        <f>IF(OR(G498="",G497=""),"",G498/G497-1)</f>
        <v/>
      </c>
      <c r="P498" s="22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IF(R498="","",P498/R498)</f>
        <v/>
      </c>
      <c r="T498" s="23">
        <f>IF(R498="","",Q498/R498)</f>
        <v/>
      </c>
      <c r="U498" s="24">
        <f>IF(SUMIFS('Daily NSE Equity Options'!$M:$M,'Daily NSE Equity Options'!$A:$A,$A498)=0,"",SUMIFS('Daily NSE Equity Options'!$M:$M,'Daily NSE Equity Options'!$A:$A,$A498))</f>
        <v/>
      </c>
      <c r="V498" s="9">
        <f>IF(SUMIFS('Daily BSE Equity Options'!$M:$M,'Daily BSE Equity Options'!$A:$A,$A498)=0,"",SUMIFS('Daily BSE Equity Options'!$M:$M,'Daily BSE Equity Options'!$A:$A,$A498))</f>
        <v/>
      </c>
      <c r="W498" s="9">
        <f>IF(OR(U498="",V498=""),"",U498+V498)</f>
        <v/>
      </c>
      <c r="X498" s="25">
        <f>IF(W498="","",U498/W498)</f>
        <v/>
      </c>
      <c r="Y498" s="25">
        <f>IF(W498="","",V498/W498)</f>
        <v/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19">
        <f>IF(G499="","",E499/G499)</f>
        <v/>
      </c>
      <c r="I499" s="19">
        <f>IF(G499="","",F499/G499)</f>
        <v/>
      </c>
      <c r="J499" s="26">
        <f>IFERROR(IF(OR(E499="",INDEX(E:E,MATCH(DATE(YEAR($A499)-1,MONTH($A499),DAY($A499)),$A:$A,0))=""),"",E499/INDEX(E:E,MATCH(DATE(YEAR($A499)-1,MONTH($A499),DAY($A499)),$A:$A,0))-1),"")</f>
        <v/>
      </c>
      <c r="K499" s="19">
        <f>IFERROR(IF(OR(F499="",INDEX(F:F,MATCH(DATE(YEAR($A499)-1,MONTH($A499),DAY($A499)),$A:$A,0))=""),"",F499/INDEX(F:F,MATCH(DATE(YEAR($A499)-1,MONTH($A499),DAY($A499)),$A:$A,0))-1),"")</f>
        <v/>
      </c>
      <c r="L499" s="19">
        <f>IFERROR(IF(OR(G499="",INDEX(G:G,MATCH(DATE(YEAR($A499)-1,MONTH($A499),DAY($A499)),$A:$A,0))=""),"",G499/INDEX(G:G,MATCH(DATE(YEAR($A499)-1,MONTH($A499),DAY($A499)),$A:$A,0))-1),"")</f>
        <v/>
      </c>
      <c r="M499" s="19">
        <f>IF(OR(E499="",E498=""),"",E499/E498-1)</f>
        <v/>
      </c>
      <c r="N499" s="19">
        <f>IF(OR(F499="",F498=""),"",F499/F498-1)</f>
        <v/>
      </c>
      <c r="O499" s="19">
        <f>IF(OR(G499="",G498=""),"",G499/G498-1)</f>
        <v/>
      </c>
      <c r="P499" s="22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IF(R499="","",P499/R499)</f>
        <v/>
      </c>
      <c r="T499" s="23">
        <f>IF(R499="","",Q499/R499)</f>
        <v/>
      </c>
      <c r="U499" s="24">
        <f>IF(SUMIFS('Daily NSE Equity Options'!$M:$M,'Daily NSE Equity Options'!$A:$A,$A499)=0,"",SUMIFS('Daily NSE Equity Options'!$M:$M,'Daily NSE Equity Options'!$A:$A,$A499))</f>
        <v/>
      </c>
      <c r="V499" s="9">
        <f>IF(SUMIFS('Daily BSE Equity Options'!$M:$M,'Daily BSE Equity Options'!$A:$A,$A499)=0,"",SUMIFS('Daily BSE Equity Options'!$M:$M,'Daily BSE Equity Options'!$A:$A,$A499))</f>
        <v/>
      </c>
      <c r="W499" s="9">
        <f>IF(OR(U499="",V499=""),"",U499+V499)</f>
        <v/>
      </c>
      <c r="X499" s="25">
        <f>IF(W499="","",U499/W499)</f>
        <v/>
      </c>
      <c r="Y499" s="25">
        <f>IF(W499="","",V499/W499)</f>
        <v/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19">
        <f>IF(G500="","",E500/G500)</f>
        <v/>
      </c>
      <c r="I500" s="19">
        <f>IF(G500="","",F500/G500)</f>
        <v/>
      </c>
      <c r="J500" s="26">
        <f>IFERROR(IF(OR(E500="",INDEX(E:E,MATCH(DATE(YEAR($A500)-1,MONTH($A500),DAY($A500)),$A:$A,0))=""),"",E500/INDEX(E:E,MATCH(DATE(YEAR($A500)-1,MONTH($A500),DAY($A500)),$A:$A,0))-1),"")</f>
        <v/>
      </c>
      <c r="K500" s="19">
        <f>IFERROR(IF(OR(F500="",INDEX(F:F,MATCH(DATE(YEAR($A500)-1,MONTH($A500),DAY($A500)),$A:$A,0))=""),"",F500/INDEX(F:F,MATCH(DATE(YEAR($A500)-1,MONTH($A500),DAY($A500)),$A:$A,0))-1),"")</f>
        <v/>
      </c>
      <c r="L500" s="19">
        <f>IFERROR(IF(OR(G500="",INDEX(G:G,MATCH(DATE(YEAR($A500)-1,MONTH($A500),DAY($A500)),$A:$A,0))=""),"",G500/INDEX(G:G,MATCH(DATE(YEAR($A500)-1,MONTH($A500),DAY($A500)),$A:$A,0))-1),"")</f>
        <v/>
      </c>
      <c r="M500" s="19">
        <f>IF(OR(E500="",E499=""),"",E500/E499-1)</f>
        <v/>
      </c>
      <c r="N500" s="19">
        <f>IF(OR(F500="",F499=""),"",F500/F499-1)</f>
        <v/>
      </c>
      <c r="O500" s="19">
        <f>IF(OR(G500="",G499=""),"",G500/G499-1)</f>
        <v/>
      </c>
      <c r="P500" s="22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IF(R500="","",P500/R500)</f>
        <v/>
      </c>
      <c r="T500" s="23">
        <f>IF(R500="","",Q500/R500)</f>
        <v/>
      </c>
      <c r="U500" s="24">
        <f>IF(SUMIFS('Daily NSE Equity Options'!$M:$M,'Daily NSE Equity Options'!$A:$A,$A500)=0,"",SUMIFS('Daily NSE Equity Options'!$M:$M,'Daily NSE Equity Options'!$A:$A,$A500))</f>
        <v/>
      </c>
      <c r="V500" s="9">
        <f>IF(SUMIFS('Daily BSE Equity Options'!$M:$M,'Daily BSE Equity Options'!$A:$A,$A500)=0,"",SUMIFS('Daily BSE Equity Options'!$M:$M,'Daily BSE Equity Options'!$A:$A,$A500))</f>
        <v/>
      </c>
      <c r="W500" s="9">
        <f>IF(OR(U500="",V500=""),"",U500+V500)</f>
        <v/>
      </c>
      <c r="X500" s="25">
        <f>IF(W500="","",U500/W500)</f>
        <v/>
      </c>
      <c r="Y500" s="25">
        <f>IF(W500="","",V500/W500)</f>
        <v/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19">
        <f>IF(G501="","",E501/G501)</f>
        <v/>
      </c>
      <c r="I501" s="19">
        <f>IF(G501="","",F501/G501)</f>
        <v/>
      </c>
      <c r="J501" s="26">
        <f>IFERROR(IF(OR(E501="",INDEX(E:E,MATCH(DATE(YEAR($A501)-1,MONTH($A501),DAY($A501)),$A:$A,0))=""),"",E501/INDEX(E:E,MATCH(DATE(YEAR($A501)-1,MONTH($A501),DAY($A501)),$A:$A,0))-1),"")</f>
        <v/>
      </c>
      <c r="K501" s="19">
        <f>IFERROR(IF(OR(F501="",INDEX(F:F,MATCH(DATE(YEAR($A501)-1,MONTH($A501),DAY($A501)),$A:$A,0))=""),"",F501/INDEX(F:F,MATCH(DATE(YEAR($A501)-1,MONTH($A501),DAY($A501)),$A:$A,0))-1),"")</f>
        <v/>
      </c>
      <c r="L501" s="19">
        <f>IFERROR(IF(OR(G501="",INDEX(G:G,MATCH(DATE(YEAR($A501)-1,MONTH($A501),DAY($A501)),$A:$A,0))=""),"",G501/INDEX(G:G,MATCH(DATE(YEAR($A501)-1,MONTH($A501),DAY($A501)),$A:$A,0))-1),"")</f>
        <v/>
      </c>
      <c r="M501" s="19">
        <f>IF(OR(E501="",E500=""),"",E501/E500-1)</f>
        <v/>
      </c>
      <c r="N501" s="19">
        <f>IF(OR(F501="",F500=""),"",F501/F500-1)</f>
        <v/>
      </c>
      <c r="O501" s="19">
        <f>IF(OR(G501="",G500=""),"",G501/G500-1)</f>
        <v/>
      </c>
      <c r="P501" s="22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IF(R501="","",P501/R501)</f>
        <v/>
      </c>
      <c r="T501" s="23">
        <f>IF(R501="","",Q501/R501)</f>
        <v/>
      </c>
      <c r="U501" s="24">
        <f>IF(SUMIFS('Daily NSE Equity Options'!$M:$M,'Daily NSE Equity Options'!$A:$A,$A501)=0,"",SUMIFS('Daily NSE Equity Options'!$M:$M,'Daily NSE Equity Options'!$A:$A,$A501))</f>
        <v/>
      </c>
      <c r="V501" s="9">
        <f>IF(SUMIFS('Daily BSE Equity Options'!$M:$M,'Daily BSE Equity Options'!$A:$A,$A501)=0,"",SUMIFS('Daily BSE Equity Options'!$M:$M,'Daily BSE Equity Options'!$A:$A,$A501))</f>
        <v/>
      </c>
      <c r="W501" s="9">
        <f>IF(OR(U501="",V501=""),"",U501+V501)</f>
        <v/>
      </c>
      <c r="X501" s="25">
        <f>IF(W501="","",U501/W501)</f>
        <v/>
      </c>
      <c r="Y501" s="25">
        <f>IF(W501="","",V501/W501)</f>
        <v/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19">
        <f>IF(G502="","",E502/G502)</f>
        <v/>
      </c>
      <c r="I502" s="19">
        <f>IF(G502="","",F502/G502)</f>
        <v/>
      </c>
      <c r="J502" s="26">
        <f>IFERROR(IF(OR(E502="",INDEX(E:E,MATCH(DATE(YEAR($A502)-1,MONTH($A502),DAY($A502)),$A:$A,0))=""),"",E502/INDEX(E:E,MATCH(DATE(YEAR($A502)-1,MONTH($A502),DAY($A502)),$A:$A,0))-1),"")</f>
        <v/>
      </c>
      <c r="K502" s="19">
        <f>IFERROR(IF(OR(F502="",INDEX(F:F,MATCH(DATE(YEAR($A502)-1,MONTH($A502),DAY($A502)),$A:$A,0))=""),"",F502/INDEX(F:F,MATCH(DATE(YEAR($A502)-1,MONTH($A502),DAY($A502)),$A:$A,0))-1),"")</f>
        <v/>
      </c>
      <c r="L502" s="19">
        <f>IFERROR(IF(OR(G502="",INDEX(G:G,MATCH(DATE(YEAR($A502)-1,MONTH($A502),DAY($A502)),$A:$A,0))=""),"",G502/INDEX(G:G,MATCH(DATE(YEAR($A502)-1,MONTH($A502),DAY($A502)),$A:$A,0))-1),"")</f>
        <v/>
      </c>
      <c r="M502" s="19">
        <f>IF(OR(E502="",E501=""),"",E502/E501-1)</f>
        <v/>
      </c>
      <c r="N502" s="19">
        <f>IF(OR(F502="",F501=""),"",F502/F501-1)</f>
        <v/>
      </c>
      <c r="O502" s="19">
        <f>IF(OR(G502="",G501=""),"",G502/G501-1)</f>
        <v/>
      </c>
      <c r="P502" s="22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IF(R502="","",P502/R502)</f>
        <v/>
      </c>
      <c r="T502" s="23">
        <f>IF(R502="","",Q502/R502)</f>
        <v/>
      </c>
      <c r="U502" s="24">
        <f>IF(SUMIFS('Daily NSE Equity Options'!$M:$M,'Daily NSE Equity Options'!$A:$A,$A502)=0,"",SUMIFS('Daily NSE Equity Options'!$M:$M,'Daily NSE Equity Options'!$A:$A,$A502))</f>
        <v/>
      </c>
      <c r="V502" s="9">
        <f>IF(SUMIFS('Daily BSE Equity Options'!$M:$M,'Daily BSE Equity Options'!$A:$A,$A502)=0,"",SUMIFS('Daily BSE Equity Options'!$M:$M,'Daily BSE Equity Options'!$A:$A,$A502))</f>
        <v/>
      </c>
      <c r="W502" s="9">
        <f>IF(OR(U502="",V502=""),"",U502+V502)</f>
        <v/>
      </c>
      <c r="X502" s="25">
        <f>IF(W502="","",U502/W502)</f>
        <v/>
      </c>
      <c r="Y502" s="25">
        <f>IF(W502="","",V502/W502)</f>
        <v/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19">
        <f>IF(G503="","",E503/G503)</f>
        <v/>
      </c>
      <c r="I503" s="19">
        <f>IF(G503="","",F503/G503)</f>
        <v/>
      </c>
      <c r="J503" s="26">
        <f>IFERROR(IF(OR(E503="",INDEX(E:E,MATCH(DATE(YEAR($A503)-1,MONTH($A503),DAY($A503)),$A:$A,0))=""),"",E503/INDEX(E:E,MATCH(DATE(YEAR($A503)-1,MONTH($A503),DAY($A503)),$A:$A,0))-1),"")</f>
        <v/>
      </c>
      <c r="K503" s="19">
        <f>IFERROR(IF(OR(F503="",INDEX(F:F,MATCH(DATE(YEAR($A503)-1,MONTH($A503),DAY($A503)),$A:$A,0))=""),"",F503/INDEX(F:F,MATCH(DATE(YEAR($A503)-1,MONTH($A503),DAY($A503)),$A:$A,0))-1),"")</f>
        <v/>
      </c>
      <c r="L503" s="19">
        <f>IFERROR(IF(OR(G503="",INDEX(G:G,MATCH(DATE(YEAR($A503)-1,MONTH($A503),DAY($A503)),$A:$A,0))=""),"",G503/INDEX(G:G,MATCH(DATE(YEAR($A503)-1,MONTH($A503),DAY($A503)),$A:$A,0))-1),"")</f>
        <v/>
      </c>
      <c r="M503" s="19">
        <f>IF(OR(E503="",E502=""),"",E503/E502-1)</f>
        <v/>
      </c>
      <c r="N503" s="19">
        <f>IF(OR(F503="",F502=""),"",F503/F502-1)</f>
        <v/>
      </c>
      <c r="O503" s="19">
        <f>IF(OR(G503="",G502=""),"",G503/G502-1)</f>
        <v/>
      </c>
      <c r="P503" s="22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IF(R503="","",P503/R503)</f>
        <v/>
      </c>
      <c r="T503" s="23">
        <f>IF(R503="","",Q503/R503)</f>
        <v/>
      </c>
      <c r="U503" s="24">
        <f>IF(SUMIFS('Daily NSE Equity Options'!$M:$M,'Daily NSE Equity Options'!$A:$A,$A503)=0,"",SUMIFS('Daily NSE Equity Options'!$M:$M,'Daily NSE Equity Options'!$A:$A,$A503))</f>
        <v/>
      </c>
      <c r="V503" s="9">
        <f>IF(SUMIFS('Daily BSE Equity Options'!$M:$M,'Daily BSE Equity Options'!$A:$A,$A503)=0,"",SUMIFS('Daily BSE Equity Options'!$M:$M,'Daily BSE Equity Options'!$A:$A,$A503))</f>
        <v/>
      </c>
      <c r="W503" s="9">
        <f>IF(OR(U503="",V503=""),"",U503+V503)</f>
        <v/>
      </c>
      <c r="X503" s="25">
        <f>IF(W503="","",U503/W503)</f>
        <v/>
      </c>
      <c r="Y503" s="25">
        <f>IF(W503="","",V503/W503)</f>
        <v/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19">
        <f>IF(G504="","",E504/G504)</f>
        <v/>
      </c>
      <c r="I504" s="19">
        <f>IF(G504="","",F504/G504)</f>
        <v/>
      </c>
      <c r="J504" s="26">
        <f>IFERROR(IF(OR(E504="",INDEX(E:E,MATCH(DATE(YEAR($A504)-1,MONTH($A504),DAY($A504)),$A:$A,0))=""),"",E504/INDEX(E:E,MATCH(DATE(YEAR($A504)-1,MONTH($A504),DAY($A504)),$A:$A,0))-1),"")</f>
        <v/>
      </c>
      <c r="K504" s="19">
        <f>IFERROR(IF(OR(F504="",INDEX(F:F,MATCH(DATE(YEAR($A504)-1,MONTH($A504),DAY($A504)),$A:$A,0))=""),"",F504/INDEX(F:F,MATCH(DATE(YEAR($A504)-1,MONTH($A504),DAY($A504)),$A:$A,0))-1),"")</f>
        <v/>
      </c>
      <c r="L504" s="19">
        <f>IFERROR(IF(OR(G504="",INDEX(G:G,MATCH(DATE(YEAR($A504)-1,MONTH($A504),DAY($A504)),$A:$A,0))=""),"",G504/INDEX(G:G,MATCH(DATE(YEAR($A504)-1,MONTH($A504),DAY($A504)),$A:$A,0))-1),"")</f>
        <v/>
      </c>
      <c r="M504" s="19">
        <f>IF(OR(E504="",E503=""),"",E504/E503-1)</f>
        <v/>
      </c>
      <c r="N504" s="19">
        <f>IF(OR(F504="",F503=""),"",F504/F503-1)</f>
        <v/>
      </c>
      <c r="O504" s="19">
        <f>IF(OR(G504="",G503=""),"",G504/G503-1)</f>
        <v/>
      </c>
      <c r="P504" s="22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IF(R504="","",P504/R504)</f>
        <v/>
      </c>
      <c r="T504" s="23">
        <f>IF(R504="","",Q504/R504)</f>
        <v/>
      </c>
      <c r="U504" s="24">
        <f>IF(SUMIFS('Daily NSE Equity Options'!$M:$M,'Daily NSE Equity Options'!$A:$A,$A504)=0,"",SUMIFS('Daily NSE Equity Options'!$M:$M,'Daily NSE Equity Options'!$A:$A,$A504))</f>
        <v/>
      </c>
      <c r="V504" s="9">
        <f>IF(SUMIFS('Daily BSE Equity Options'!$M:$M,'Daily BSE Equity Options'!$A:$A,$A504)=0,"",SUMIFS('Daily BSE Equity Options'!$M:$M,'Daily BSE Equity Options'!$A:$A,$A504))</f>
        <v/>
      </c>
      <c r="W504" s="9">
        <f>IF(OR(U504="",V504=""),"",U504+V504)</f>
        <v/>
      </c>
      <c r="X504" s="25">
        <f>IF(W504="","",U504/W504)</f>
        <v/>
      </c>
      <c r="Y504" s="25">
        <f>IF(W504="","",V504/W504)</f>
        <v/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19">
        <f>IF(G505="","",E505/G505)</f>
        <v/>
      </c>
      <c r="I505" s="19">
        <f>IF(G505="","",F505/G505)</f>
        <v/>
      </c>
      <c r="J505" s="26">
        <f>IFERROR(IF(OR(E505="",INDEX(E:E,MATCH(DATE(YEAR($A505)-1,MONTH($A505),DAY($A505)),$A:$A,0))=""),"",E505/INDEX(E:E,MATCH(DATE(YEAR($A505)-1,MONTH($A505),DAY($A505)),$A:$A,0))-1),"")</f>
        <v/>
      </c>
      <c r="K505" s="19">
        <f>IFERROR(IF(OR(F505="",INDEX(F:F,MATCH(DATE(YEAR($A505)-1,MONTH($A505),DAY($A505)),$A:$A,0))=""),"",F505/INDEX(F:F,MATCH(DATE(YEAR($A505)-1,MONTH($A505),DAY($A505)),$A:$A,0))-1),"")</f>
        <v/>
      </c>
      <c r="L505" s="19">
        <f>IFERROR(IF(OR(G505="",INDEX(G:G,MATCH(DATE(YEAR($A505)-1,MONTH($A505),DAY($A505)),$A:$A,0))=""),"",G505/INDEX(G:G,MATCH(DATE(YEAR($A505)-1,MONTH($A505),DAY($A505)),$A:$A,0))-1),"")</f>
        <v/>
      </c>
      <c r="M505" s="19">
        <f>IF(OR(E505="",E504=""),"",E505/E504-1)</f>
        <v/>
      </c>
      <c r="N505" s="19">
        <f>IF(OR(F505="",F504=""),"",F505/F504-1)</f>
        <v/>
      </c>
      <c r="O505" s="19">
        <f>IF(OR(G505="",G504=""),"",G505/G504-1)</f>
        <v/>
      </c>
      <c r="P505" s="22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IF(R505="","",P505/R505)</f>
        <v/>
      </c>
      <c r="T505" s="23">
        <f>IF(R505="","",Q505/R505)</f>
        <v/>
      </c>
      <c r="U505" s="24">
        <f>IF(SUMIFS('Daily NSE Equity Options'!$M:$M,'Daily NSE Equity Options'!$A:$A,$A505)=0,"",SUMIFS('Daily NSE Equity Options'!$M:$M,'Daily NSE Equity Options'!$A:$A,$A505))</f>
        <v/>
      </c>
      <c r="V505" s="9">
        <f>IF(SUMIFS('Daily BSE Equity Options'!$M:$M,'Daily BSE Equity Options'!$A:$A,$A505)=0,"",SUMIFS('Daily BSE Equity Options'!$M:$M,'Daily BSE Equity Options'!$A:$A,$A505))</f>
        <v/>
      </c>
      <c r="W505" s="9">
        <f>IF(OR(U505="",V505=""),"",U505+V505)</f>
        <v/>
      </c>
      <c r="X505" s="25">
        <f>IF(W505="","",U505/W505)</f>
        <v/>
      </c>
      <c r="Y505" s="25">
        <f>IF(W505="","",V505/W505)</f>
        <v/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19">
        <f>IF(G506="","",E506/G506)</f>
        <v/>
      </c>
      <c r="I506" s="19">
        <f>IF(G506="","",F506/G506)</f>
        <v/>
      </c>
      <c r="J506" s="26">
        <f>IFERROR(IF(OR(E506="",INDEX(E:E,MATCH(DATE(YEAR($A506)-1,MONTH($A506),DAY($A506)),$A:$A,0))=""),"",E506/INDEX(E:E,MATCH(DATE(YEAR($A506)-1,MONTH($A506),DAY($A506)),$A:$A,0))-1),"")</f>
        <v/>
      </c>
      <c r="K506" s="19">
        <f>IFERROR(IF(OR(F506="",INDEX(F:F,MATCH(DATE(YEAR($A506)-1,MONTH($A506),DAY($A506)),$A:$A,0))=""),"",F506/INDEX(F:F,MATCH(DATE(YEAR($A506)-1,MONTH($A506),DAY($A506)),$A:$A,0))-1),"")</f>
        <v/>
      </c>
      <c r="L506" s="19">
        <f>IFERROR(IF(OR(G506="",INDEX(G:G,MATCH(DATE(YEAR($A506)-1,MONTH($A506),DAY($A506)),$A:$A,0))=""),"",G506/INDEX(G:G,MATCH(DATE(YEAR($A506)-1,MONTH($A506),DAY($A506)),$A:$A,0))-1),"")</f>
        <v/>
      </c>
      <c r="M506" s="19">
        <f>IF(OR(E506="",E505=""),"",E506/E505-1)</f>
        <v/>
      </c>
      <c r="N506" s="19">
        <f>IF(OR(F506="",F505=""),"",F506/F505-1)</f>
        <v/>
      </c>
      <c r="O506" s="19">
        <f>IF(OR(G506="",G505=""),"",G506/G505-1)</f>
        <v/>
      </c>
      <c r="P506" s="22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IF(R506="","",P506/R506)</f>
        <v/>
      </c>
      <c r="T506" s="23">
        <f>IF(R506="","",Q506/R506)</f>
        <v/>
      </c>
      <c r="U506" s="24">
        <f>IF(SUMIFS('Daily NSE Equity Options'!$M:$M,'Daily NSE Equity Options'!$A:$A,$A506)=0,"",SUMIFS('Daily NSE Equity Options'!$M:$M,'Daily NSE Equity Options'!$A:$A,$A506))</f>
        <v/>
      </c>
      <c r="V506" s="9">
        <f>IF(SUMIFS('Daily BSE Equity Options'!$M:$M,'Daily BSE Equity Options'!$A:$A,$A506)=0,"",SUMIFS('Daily BSE Equity Options'!$M:$M,'Daily BSE Equity Options'!$A:$A,$A506))</f>
        <v/>
      </c>
      <c r="W506" s="9">
        <f>IF(OR(U506="",V506=""),"",U506+V506)</f>
        <v/>
      </c>
      <c r="X506" s="25">
        <f>IF(W506="","",U506/W506)</f>
        <v/>
      </c>
      <c r="Y506" s="25">
        <f>IF(W506="","",V506/W506)</f>
        <v/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19">
        <f>IF(G507="","",E507/G507)</f>
        <v/>
      </c>
      <c r="I507" s="19">
        <f>IF(G507="","",F507/G507)</f>
        <v/>
      </c>
      <c r="J507" s="26">
        <f>IFERROR(IF(OR(E507="",INDEX(E:E,MATCH(DATE(YEAR($A507)-1,MONTH($A507),DAY($A507)),$A:$A,0))=""),"",E507/INDEX(E:E,MATCH(DATE(YEAR($A507)-1,MONTH($A507),DAY($A507)),$A:$A,0))-1),"")</f>
        <v/>
      </c>
      <c r="K507" s="19">
        <f>IFERROR(IF(OR(F507="",INDEX(F:F,MATCH(DATE(YEAR($A507)-1,MONTH($A507),DAY($A507)),$A:$A,0))=""),"",F507/INDEX(F:F,MATCH(DATE(YEAR($A507)-1,MONTH($A507),DAY($A507)),$A:$A,0))-1),"")</f>
        <v/>
      </c>
      <c r="L507" s="19">
        <f>IFERROR(IF(OR(G507="",INDEX(G:G,MATCH(DATE(YEAR($A507)-1,MONTH($A507),DAY($A507)),$A:$A,0))=""),"",G507/INDEX(G:G,MATCH(DATE(YEAR($A507)-1,MONTH($A507),DAY($A507)),$A:$A,0))-1),"")</f>
        <v/>
      </c>
      <c r="M507" s="19">
        <f>IF(OR(E507="",E506=""),"",E507/E506-1)</f>
        <v/>
      </c>
      <c r="N507" s="19">
        <f>IF(OR(F507="",F506=""),"",F507/F506-1)</f>
        <v/>
      </c>
      <c r="O507" s="19">
        <f>IF(OR(G507="",G506=""),"",G507/G506-1)</f>
        <v/>
      </c>
      <c r="P507" s="22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IF(R507="","",P507/R507)</f>
        <v/>
      </c>
      <c r="T507" s="23">
        <f>IF(R507="","",Q507/R507)</f>
        <v/>
      </c>
      <c r="U507" s="24">
        <f>IF(SUMIFS('Daily NSE Equity Options'!$M:$M,'Daily NSE Equity Options'!$A:$A,$A507)=0,"",SUMIFS('Daily NSE Equity Options'!$M:$M,'Daily NSE Equity Options'!$A:$A,$A507))</f>
        <v/>
      </c>
      <c r="V507" s="9">
        <f>IF(SUMIFS('Daily BSE Equity Options'!$M:$M,'Daily BSE Equity Options'!$A:$A,$A507)=0,"",SUMIFS('Daily BSE Equity Options'!$M:$M,'Daily BSE Equity Options'!$A:$A,$A507))</f>
        <v/>
      </c>
      <c r="W507" s="9">
        <f>IF(OR(U507="",V507=""),"",U507+V507)</f>
        <v/>
      </c>
      <c r="X507" s="25">
        <f>IF(W507="","",U507/W507)</f>
        <v/>
      </c>
      <c r="Y507" s="25">
        <f>IF(W507="","",V507/W507)</f>
        <v/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19">
        <f>IF(G508="","",E508/G508)</f>
        <v/>
      </c>
      <c r="I508" s="19">
        <f>IF(G508="","",F508/G508)</f>
        <v/>
      </c>
      <c r="J508" s="26">
        <f>IFERROR(IF(OR(E508="",INDEX(E:E,MATCH(DATE(YEAR($A508)-1,MONTH($A508),DAY($A508)),$A:$A,0))=""),"",E508/INDEX(E:E,MATCH(DATE(YEAR($A508)-1,MONTH($A508),DAY($A508)),$A:$A,0))-1),"")</f>
        <v/>
      </c>
      <c r="K508" s="19">
        <f>IFERROR(IF(OR(F508="",INDEX(F:F,MATCH(DATE(YEAR($A508)-1,MONTH($A508),DAY($A508)),$A:$A,0))=""),"",F508/INDEX(F:F,MATCH(DATE(YEAR($A508)-1,MONTH($A508),DAY($A508)),$A:$A,0))-1),"")</f>
        <v/>
      </c>
      <c r="L508" s="19">
        <f>IFERROR(IF(OR(G508="",INDEX(G:G,MATCH(DATE(YEAR($A508)-1,MONTH($A508),DAY($A508)),$A:$A,0))=""),"",G508/INDEX(G:G,MATCH(DATE(YEAR($A508)-1,MONTH($A508),DAY($A508)),$A:$A,0))-1),"")</f>
        <v/>
      </c>
      <c r="M508" s="19">
        <f>IF(OR(E508="",E507=""),"",E508/E507-1)</f>
        <v/>
      </c>
      <c r="N508" s="19">
        <f>IF(OR(F508="",F507=""),"",F508/F507-1)</f>
        <v/>
      </c>
      <c r="O508" s="19">
        <f>IF(OR(G508="",G507=""),"",G508/G507-1)</f>
        <v/>
      </c>
      <c r="P508" s="22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IF(R508="","",P508/R508)</f>
        <v/>
      </c>
      <c r="T508" s="23">
        <f>IF(R508="","",Q508/R508)</f>
        <v/>
      </c>
      <c r="U508" s="24">
        <f>IF(SUMIFS('Daily NSE Equity Options'!$M:$M,'Daily NSE Equity Options'!$A:$A,$A508)=0,"",SUMIFS('Daily NSE Equity Options'!$M:$M,'Daily NSE Equity Options'!$A:$A,$A508))</f>
        <v/>
      </c>
      <c r="V508" s="9">
        <f>IF(SUMIFS('Daily BSE Equity Options'!$M:$M,'Daily BSE Equity Options'!$A:$A,$A508)=0,"",SUMIFS('Daily BSE Equity Options'!$M:$M,'Daily BSE Equity Options'!$A:$A,$A508))</f>
        <v/>
      </c>
      <c r="W508" s="9">
        <f>IF(OR(U508="",V508=""),"",U508+V508)</f>
        <v/>
      </c>
      <c r="X508" s="25">
        <f>IF(W508="","",U508/W508)</f>
        <v/>
      </c>
      <c r="Y508" s="25">
        <f>IF(W508="","",V508/W508)</f>
        <v/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19">
        <f>IF(G509="","",E509/G509)</f>
        <v/>
      </c>
      <c r="I509" s="19">
        <f>IF(G509="","",F509/G509)</f>
        <v/>
      </c>
      <c r="J509" s="26">
        <f>IFERROR(IF(OR(E509="",INDEX(E:E,MATCH(DATE(YEAR($A509)-1,MONTH($A509),DAY($A509)),$A:$A,0))=""),"",E509/INDEX(E:E,MATCH(DATE(YEAR($A509)-1,MONTH($A509),DAY($A509)),$A:$A,0))-1),"")</f>
        <v/>
      </c>
      <c r="K509" s="19">
        <f>IFERROR(IF(OR(F509="",INDEX(F:F,MATCH(DATE(YEAR($A509)-1,MONTH($A509),DAY($A509)),$A:$A,0))=""),"",F509/INDEX(F:F,MATCH(DATE(YEAR($A509)-1,MONTH($A509),DAY($A509)),$A:$A,0))-1),"")</f>
        <v/>
      </c>
      <c r="L509" s="19">
        <f>IFERROR(IF(OR(G509="",INDEX(G:G,MATCH(DATE(YEAR($A509)-1,MONTH($A509),DAY($A509)),$A:$A,0))=""),"",G509/INDEX(G:G,MATCH(DATE(YEAR($A509)-1,MONTH($A509),DAY($A509)),$A:$A,0))-1),"")</f>
        <v/>
      </c>
      <c r="M509" s="19">
        <f>IF(OR(E509="",E508=""),"",E509/E508-1)</f>
        <v/>
      </c>
      <c r="N509" s="19">
        <f>IF(OR(F509="",F508=""),"",F509/F508-1)</f>
        <v/>
      </c>
      <c r="O509" s="19">
        <f>IF(OR(G509="",G508=""),"",G509/G508-1)</f>
        <v/>
      </c>
      <c r="P509" s="22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IF(R509="","",P509/R509)</f>
        <v/>
      </c>
      <c r="T509" s="23">
        <f>IF(R509="","",Q509/R509)</f>
        <v/>
      </c>
      <c r="U509" s="24">
        <f>IF(SUMIFS('Daily NSE Equity Options'!$M:$M,'Daily NSE Equity Options'!$A:$A,$A509)=0,"",SUMIFS('Daily NSE Equity Options'!$M:$M,'Daily NSE Equity Options'!$A:$A,$A509))</f>
        <v/>
      </c>
      <c r="V509" s="9">
        <f>IF(SUMIFS('Daily BSE Equity Options'!$M:$M,'Daily BSE Equity Options'!$A:$A,$A509)=0,"",SUMIFS('Daily BSE Equity Options'!$M:$M,'Daily BSE Equity Options'!$A:$A,$A509))</f>
        <v/>
      </c>
      <c r="W509" s="9">
        <f>IF(OR(U509="",V509=""),"",U509+V509)</f>
        <v/>
      </c>
      <c r="X509" s="25">
        <f>IF(W509="","",U509/W509)</f>
        <v/>
      </c>
      <c r="Y509" s="25">
        <f>IF(W509="","",V509/W509)</f>
        <v/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19">
        <f>IF(G510="","",E510/G510)</f>
        <v/>
      </c>
      <c r="I510" s="19">
        <f>IF(G510="","",F510/G510)</f>
        <v/>
      </c>
      <c r="J510" s="26">
        <f>IFERROR(IF(OR(E510="",INDEX(E:E,MATCH(DATE(YEAR($A510)-1,MONTH($A510),DAY($A510)),$A:$A,0))=""),"",E510/INDEX(E:E,MATCH(DATE(YEAR($A510)-1,MONTH($A510),DAY($A510)),$A:$A,0))-1),"")</f>
        <v/>
      </c>
      <c r="K510" s="19">
        <f>IFERROR(IF(OR(F510="",INDEX(F:F,MATCH(DATE(YEAR($A510)-1,MONTH($A510),DAY($A510)),$A:$A,0))=""),"",F510/INDEX(F:F,MATCH(DATE(YEAR($A510)-1,MONTH($A510),DAY($A510)),$A:$A,0))-1),"")</f>
        <v/>
      </c>
      <c r="L510" s="19">
        <f>IFERROR(IF(OR(G510="",INDEX(G:G,MATCH(DATE(YEAR($A510)-1,MONTH($A510),DAY($A510)),$A:$A,0))=""),"",G510/INDEX(G:G,MATCH(DATE(YEAR($A510)-1,MONTH($A510),DAY($A510)),$A:$A,0))-1),"")</f>
        <v/>
      </c>
      <c r="M510" s="19">
        <f>IF(OR(E510="",E509=""),"",E510/E509-1)</f>
        <v/>
      </c>
      <c r="N510" s="19">
        <f>IF(OR(F510="",F509=""),"",F510/F509-1)</f>
        <v/>
      </c>
      <c r="O510" s="19">
        <f>IF(OR(G510="",G509=""),"",G510/G509-1)</f>
        <v/>
      </c>
      <c r="P510" s="22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IF(R510="","",P510/R510)</f>
        <v/>
      </c>
      <c r="T510" s="23">
        <f>IF(R510="","",Q510/R510)</f>
        <v/>
      </c>
      <c r="U510" s="24">
        <f>IF(SUMIFS('Daily NSE Equity Options'!$M:$M,'Daily NSE Equity Options'!$A:$A,$A510)=0,"",SUMIFS('Daily NSE Equity Options'!$M:$M,'Daily NSE Equity Options'!$A:$A,$A510))</f>
        <v/>
      </c>
      <c r="V510" s="9">
        <f>IF(SUMIFS('Daily BSE Equity Options'!$M:$M,'Daily BSE Equity Options'!$A:$A,$A510)=0,"",SUMIFS('Daily BSE Equity Options'!$M:$M,'Daily BSE Equity Options'!$A:$A,$A510))</f>
        <v/>
      </c>
      <c r="W510" s="9">
        <f>IF(OR(U510="",V510=""),"",U510+V510)</f>
        <v/>
      </c>
      <c r="X510" s="25">
        <f>IF(W510="","",U510/W510)</f>
        <v/>
      </c>
      <c r="Y510" s="25">
        <f>IF(W510="","",V510/W510)</f>
        <v/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19">
        <f>IF(G511="","",E511/G511)</f>
        <v/>
      </c>
      <c r="I511" s="19">
        <f>IF(G511="","",F511/G511)</f>
        <v/>
      </c>
      <c r="J511" s="26">
        <f>IFERROR(IF(OR(E511="",INDEX(E:E,MATCH(DATE(YEAR($A511)-1,MONTH($A511),DAY($A511)),$A:$A,0))=""),"",E511/INDEX(E:E,MATCH(DATE(YEAR($A511)-1,MONTH($A511),DAY($A511)),$A:$A,0))-1),"")</f>
        <v/>
      </c>
      <c r="K511" s="19">
        <f>IFERROR(IF(OR(F511="",INDEX(F:F,MATCH(DATE(YEAR($A511)-1,MONTH($A511),DAY($A511)),$A:$A,0))=""),"",F511/INDEX(F:F,MATCH(DATE(YEAR($A511)-1,MONTH($A511),DAY($A511)),$A:$A,0))-1),"")</f>
        <v/>
      </c>
      <c r="L511" s="19">
        <f>IFERROR(IF(OR(G511="",INDEX(G:G,MATCH(DATE(YEAR($A511)-1,MONTH($A511),DAY($A511)),$A:$A,0))=""),"",G511/INDEX(G:G,MATCH(DATE(YEAR($A511)-1,MONTH($A511),DAY($A511)),$A:$A,0))-1),"")</f>
        <v/>
      </c>
      <c r="M511" s="19">
        <f>IF(OR(E511="",E510=""),"",E511/E510-1)</f>
        <v/>
      </c>
      <c r="N511" s="19">
        <f>IF(OR(F511="",F510=""),"",F511/F510-1)</f>
        <v/>
      </c>
      <c r="O511" s="19">
        <f>IF(OR(G511="",G510=""),"",G511/G510-1)</f>
        <v/>
      </c>
      <c r="P511" s="22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IF(R511="","",P511/R511)</f>
        <v/>
      </c>
      <c r="T511" s="23">
        <f>IF(R511="","",Q511/R511)</f>
        <v/>
      </c>
      <c r="U511" s="24">
        <f>IF(SUMIFS('Daily NSE Equity Options'!$M:$M,'Daily NSE Equity Options'!$A:$A,$A511)=0,"",SUMIFS('Daily NSE Equity Options'!$M:$M,'Daily NSE Equity Options'!$A:$A,$A511))</f>
        <v/>
      </c>
      <c r="V511" s="9">
        <f>IF(SUMIFS('Daily BSE Equity Options'!$M:$M,'Daily BSE Equity Options'!$A:$A,$A511)=0,"",SUMIFS('Daily BSE Equity Options'!$M:$M,'Daily BSE Equity Options'!$A:$A,$A511))</f>
        <v/>
      </c>
      <c r="W511" s="9">
        <f>IF(OR(U511="",V511=""),"",U511+V511)</f>
        <v/>
      </c>
      <c r="X511" s="25">
        <f>IF(W511="","",U511/W511)</f>
        <v/>
      </c>
      <c r="Y511" s="25">
        <f>IF(W511="","",V511/W511)</f>
        <v/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19">
        <f>IF(G512="","",E512/G512)</f>
        <v/>
      </c>
      <c r="I512" s="19">
        <f>IF(G512="","",F512/G512)</f>
        <v/>
      </c>
      <c r="J512" s="26">
        <f>IFERROR(IF(OR(E512="",INDEX(E:E,MATCH(DATE(YEAR($A512)-1,MONTH($A512),DAY($A512)),$A:$A,0))=""),"",E512/INDEX(E:E,MATCH(DATE(YEAR($A512)-1,MONTH($A512),DAY($A512)),$A:$A,0))-1),"")</f>
        <v/>
      </c>
      <c r="K512" s="19">
        <f>IFERROR(IF(OR(F512="",INDEX(F:F,MATCH(DATE(YEAR($A512)-1,MONTH($A512),DAY($A512)),$A:$A,0))=""),"",F512/INDEX(F:F,MATCH(DATE(YEAR($A512)-1,MONTH($A512),DAY($A512)),$A:$A,0))-1),"")</f>
        <v/>
      </c>
      <c r="L512" s="19">
        <f>IFERROR(IF(OR(G512="",INDEX(G:G,MATCH(DATE(YEAR($A512)-1,MONTH($A512),DAY($A512)),$A:$A,0))=""),"",G512/INDEX(G:G,MATCH(DATE(YEAR($A512)-1,MONTH($A512),DAY($A512)),$A:$A,0))-1),"")</f>
        <v/>
      </c>
      <c r="M512" s="19">
        <f>IF(OR(E512="",E511=""),"",E512/E511-1)</f>
        <v/>
      </c>
      <c r="N512" s="19">
        <f>IF(OR(F512="",F511=""),"",F512/F511-1)</f>
        <v/>
      </c>
      <c r="O512" s="19">
        <f>IF(OR(G512="",G511=""),"",G512/G511-1)</f>
        <v/>
      </c>
      <c r="P512" s="22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IF(R512="","",P512/R512)</f>
        <v/>
      </c>
      <c r="T512" s="23">
        <f>IF(R512="","",Q512/R512)</f>
        <v/>
      </c>
      <c r="U512" s="24">
        <f>IF(SUMIFS('Daily NSE Equity Options'!$M:$M,'Daily NSE Equity Options'!$A:$A,$A512)=0,"",SUMIFS('Daily NSE Equity Options'!$M:$M,'Daily NSE Equity Options'!$A:$A,$A512))</f>
        <v/>
      </c>
      <c r="V512" s="9">
        <f>IF(SUMIFS('Daily BSE Equity Options'!$M:$M,'Daily BSE Equity Options'!$A:$A,$A512)=0,"",SUMIFS('Daily BSE Equity Options'!$M:$M,'Daily BSE Equity Options'!$A:$A,$A512))</f>
        <v/>
      </c>
      <c r="W512" s="9">
        <f>IF(OR(U512="",V512=""),"",U512+V512)</f>
        <v/>
      </c>
      <c r="X512" s="25">
        <f>IF(W512="","",U512/W512)</f>
        <v/>
      </c>
      <c r="Y512" s="25">
        <f>IF(W512="","",V512/W512)</f>
        <v/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19">
        <f>IF(G513="","",E513/G513)</f>
        <v/>
      </c>
      <c r="I513" s="19">
        <f>IF(G513="","",F513/G513)</f>
        <v/>
      </c>
      <c r="J513" s="26">
        <f>IFERROR(IF(OR(E513="",INDEX(E:E,MATCH(DATE(YEAR($A513)-1,MONTH($A513),DAY($A513)),$A:$A,0))=""),"",E513/INDEX(E:E,MATCH(DATE(YEAR($A513)-1,MONTH($A513),DAY($A513)),$A:$A,0))-1),"")</f>
        <v/>
      </c>
      <c r="K513" s="19">
        <f>IFERROR(IF(OR(F513="",INDEX(F:F,MATCH(DATE(YEAR($A513)-1,MONTH($A513),DAY($A513)),$A:$A,0))=""),"",F513/INDEX(F:F,MATCH(DATE(YEAR($A513)-1,MONTH($A513),DAY($A513)),$A:$A,0))-1),"")</f>
        <v/>
      </c>
      <c r="L513" s="19">
        <f>IFERROR(IF(OR(G513="",INDEX(G:G,MATCH(DATE(YEAR($A513)-1,MONTH($A513),DAY($A513)),$A:$A,0))=""),"",G513/INDEX(G:G,MATCH(DATE(YEAR($A513)-1,MONTH($A513),DAY($A513)),$A:$A,0))-1),"")</f>
        <v/>
      </c>
      <c r="M513" s="19">
        <f>IF(OR(E513="",E512=""),"",E513/E512-1)</f>
        <v/>
      </c>
      <c r="N513" s="19">
        <f>IF(OR(F513="",F512=""),"",F513/F512-1)</f>
        <v/>
      </c>
      <c r="O513" s="19">
        <f>IF(OR(G513="",G512=""),"",G513/G512-1)</f>
        <v/>
      </c>
      <c r="P513" s="22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IF(R513="","",P513/R513)</f>
        <v/>
      </c>
      <c r="T513" s="23">
        <f>IF(R513="","",Q513/R513)</f>
        <v/>
      </c>
      <c r="U513" s="24">
        <f>IF(SUMIFS('Daily NSE Equity Options'!$M:$M,'Daily NSE Equity Options'!$A:$A,$A513)=0,"",SUMIFS('Daily NSE Equity Options'!$M:$M,'Daily NSE Equity Options'!$A:$A,$A513))</f>
        <v/>
      </c>
      <c r="V513" s="9">
        <f>IF(SUMIFS('Daily BSE Equity Options'!$M:$M,'Daily BSE Equity Options'!$A:$A,$A513)=0,"",SUMIFS('Daily BSE Equity Options'!$M:$M,'Daily BSE Equity Options'!$A:$A,$A513))</f>
        <v/>
      </c>
      <c r="W513" s="9">
        <f>IF(OR(U513="",V513=""),"",U513+V513)</f>
        <v/>
      </c>
      <c r="X513" s="25">
        <f>IF(W513="","",U513/W513)</f>
        <v/>
      </c>
      <c r="Y513" s="25">
        <f>IF(W513="","",V513/W513)</f>
        <v/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19">
        <f>IF(G514="","",E514/G514)</f>
        <v/>
      </c>
      <c r="I514" s="19">
        <f>IF(G514="","",F514/G514)</f>
        <v/>
      </c>
      <c r="J514" s="26">
        <f>IFERROR(IF(OR(E514="",INDEX(E:E,MATCH(DATE(YEAR($A514)-1,MONTH($A514),DAY($A514)),$A:$A,0))=""),"",E514/INDEX(E:E,MATCH(DATE(YEAR($A514)-1,MONTH($A514),DAY($A514)),$A:$A,0))-1),"")</f>
        <v/>
      </c>
      <c r="K514" s="19">
        <f>IFERROR(IF(OR(F514="",INDEX(F:F,MATCH(DATE(YEAR($A514)-1,MONTH($A514),DAY($A514)),$A:$A,0))=""),"",F514/INDEX(F:F,MATCH(DATE(YEAR($A514)-1,MONTH($A514),DAY($A514)),$A:$A,0))-1),"")</f>
        <v/>
      </c>
      <c r="L514" s="19">
        <f>IFERROR(IF(OR(G514="",INDEX(G:G,MATCH(DATE(YEAR($A514)-1,MONTH($A514),DAY($A514)),$A:$A,0))=""),"",G514/INDEX(G:G,MATCH(DATE(YEAR($A514)-1,MONTH($A514),DAY($A514)),$A:$A,0))-1),"")</f>
        <v/>
      </c>
      <c r="M514" s="19">
        <f>IF(OR(E514="",E513=""),"",E514/E513-1)</f>
        <v/>
      </c>
      <c r="N514" s="19">
        <f>IF(OR(F514="",F513=""),"",F514/F513-1)</f>
        <v/>
      </c>
      <c r="O514" s="19">
        <f>IF(OR(G514="",G513=""),"",G514/G513-1)</f>
        <v/>
      </c>
      <c r="P514" s="22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IF(R514="","",P514/R514)</f>
        <v/>
      </c>
      <c r="T514" s="23">
        <f>IF(R514="","",Q514/R514)</f>
        <v/>
      </c>
      <c r="U514" s="24">
        <f>IF(SUMIFS('Daily NSE Equity Options'!$M:$M,'Daily NSE Equity Options'!$A:$A,$A514)=0,"",SUMIFS('Daily NSE Equity Options'!$M:$M,'Daily NSE Equity Options'!$A:$A,$A514))</f>
        <v/>
      </c>
      <c r="V514" s="9">
        <f>IF(SUMIFS('Daily BSE Equity Options'!$M:$M,'Daily BSE Equity Options'!$A:$A,$A514)=0,"",SUMIFS('Daily BSE Equity Options'!$M:$M,'Daily BSE Equity Options'!$A:$A,$A514))</f>
        <v/>
      </c>
      <c r="W514" s="9">
        <f>IF(OR(U514="",V514=""),"",U514+V514)</f>
        <v/>
      </c>
      <c r="X514" s="25">
        <f>IF(W514="","",U514/W514)</f>
        <v/>
      </c>
      <c r="Y514" s="25">
        <f>IF(W514="","",V514/W514)</f>
        <v/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19">
        <f>IF(G515="","",E515/G515)</f>
        <v/>
      </c>
      <c r="I515" s="19">
        <f>IF(G515="","",F515/G515)</f>
        <v/>
      </c>
      <c r="J515" s="26">
        <f>IFERROR(IF(OR(E515="",INDEX(E:E,MATCH(DATE(YEAR($A515)-1,MONTH($A515),DAY($A515)),$A:$A,0))=""),"",E515/INDEX(E:E,MATCH(DATE(YEAR($A515)-1,MONTH($A515),DAY($A515)),$A:$A,0))-1),"")</f>
        <v/>
      </c>
      <c r="K515" s="19">
        <f>IFERROR(IF(OR(F515="",INDEX(F:F,MATCH(DATE(YEAR($A515)-1,MONTH($A515),DAY($A515)),$A:$A,0))=""),"",F515/INDEX(F:F,MATCH(DATE(YEAR($A515)-1,MONTH($A515),DAY($A515)),$A:$A,0))-1),"")</f>
        <v/>
      </c>
      <c r="L515" s="19">
        <f>IFERROR(IF(OR(G515="",INDEX(G:G,MATCH(DATE(YEAR($A515)-1,MONTH($A515),DAY($A515)),$A:$A,0))=""),"",G515/INDEX(G:G,MATCH(DATE(YEAR($A515)-1,MONTH($A515),DAY($A515)),$A:$A,0))-1),"")</f>
        <v/>
      </c>
      <c r="M515" s="19">
        <f>IF(OR(E515="",E514=""),"",E515/E514-1)</f>
        <v/>
      </c>
      <c r="N515" s="19">
        <f>IF(OR(F515="",F514=""),"",F515/F514-1)</f>
        <v/>
      </c>
      <c r="O515" s="19">
        <f>IF(OR(G515="",G514=""),"",G515/G514-1)</f>
        <v/>
      </c>
      <c r="P515" s="22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IF(R515="","",P515/R515)</f>
        <v/>
      </c>
      <c r="T515" s="23">
        <f>IF(R515="","",Q515/R515)</f>
        <v/>
      </c>
      <c r="U515" s="24">
        <f>IF(SUMIFS('Daily NSE Equity Options'!$M:$M,'Daily NSE Equity Options'!$A:$A,$A515)=0,"",SUMIFS('Daily NSE Equity Options'!$M:$M,'Daily NSE Equity Options'!$A:$A,$A515))</f>
        <v/>
      </c>
      <c r="V515" s="9">
        <f>IF(SUMIFS('Daily BSE Equity Options'!$M:$M,'Daily BSE Equity Options'!$A:$A,$A515)=0,"",SUMIFS('Daily BSE Equity Options'!$M:$M,'Daily BSE Equity Options'!$A:$A,$A515))</f>
        <v/>
      </c>
      <c r="W515" s="9">
        <f>IF(OR(U515="",V515=""),"",U515+V515)</f>
        <v/>
      </c>
      <c r="X515" s="25">
        <f>IF(W515="","",U515/W515)</f>
        <v/>
      </c>
      <c r="Y515" s="25">
        <f>IF(W515="","",V515/W515)</f>
        <v/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19">
        <f>IF(G516="","",E516/G516)</f>
        <v/>
      </c>
      <c r="I516" s="19">
        <f>IF(G516="","",F516/G516)</f>
        <v/>
      </c>
      <c r="J516" s="26">
        <f>IFERROR(IF(OR(E516="",INDEX(E:E,MATCH(DATE(YEAR($A516)-1,MONTH($A516),DAY($A516)),$A:$A,0))=""),"",E516/INDEX(E:E,MATCH(DATE(YEAR($A516)-1,MONTH($A516),DAY($A516)),$A:$A,0))-1),"")</f>
        <v/>
      </c>
      <c r="K516" s="19">
        <f>IFERROR(IF(OR(F516="",INDEX(F:F,MATCH(DATE(YEAR($A516)-1,MONTH($A516),DAY($A516)),$A:$A,0))=""),"",F516/INDEX(F:F,MATCH(DATE(YEAR($A516)-1,MONTH($A516),DAY($A516)),$A:$A,0))-1),"")</f>
        <v/>
      </c>
      <c r="L516" s="19">
        <f>IFERROR(IF(OR(G516="",INDEX(G:G,MATCH(DATE(YEAR($A516)-1,MONTH($A516),DAY($A516)),$A:$A,0))=""),"",G516/INDEX(G:G,MATCH(DATE(YEAR($A516)-1,MONTH($A516),DAY($A516)),$A:$A,0))-1),"")</f>
        <v/>
      </c>
      <c r="M516" s="19">
        <f>IF(OR(E516="",E515=""),"",E516/E515-1)</f>
        <v/>
      </c>
      <c r="N516" s="19">
        <f>IF(OR(F516="",F515=""),"",F516/F515-1)</f>
        <v/>
      </c>
      <c r="O516" s="19">
        <f>IF(OR(G516="",G515=""),"",G516/G515-1)</f>
        <v/>
      </c>
      <c r="P516" s="22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IF(R516="","",P516/R516)</f>
        <v/>
      </c>
      <c r="T516" s="23">
        <f>IF(R516="","",Q516/R516)</f>
        <v/>
      </c>
      <c r="U516" s="24">
        <f>IF(SUMIFS('Daily NSE Equity Options'!$M:$M,'Daily NSE Equity Options'!$A:$A,$A516)=0,"",SUMIFS('Daily NSE Equity Options'!$M:$M,'Daily NSE Equity Options'!$A:$A,$A516))</f>
        <v/>
      </c>
      <c r="V516" s="9">
        <f>IF(SUMIFS('Daily BSE Equity Options'!$M:$M,'Daily BSE Equity Options'!$A:$A,$A516)=0,"",SUMIFS('Daily BSE Equity Options'!$M:$M,'Daily BSE Equity Options'!$A:$A,$A516))</f>
        <v/>
      </c>
      <c r="W516" s="9">
        <f>IF(OR(U516="",V516=""),"",U516+V516)</f>
        <v/>
      </c>
      <c r="X516" s="25">
        <f>IF(W516="","",U516/W516)</f>
        <v/>
      </c>
      <c r="Y516" s="25">
        <f>IF(W516="","",V516/W516)</f>
        <v/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19">
        <f>IF(G517="","",E517/G517)</f>
        <v/>
      </c>
      <c r="I517" s="19">
        <f>IF(G517="","",F517/G517)</f>
        <v/>
      </c>
      <c r="J517" s="26">
        <f>IFERROR(IF(OR(E517="",INDEX(E:E,MATCH(DATE(YEAR($A517)-1,MONTH($A517),DAY($A517)),$A:$A,0))=""),"",E517/INDEX(E:E,MATCH(DATE(YEAR($A517)-1,MONTH($A517),DAY($A517)),$A:$A,0))-1),"")</f>
        <v/>
      </c>
      <c r="K517" s="19">
        <f>IFERROR(IF(OR(F517="",INDEX(F:F,MATCH(DATE(YEAR($A517)-1,MONTH($A517),DAY($A517)),$A:$A,0))=""),"",F517/INDEX(F:F,MATCH(DATE(YEAR($A517)-1,MONTH($A517),DAY($A517)),$A:$A,0))-1),"")</f>
        <v/>
      </c>
      <c r="L517" s="19">
        <f>IFERROR(IF(OR(G517="",INDEX(G:G,MATCH(DATE(YEAR($A517)-1,MONTH($A517),DAY($A517)),$A:$A,0))=""),"",G517/INDEX(G:G,MATCH(DATE(YEAR($A517)-1,MONTH($A517),DAY($A517)),$A:$A,0))-1),"")</f>
        <v/>
      </c>
      <c r="M517" s="19">
        <f>IF(OR(E517="",E516=""),"",E517/E516-1)</f>
        <v/>
      </c>
      <c r="N517" s="19">
        <f>IF(OR(F517="",F516=""),"",F517/F516-1)</f>
        <v/>
      </c>
      <c r="O517" s="19">
        <f>IF(OR(G517="",G516=""),"",G517/G516-1)</f>
        <v/>
      </c>
      <c r="P517" s="22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IF(R517="","",P517/R517)</f>
        <v/>
      </c>
      <c r="T517" s="23">
        <f>IF(R517="","",Q517/R517)</f>
        <v/>
      </c>
      <c r="U517" s="24">
        <f>IF(SUMIFS('Daily NSE Equity Options'!$M:$M,'Daily NSE Equity Options'!$A:$A,$A517)=0,"",SUMIFS('Daily NSE Equity Options'!$M:$M,'Daily NSE Equity Options'!$A:$A,$A517))</f>
        <v/>
      </c>
      <c r="V517" s="9">
        <f>IF(SUMIFS('Daily BSE Equity Options'!$M:$M,'Daily BSE Equity Options'!$A:$A,$A517)=0,"",SUMIFS('Daily BSE Equity Options'!$M:$M,'Daily BSE Equity Options'!$A:$A,$A517))</f>
        <v/>
      </c>
      <c r="W517" s="9">
        <f>IF(OR(U517="",V517=""),"",U517+V517)</f>
        <v/>
      </c>
      <c r="X517" s="25">
        <f>IF(W517="","",U517/W517)</f>
        <v/>
      </c>
      <c r="Y517" s="25">
        <f>IF(W517="","",V517/W517)</f>
        <v/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19">
        <f>IF(G518="","",E518/G518)</f>
        <v/>
      </c>
      <c r="I518" s="19">
        <f>IF(G518="","",F518/G518)</f>
        <v/>
      </c>
      <c r="J518" s="26">
        <f>IFERROR(IF(OR(E518="",INDEX(E:E,MATCH(DATE(YEAR($A518)-1,MONTH($A518),DAY($A518)),$A:$A,0))=""),"",E518/INDEX(E:E,MATCH(DATE(YEAR($A518)-1,MONTH($A518),DAY($A518)),$A:$A,0))-1),"")</f>
        <v/>
      </c>
      <c r="K518" s="19">
        <f>IFERROR(IF(OR(F518="",INDEX(F:F,MATCH(DATE(YEAR($A518)-1,MONTH($A518),DAY($A518)),$A:$A,0))=""),"",F518/INDEX(F:F,MATCH(DATE(YEAR($A518)-1,MONTH($A518),DAY($A518)),$A:$A,0))-1),"")</f>
        <v/>
      </c>
      <c r="L518" s="19">
        <f>IFERROR(IF(OR(G518="",INDEX(G:G,MATCH(DATE(YEAR($A518)-1,MONTH($A518),DAY($A518)),$A:$A,0))=""),"",G518/INDEX(G:G,MATCH(DATE(YEAR($A518)-1,MONTH($A518),DAY($A518)),$A:$A,0))-1),"")</f>
        <v/>
      </c>
      <c r="M518" s="19">
        <f>IF(OR(E518="",E517=""),"",E518/E517-1)</f>
        <v/>
      </c>
      <c r="N518" s="19">
        <f>IF(OR(F518="",F517=""),"",F518/F517-1)</f>
        <v/>
      </c>
      <c r="O518" s="19">
        <f>IF(OR(G518="",G517=""),"",G518/G517-1)</f>
        <v/>
      </c>
      <c r="P518" s="22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IF(R518="","",P518/R518)</f>
        <v/>
      </c>
      <c r="T518" s="23">
        <f>IF(R518="","",Q518/R518)</f>
        <v/>
      </c>
      <c r="U518" s="24">
        <f>IF(SUMIFS('Daily NSE Equity Options'!$M:$M,'Daily NSE Equity Options'!$A:$A,$A518)=0,"",SUMIFS('Daily NSE Equity Options'!$M:$M,'Daily NSE Equity Options'!$A:$A,$A518))</f>
        <v/>
      </c>
      <c r="V518" s="9">
        <f>IF(SUMIFS('Daily BSE Equity Options'!$M:$M,'Daily BSE Equity Options'!$A:$A,$A518)=0,"",SUMIFS('Daily BSE Equity Options'!$M:$M,'Daily BSE Equity Options'!$A:$A,$A518))</f>
        <v/>
      </c>
      <c r="W518" s="9">
        <f>IF(OR(U518="",V518=""),"",U518+V518)</f>
        <v/>
      </c>
      <c r="X518" s="25">
        <f>IF(W518="","",U518/W518)</f>
        <v/>
      </c>
      <c r="Y518" s="25">
        <f>IF(W518="","",V518/W518)</f>
        <v/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19">
        <f>IF(G519="","",E519/G519)</f>
        <v/>
      </c>
      <c r="I519" s="19">
        <f>IF(G519="","",F519/G519)</f>
        <v/>
      </c>
      <c r="J519" s="26">
        <f>IFERROR(IF(OR(E519="",INDEX(E:E,MATCH(DATE(YEAR($A519)-1,MONTH($A519),DAY($A519)),$A:$A,0))=""),"",E519/INDEX(E:E,MATCH(DATE(YEAR($A519)-1,MONTH($A519),DAY($A519)),$A:$A,0))-1),"")</f>
        <v/>
      </c>
      <c r="K519" s="19">
        <f>IFERROR(IF(OR(F519="",INDEX(F:F,MATCH(DATE(YEAR($A519)-1,MONTH($A519),DAY($A519)),$A:$A,0))=""),"",F519/INDEX(F:F,MATCH(DATE(YEAR($A519)-1,MONTH($A519),DAY($A519)),$A:$A,0))-1),"")</f>
        <v/>
      </c>
      <c r="L519" s="19">
        <f>IFERROR(IF(OR(G519="",INDEX(G:G,MATCH(DATE(YEAR($A519)-1,MONTH($A519),DAY($A519)),$A:$A,0))=""),"",G519/INDEX(G:G,MATCH(DATE(YEAR($A519)-1,MONTH($A519),DAY($A519)),$A:$A,0))-1),"")</f>
        <v/>
      </c>
      <c r="M519" s="19">
        <f>IF(OR(E519="",E518=""),"",E519/E518-1)</f>
        <v/>
      </c>
      <c r="N519" s="19">
        <f>IF(OR(F519="",F518=""),"",F519/F518-1)</f>
        <v/>
      </c>
      <c r="O519" s="19">
        <f>IF(OR(G519="",G518=""),"",G519/G518-1)</f>
        <v/>
      </c>
      <c r="P519" s="22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IF(R519="","",P519/R519)</f>
        <v/>
      </c>
      <c r="T519" s="23">
        <f>IF(R519="","",Q519/R519)</f>
        <v/>
      </c>
      <c r="U519" s="24">
        <f>IF(SUMIFS('Daily NSE Equity Options'!$M:$M,'Daily NSE Equity Options'!$A:$A,$A519)=0,"",SUMIFS('Daily NSE Equity Options'!$M:$M,'Daily NSE Equity Options'!$A:$A,$A519))</f>
        <v/>
      </c>
      <c r="V519" s="9">
        <f>IF(SUMIFS('Daily BSE Equity Options'!$M:$M,'Daily BSE Equity Options'!$A:$A,$A519)=0,"",SUMIFS('Daily BSE Equity Options'!$M:$M,'Daily BSE Equity Options'!$A:$A,$A519))</f>
        <v/>
      </c>
      <c r="W519" s="9">
        <f>IF(OR(U519="",V519=""),"",U519+V519)</f>
        <v/>
      </c>
      <c r="X519" s="25">
        <f>IF(W519="","",U519/W519)</f>
        <v/>
      </c>
      <c r="Y519" s="25">
        <f>IF(W519="","",V519/W519)</f>
        <v/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19">
        <f>IF(G520="","",E520/G520)</f>
        <v/>
      </c>
      <c r="I520" s="19">
        <f>IF(G520="","",F520/G520)</f>
        <v/>
      </c>
      <c r="J520" s="26">
        <f>IFERROR(IF(OR(E520="",INDEX(E:E,MATCH(DATE(YEAR($A520)-1,MONTH($A520),DAY($A520)),$A:$A,0))=""),"",E520/INDEX(E:E,MATCH(DATE(YEAR($A520)-1,MONTH($A520),DAY($A520)),$A:$A,0))-1),"")</f>
        <v/>
      </c>
      <c r="K520" s="19">
        <f>IFERROR(IF(OR(F520="",INDEX(F:F,MATCH(DATE(YEAR($A520)-1,MONTH($A520),DAY($A520)),$A:$A,0))=""),"",F520/INDEX(F:F,MATCH(DATE(YEAR($A520)-1,MONTH($A520),DAY($A520)),$A:$A,0))-1),"")</f>
        <v/>
      </c>
      <c r="L520" s="19">
        <f>IFERROR(IF(OR(G520="",INDEX(G:G,MATCH(DATE(YEAR($A520)-1,MONTH($A520),DAY($A520)),$A:$A,0))=""),"",G520/INDEX(G:G,MATCH(DATE(YEAR($A520)-1,MONTH($A520),DAY($A520)),$A:$A,0))-1),"")</f>
        <v/>
      </c>
      <c r="M520" s="19">
        <f>IF(OR(E520="",E519=""),"",E520/E519-1)</f>
        <v/>
      </c>
      <c r="N520" s="19">
        <f>IF(OR(F520="",F519=""),"",F520/F519-1)</f>
        <v/>
      </c>
      <c r="O520" s="19">
        <f>IF(OR(G520="",G519=""),"",G520/G519-1)</f>
        <v/>
      </c>
      <c r="P520" s="22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IF(R520="","",P520/R520)</f>
        <v/>
      </c>
      <c r="T520" s="23">
        <f>IF(R520="","",Q520/R520)</f>
        <v/>
      </c>
      <c r="U520" s="24">
        <f>IF(SUMIFS('Daily NSE Equity Options'!$M:$M,'Daily NSE Equity Options'!$A:$A,$A520)=0,"",SUMIFS('Daily NSE Equity Options'!$M:$M,'Daily NSE Equity Options'!$A:$A,$A520))</f>
        <v/>
      </c>
      <c r="V520" s="9">
        <f>IF(SUMIFS('Daily BSE Equity Options'!$M:$M,'Daily BSE Equity Options'!$A:$A,$A520)=0,"",SUMIFS('Daily BSE Equity Options'!$M:$M,'Daily BSE Equity Options'!$A:$A,$A520))</f>
        <v/>
      </c>
      <c r="W520" s="9">
        <f>IF(OR(U520="",V520=""),"",U520+V520)</f>
        <v/>
      </c>
      <c r="X520" s="25">
        <f>IF(W520="","",U520/W520)</f>
        <v/>
      </c>
      <c r="Y520" s="25">
        <f>IF(W520="","",V520/W520)</f>
        <v/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19">
        <f>IF(G521="","",E521/G521)</f>
        <v/>
      </c>
      <c r="I521" s="19">
        <f>IF(G521="","",F521/G521)</f>
        <v/>
      </c>
      <c r="J521" s="26">
        <f>IFERROR(IF(OR(E521="",INDEX(E:E,MATCH(DATE(YEAR($A521)-1,MONTH($A521),DAY($A521)),$A:$A,0))=""),"",E521/INDEX(E:E,MATCH(DATE(YEAR($A521)-1,MONTH($A521),DAY($A521)),$A:$A,0))-1),"")</f>
        <v/>
      </c>
      <c r="K521" s="19">
        <f>IFERROR(IF(OR(F521="",INDEX(F:F,MATCH(DATE(YEAR($A521)-1,MONTH($A521),DAY($A521)),$A:$A,0))=""),"",F521/INDEX(F:F,MATCH(DATE(YEAR($A521)-1,MONTH($A521),DAY($A521)),$A:$A,0))-1),"")</f>
        <v/>
      </c>
      <c r="L521" s="19">
        <f>IFERROR(IF(OR(G521="",INDEX(G:G,MATCH(DATE(YEAR($A521)-1,MONTH($A521),DAY($A521)),$A:$A,0))=""),"",G521/INDEX(G:G,MATCH(DATE(YEAR($A521)-1,MONTH($A521),DAY($A521)),$A:$A,0))-1),"")</f>
        <v/>
      </c>
      <c r="M521" s="19">
        <f>IF(OR(E521="",E520=""),"",E521/E520-1)</f>
        <v/>
      </c>
      <c r="N521" s="19">
        <f>IF(OR(F521="",F520=""),"",F521/F520-1)</f>
        <v/>
      </c>
      <c r="O521" s="19">
        <f>IF(OR(G521="",G520=""),"",G521/G520-1)</f>
        <v/>
      </c>
      <c r="P521" s="22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IF(R521="","",P521/R521)</f>
        <v/>
      </c>
      <c r="T521" s="23">
        <f>IF(R521="","",Q521/R521)</f>
        <v/>
      </c>
      <c r="U521" s="24">
        <f>IF(SUMIFS('Daily NSE Equity Options'!$M:$M,'Daily NSE Equity Options'!$A:$A,$A521)=0,"",SUMIFS('Daily NSE Equity Options'!$M:$M,'Daily NSE Equity Options'!$A:$A,$A521))</f>
        <v/>
      </c>
      <c r="V521" s="9">
        <f>IF(SUMIFS('Daily BSE Equity Options'!$M:$M,'Daily BSE Equity Options'!$A:$A,$A521)=0,"",SUMIFS('Daily BSE Equity Options'!$M:$M,'Daily BSE Equity Options'!$A:$A,$A521))</f>
        <v/>
      </c>
      <c r="W521" s="9">
        <f>IF(OR(U521="",V521=""),"",U521+V521)</f>
        <v/>
      </c>
      <c r="X521" s="25">
        <f>IF(W521="","",U521/W521)</f>
        <v/>
      </c>
      <c r="Y521" s="25">
        <f>IF(W521="","",V521/W521)</f>
        <v/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19">
        <f>IF(G522="","",E522/G522)</f>
        <v/>
      </c>
      <c r="I522" s="19">
        <f>IF(G522="","",F522/G522)</f>
        <v/>
      </c>
      <c r="J522" s="26">
        <f>IFERROR(IF(OR(E522="",INDEX(E:E,MATCH(DATE(YEAR($A522)-1,MONTH($A522),DAY($A522)),$A:$A,0))=""),"",E522/INDEX(E:E,MATCH(DATE(YEAR($A522)-1,MONTH($A522),DAY($A522)),$A:$A,0))-1),"")</f>
        <v/>
      </c>
      <c r="K522" s="19">
        <f>IFERROR(IF(OR(F522="",INDEX(F:F,MATCH(DATE(YEAR($A522)-1,MONTH($A522),DAY($A522)),$A:$A,0))=""),"",F522/INDEX(F:F,MATCH(DATE(YEAR($A522)-1,MONTH($A522),DAY($A522)),$A:$A,0))-1),"")</f>
        <v/>
      </c>
      <c r="L522" s="19">
        <f>IFERROR(IF(OR(G522="",INDEX(G:G,MATCH(DATE(YEAR($A522)-1,MONTH($A522),DAY($A522)),$A:$A,0))=""),"",G522/INDEX(G:G,MATCH(DATE(YEAR($A522)-1,MONTH($A522),DAY($A522)),$A:$A,0))-1),"")</f>
        <v/>
      </c>
      <c r="M522" s="19">
        <f>IF(OR(E522="",E521=""),"",E522/E521-1)</f>
        <v/>
      </c>
      <c r="N522" s="19">
        <f>IF(OR(F522="",F521=""),"",F522/F521-1)</f>
        <v/>
      </c>
      <c r="O522" s="19">
        <f>IF(OR(G522="",G521=""),"",G522/G521-1)</f>
        <v/>
      </c>
      <c r="P522" s="22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IF(R522="","",P522/R522)</f>
        <v/>
      </c>
      <c r="T522" s="23">
        <f>IF(R522="","",Q522/R522)</f>
        <v/>
      </c>
      <c r="U522" s="24">
        <f>IF(SUMIFS('Daily NSE Equity Options'!$M:$M,'Daily NSE Equity Options'!$A:$A,$A522)=0,"",SUMIFS('Daily NSE Equity Options'!$M:$M,'Daily NSE Equity Options'!$A:$A,$A522))</f>
        <v/>
      </c>
      <c r="V522" s="9">
        <f>IF(SUMIFS('Daily BSE Equity Options'!$M:$M,'Daily BSE Equity Options'!$A:$A,$A522)=0,"",SUMIFS('Daily BSE Equity Options'!$M:$M,'Daily BSE Equity Options'!$A:$A,$A522))</f>
        <v/>
      </c>
      <c r="W522" s="9">
        <f>IF(OR(U522="",V522=""),"",U522+V522)</f>
        <v/>
      </c>
      <c r="X522" s="25">
        <f>IF(W522="","",U522/W522)</f>
        <v/>
      </c>
      <c r="Y522" s="25">
        <f>IF(W522="","",V522/W522)</f>
        <v/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19">
        <f>IF(G523="","",E523/G523)</f>
        <v/>
      </c>
      <c r="I523" s="19">
        <f>IF(G523="","",F523/G523)</f>
        <v/>
      </c>
      <c r="J523" s="26">
        <f>IFERROR(IF(OR(E523="",INDEX(E:E,MATCH(DATE(YEAR($A523)-1,MONTH($A523),DAY($A523)),$A:$A,0))=""),"",E523/INDEX(E:E,MATCH(DATE(YEAR($A523)-1,MONTH($A523),DAY($A523)),$A:$A,0))-1),"")</f>
        <v/>
      </c>
      <c r="K523" s="19">
        <f>IFERROR(IF(OR(F523="",INDEX(F:F,MATCH(DATE(YEAR($A523)-1,MONTH($A523),DAY($A523)),$A:$A,0))=""),"",F523/INDEX(F:F,MATCH(DATE(YEAR($A523)-1,MONTH($A523),DAY($A523)),$A:$A,0))-1),"")</f>
        <v/>
      </c>
      <c r="L523" s="19">
        <f>IFERROR(IF(OR(G523="",INDEX(G:G,MATCH(DATE(YEAR($A523)-1,MONTH($A523),DAY($A523)),$A:$A,0))=""),"",G523/INDEX(G:G,MATCH(DATE(YEAR($A523)-1,MONTH($A523),DAY($A523)),$A:$A,0))-1),"")</f>
        <v/>
      </c>
      <c r="M523" s="19">
        <f>IF(OR(E523="",E522=""),"",E523/E522-1)</f>
        <v/>
      </c>
      <c r="N523" s="19">
        <f>IF(OR(F523="",F522=""),"",F523/F522-1)</f>
        <v/>
      </c>
      <c r="O523" s="19">
        <f>IF(OR(G523="",G522=""),"",G523/G522-1)</f>
        <v/>
      </c>
      <c r="P523" s="22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IF(R523="","",P523/R523)</f>
        <v/>
      </c>
      <c r="T523" s="23">
        <f>IF(R523="","",Q523/R523)</f>
        <v/>
      </c>
      <c r="U523" s="24">
        <f>IF(SUMIFS('Daily NSE Equity Options'!$M:$M,'Daily NSE Equity Options'!$A:$A,$A523)=0,"",SUMIFS('Daily NSE Equity Options'!$M:$M,'Daily NSE Equity Options'!$A:$A,$A523))</f>
        <v/>
      </c>
      <c r="V523" s="9">
        <f>IF(SUMIFS('Daily BSE Equity Options'!$M:$M,'Daily BSE Equity Options'!$A:$A,$A523)=0,"",SUMIFS('Daily BSE Equity Options'!$M:$M,'Daily BSE Equity Options'!$A:$A,$A523))</f>
        <v/>
      </c>
      <c r="W523" s="9">
        <f>IF(OR(U523="",V523=""),"",U523+V523)</f>
        <v/>
      </c>
      <c r="X523" s="25">
        <f>IF(W523="","",U523/W523)</f>
        <v/>
      </c>
      <c r="Y523" s="25">
        <f>IF(W523="","",V523/W523)</f>
        <v/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19">
        <f>IF(G524="","",E524/G524)</f>
        <v/>
      </c>
      <c r="I524" s="19">
        <f>IF(G524="","",F524/G524)</f>
        <v/>
      </c>
      <c r="J524" s="26">
        <f>IFERROR(IF(OR(E524="",INDEX(E:E,MATCH(DATE(YEAR($A524)-1,MONTH($A524),DAY($A524)),$A:$A,0))=""),"",E524/INDEX(E:E,MATCH(DATE(YEAR($A524)-1,MONTH($A524),DAY($A524)),$A:$A,0))-1),"")</f>
        <v/>
      </c>
      <c r="K524" s="19">
        <f>IFERROR(IF(OR(F524="",INDEX(F:F,MATCH(DATE(YEAR($A524)-1,MONTH($A524),DAY($A524)),$A:$A,0))=""),"",F524/INDEX(F:F,MATCH(DATE(YEAR($A524)-1,MONTH($A524),DAY($A524)),$A:$A,0))-1),"")</f>
        <v/>
      </c>
      <c r="L524" s="19">
        <f>IFERROR(IF(OR(G524="",INDEX(G:G,MATCH(DATE(YEAR($A524)-1,MONTH($A524),DAY($A524)),$A:$A,0))=""),"",G524/INDEX(G:G,MATCH(DATE(YEAR($A524)-1,MONTH($A524),DAY($A524)),$A:$A,0))-1),"")</f>
        <v/>
      </c>
      <c r="M524" s="19">
        <f>IF(OR(E524="",E523=""),"",E524/E523-1)</f>
        <v/>
      </c>
      <c r="N524" s="19">
        <f>IF(OR(F524="",F523=""),"",F524/F523-1)</f>
        <v/>
      </c>
      <c r="O524" s="19">
        <f>IF(OR(G524="",G523=""),"",G524/G523-1)</f>
        <v/>
      </c>
      <c r="P524" s="22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IF(R524="","",P524/R524)</f>
        <v/>
      </c>
      <c r="T524" s="23">
        <f>IF(R524="","",Q524/R524)</f>
        <v/>
      </c>
      <c r="U524" s="24">
        <f>IF(SUMIFS('Daily NSE Equity Options'!$M:$M,'Daily NSE Equity Options'!$A:$A,$A524)=0,"",SUMIFS('Daily NSE Equity Options'!$M:$M,'Daily NSE Equity Options'!$A:$A,$A524))</f>
        <v/>
      </c>
      <c r="V524" s="9">
        <f>IF(SUMIFS('Daily BSE Equity Options'!$M:$M,'Daily BSE Equity Options'!$A:$A,$A524)=0,"",SUMIFS('Daily BSE Equity Options'!$M:$M,'Daily BSE Equity Options'!$A:$A,$A524))</f>
        <v/>
      </c>
      <c r="W524" s="9">
        <f>IF(OR(U524="",V524=""),"",U524+V524)</f>
        <v/>
      </c>
      <c r="X524" s="25">
        <f>IF(W524="","",U524/W524)</f>
        <v/>
      </c>
      <c r="Y524" s="25">
        <f>IF(W524="","",V524/W524)</f>
        <v/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19">
        <f>IF(G525="","",E525/G525)</f>
        <v/>
      </c>
      <c r="I525" s="19">
        <f>IF(G525="","",F525/G525)</f>
        <v/>
      </c>
      <c r="J525" s="26">
        <f>IFERROR(IF(OR(E525="",INDEX(E:E,MATCH(DATE(YEAR($A525)-1,MONTH($A525),DAY($A525)),$A:$A,0))=""),"",E525/INDEX(E:E,MATCH(DATE(YEAR($A525)-1,MONTH($A525),DAY($A525)),$A:$A,0))-1),"")</f>
        <v/>
      </c>
      <c r="K525" s="19">
        <f>IFERROR(IF(OR(F525="",INDEX(F:F,MATCH(DATE(YEAR($A525)-1,MONTH($A525),DAY($A525)),$A:$A,0))=""),"",F525/INDEX(F:F,MATCH(DATE(YEAR($A525)-1,MONTH($A525),DAY($A525)),$A:$A,0))-1),"")</f>
        <v/>
      </c>
      <c r="L525" s="19">
        <f>IFERROR(IF(OR(G525="",INDEX(G:G,MATCH(DATE(YEAR($A525)-1,MONTH($A525),DAY($A525)),$A:$A,0))=""),"",G525/INDEX(G:G,MATCH(DATE(YEAR($A525)-1,MONTH($A525),DAY($A525)),$A:$A,0))-1),"")</f>
        <v/>
      </c>
      <c r="M525" s="19">
        <f>IF(OR(E525="",E524=""),"",E525/E524-1)</f>
        <v/>
      </c>
      <c r="N525" s="19">
        <f>IF(OR(F525="",F524=""),"",F525/F524-1)</f>
        <v/>
      </c>
      <c r="O525" s="19">
        <f>IF(OR(G525="",G524=""),"",G525/G524-1)</f>
        <v/>
      </c>
      <c r="P525" s="22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IF(R525="","",P525/R525)</f>
        <v/>
      </c>
      <c r="T525" s="23">
        <f>IF(R525="","",Q525/R525)</f>
        <v/>
      </c>
      <c r="U525" s="24">
        <f>IF(SUMIFS('Daily NSE Equity Options'!$M:$M,'Daily NSE Equity Options'!$A:$A,$A525)=0,"",SUMIFS('Daily NSE Equity Options'!$M:$M,'Daily NSE Equity Options'!$A:$A,$A525))</f>
        <v/>
      </c>
      <c r="V525" s="9">
        <f>IF(SUMIFS('Daily BSE Equity Options'!$M:$M,'Daily BSE Equity Options'!$A:$A,$A525)=0,"",SUMIFS('Daily BSE Equity Options'!$M:$M,'Daily BSE Equity Options'!$A:$A,$A525))</f>
        <v/>
      </c>
      <c r="W525" s="9">
        <f>IF(OR(U525="",V525=""),"",U525+V525)</f>
        <v/>
      </c>
      <c r="X525" s="25">
        <f>IF(W525="","",U525/W525)</f>
        <v/>
      </c>
      <c r="Y525" s="25">
        <f>IF(W525="","",V525/W525)</f>
        <v/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19">
        <f>IF(G526="","",E526/G526)</f>
        <v/>
      </c>
      <c r="I526" s="19">
        <f>IF(G526="","",F526/G526)</f>
        <v/>
      </c>
      <c r="J526" s="26">
        <f>IFERROR(IF(OR(E526="",INDEX(E:E,MATCH(DATE(YEAR($A526)-1,MONTH($A526),DAY($A526)),$A:$A,0))=""),"",E526/INDEX(E:E,MATCH(DATE(YEAR($A526)-1,MONTH($A526),DAY($A526)),$A:$A,0))-1),"")</f>
        <v/>
      </c>
      <c r="K526" s="19">
        <f>IFERROR(IF(OR(F526="",INDEX(F:F,MATCH(DATE(YEAR($A526)-1,MONTH($A526),DAY($A526)),$A:$A,0))=""),"",F526/INDEX(F:F,MATCH(DATE(YEAR($A526)-1,MONTH($A526),DAY($A526)),$A:$A,0))-1),"")</f>
        <v/>
      </c>
      <c r="L526" s="19">
        <f>IFERROR(IF(OR(G526="",INDEX(G:G,MATCH(DATE(YEAR($A526)-1,MONTH($A526),DAY($A526)),$A:$A,0))=""),"",G526/INDEX(G:G,MATCH(DATE(YEAR($A526)-1,MONTH($A526),DAY($A526)),$A:$A,0))-1),"")</f>
        <v/>
      </c>
      <c r="M526" s="19">
        <f>IF(OR(E526="",E525=""),"",E526/E525-1)</f>
        <v/>
      </c>
      <c r="N526" s="19">
        <f>IF(OR(F526="",F525=""),"",F526/F525-1)</f>
        <v/>
      </c>
      <c r="O526" s="19">
        <f>IF(OR(G526="",G525=""),"",G526/G525-1)</f>
        <v/>
      </c>
      <c r="P526" s="22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IF(R526="","",P526/R526)</f>
        <v/>
      </c>
      <c r="T526" s="23">
        <f>IF(R526="","",Q526/R526)</f>
        <v/>
      </c>
      <c r="U526" s="24">
        <f>IF(SUMIFS('Daily NSE Equity Options'!$M:$M,'Daily NSE Equity Options'!$A:$A,$A526)=0,"",SUMIFS('Daily NSE Equity Options'!$M:$M,'Daily NSE Equity Options'!$A:$A,$A526))</f>
        <v/>
      </c>
      <c r="V526" s="9">
        <f>IF(SUMIFS('Daily BSE Equity Options'!$M:$M,'Daily BSE Equity Options'!$A:$A,$A526)=0,"",SUMIFS('Daily BSE Equity Options'!$M:$M,'Daily BSE Equity Options'!$A:$A,$A526))</f>
        <v/>
      </c>
      <c r="W526" s="9">
        <f>IF(OR(U526="",V526=""),"",U526+V526)</f>
        <v/>
      </c>
      <c r="X526" s="25">
        <f>IF(W526="","",U526/W526)</f>
        <v/>
      </c>
      <c r="Y526" s="25">
        <f>IF(W526="","",V526/W526)</f>
        <v/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19">
        <f>IF(G527="","",E527/G527)</f>
        <v/>
      </c>
      <c r="I527" s="19">
        <f>IF(G527="","",F527/G527)</f>
        <v/>
      </c>
      <c r="J527" s="26">
        <f>IFERROR(IF(OR(E527="",INDEX(E:E,MATCH(DATE(YEAR($A527)-1,MONTH($A527),DAY($A527)),$A:$A,0))=""),"",E527/INDEX(E:E,MATCH(DATE(YEAR($A527)-1,MONTH($A527),DAY($A527)),$A:$A,0))-1),"")</f>
        <v/>
      </c>
      <c r="K527" s="19">
        <f>IFERROR(IF(OR(F527="",INDEX(F:F,MATCH(DATE(YEAR($A527)-1,MONTH($A527),DAY($A527)),$A:$A,0))=""),"",F527/INDEX(F:F,MATCH(DATE(YEAR($A527)-1,MONTH($A527),DAY($A527)),$A:$A,0))-1),"")</f>
        <v/>
      </c>
      <c r="L527" s="19">
        <f>IFERROR(IF(OR(G527="",INDEX(G:G,MATCH(DATE(YEAR($A527)-1,MONTH($A527),DAY($A527)),$A:$A,0))=""),"",G527/INDEX(G:G,MATCH(DATE(YEAR($A527)-1,MONTH($A527),DAY($A527)),$A:$A,0))-1),"")</f>
        <v/>
      </c>
      <c r="M527" s="19">
        <f>IF(OR(E527="",E526=""),"",E527/E526-1)</f>
        <v/>
      </c>
      <c r="N527" s="19">
        <f>IF(OR(F527="",F526=""),"",F527/F526-1)</f>
        <v/>
      </c>
      <c r="O527" s="19">
        <f>IF(OR(G527="",G526=""),"",G527/G526-1)</f>
        <v/>
      </c>
      <c r="P527" s="22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IF(R527="","",P527/R527)</f>
        <v/>
      </c>
      <c r="T527" s="23">
        <f>IF(R527="","",Q527/R527)</f>
        <v/>
      </c>
      <c r="U527" s="24">
        <f>IF(SUMIFS('Daily NSE Equity Options'!$M:$M,'Daily NSE Equity Options'!$A:$A,$A527)=0,"",SUMIFS('Daily NSE Equity Options'!$M:$M,'Daily NSE Equity Options'!$A:$A,$A527))</f>
        <v/>
      </c>
      <c r="V527" s="9">
        <f>IF(SUMIFS('Daily BSE Equity Options'!$M:$M,'Daily BSE Equity Options'!$A:$A,$A527)=0,"",SUMIFS('Daily BSE Equity Options'!$M:$M,'Daily BSE Equity Options'!$A:$A,$A527))</f>
        <v/>
      </c>
      <c r="W527" s="9">
        <f>IF(OR(U527="",V527=""),"",U527+V527)</f>
        <v/>
      </c>
      <c r="X527" s="25">
        <f>IF(W527="","",U527/W527)</f>
        <v/>
      </c>
      <c r="Y527" s="25">
        <f>IF(W527="","",V527/W527)</f>
        <v/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19">
        <f>IF(G528="","",E528/G528)</f>
        <v/>
      </c>
      <c r="I528" s="19">
        <f>IF(G528="","",F528/G528)</f>
        <v/>
      </c>
      <c r="J528" s="26">
        <f>IFERROR(IF(OR(E528="",INDEX(E:E,MATCH(DATE(YEAR($A528)-1,MONTH($A528),DAY($A528)),$A:$A,0))=""),"",E528/INDEX(E:E,MATCH(DATE(YEAR($A528)-1,MONTH($A528),DAY($A528)),$A:$A,0))-1),"")</f>
        <v/>
      </c>
      <c r="K528" s="19">
        <f>IFERROR(IF(OR(F528="",INDEX(F:F,MATCH(DATE(YEAR($A528)-1,MONTH($A528),DAY($A528)),$A:$A,0))=""),"",F528/INDEX(F:F,MATCH(DATE(YEAR($A528)-1,MONTH($A528),DAY($A528)),$A:$A,0))-1),"")</f>
        <v/>
      </c>
      <c r="L528" s="19">
        <f>IFERROR(IF(OR(G528="",INDEX(G:G,MATCH(DATE(YEAR($A528)-1,MONTH($A528),DAY($A528)),$A:$A,0))=""),"",G528/INDEX(G:G,MATCH(DATE(YEAR($A528)-1,MONTH($A528),DAY($A528)),$A:$A,0))-1),"")</f>
        <v/>
      </c>
      <c r="M528" s="19">
        <f>IF(OR(E528="",E527=""),"",E528/E527-1)</f>
        <v/>
      </c>
      <c r="N528" s="19">
        <f>IF(OR(F528="",F527=""),"",F528/F527-1)</f>
        <v/>
      </c>
      <c r="O528" s="19">
        <f>IF(OR(G528="",G527=""),"",G528/G527-1)</f>
        <v/>
      </c>
      <c r="P528" s="22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IF(R528="","",P528/R528)</f>
        <v/>
      </c>
      <c r="T528" s="23">
        <f>IF(R528="","",Q528/R528)</f>
        <v/>
      </c>
      <c r="U528" s="24">
        <f>IF(SUMIFS('Daily NSE Equity Options'!$M:$M,'Daily NSE Equity Options'!$A:$A,$A528)=0,"",SUMIFS('Daily NSE Equity Options'!$M:$M,'Daily NSE Equity Options'!$A:$A,$A528))</f>
        <v/>
      </c>
      <c r="V528" s="9">
        <f>IF(SUMIFS('Daily BSE Equity Options'!$M:$M,'Daily BSE Equity Options'!$A:$A,$A528)=0,"",SUMIFS('Daily BSE Equity Options'!$M:$M,'Daily BSE Equity Options'!$A:$A,$A528))</f>
        <v/>
      </c>
      <c r="W528" s="9">
        <f>IF(OR(U528="",V528=""),"",U528+V528)</f>
        <v/>
      </c>
      <c r="X528" s="25">
        <f>IF(W528="","",U528/W528)</f>
        <v/>
      </c>
      <c r="Y528" s="25">
        <f>IF(W528="","",V528/W528)</f>
        <v/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19">
        <f>IF(G529="","",E529/G529)</f>
        <v/>
      </c>
      <c r="I529" s="19">
        <f>IF(G529="","",F529/G529)</f>
        <v/>
      </c>
      <c r="J529" s="26">
        <f>IFERROR(IF(OR(E529="",INDEX(E:E,MATCH(DATE(YEAR($A529)-1,MONTH($A529),DAY($A529)),$A:$A,0))=""),"",E529/INDEX(E:E,MATCH(DATE(YEAR($A529)-1,MONTH($A529),DAY($A529)),$A:$A,0))-1),"")</f>
        <v/>
      </c>
      <c r="K529" s="19">
        <f>IFERROR(IF(OR(F529="",INDEX(F:F,MATCH(DATE(YEAR($A529)-1,MONTH($A529),DAY($A529)),$A:$A,0))=""),"",F529/INDEX(F:F,MATCH(DATE(YEAR($A529)-1,MONTH($A529),DAY($A529)),$A:$A,0))-1),"")</f>
        <v/>
      </c>
      <c r="L529" s="19">
        <f>IFERROR(IF(OR(G529="",INDEX(G:G,MATCH(DATE(YEAR($A529)-1,MONTH($A529),DAY($A529)),$A:$A,0))=""),"",G529/INDEX(G:G,MATCH(DATE(YEAR($A529)-1,MONTH($A529),DAY($A529)),$A:$A,0))-1),"")</f>
        <v/>
      </c>
      <c r="M529" s="19">
        <f>IF(OR(E529="",E528=""),"",E529/E528-1)</f>
        <v/>
      </c>
      <c r="N529" s="19">
        <f>IF(OR(F529="",F528=""),"",F529/F528-1)</f>
        <v/>
      </c>
      <c r="O529" s="19">
        <f>IF(OR(G529="",G528=""),"",G529/G528-1)</f>
        <v/>
      </c>
      <c r="P529" s="22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IF(R529="","",P529/R529)</f>
        <v/>
      </c>
      <c r="T529" s="23">
        <f>IF(R529="","",Q529/R529)</f>
        <v/>
      </c>
      <c r="U529" s="24">
        <f>IF(SUMIFS('Daily NSE Equity Options'!$M:$M,'Daily NSE Equity Options'!$A:$A,$A529)=0,"",SUMIFS('Daily NSE Equity Options'!$M:$M,'Daily NSE Equity Options'!$A:$A,$A529))</f>
        <v/>
      </c>
      <c r="V529" s="9">
        <f>IF(SUMIFS('Daily BSE Equity Options'!$M:$M,'Daily BSE Equity Options'!$A:$A,$A529)=0,"",SUMIFS('Daily BSE Equity Options'!$M:$M,'Daily BSE Equity Options'!$A:$A,$A529))</f>
        <v/>
      </c>
      <c r="W529" s="9">
        <f>IF(OR(U529="",V529=""),"",U529+V529)</f>
        <v/>
      </c>
      <c r="X529" s="25">
        <f>IF(W529="","",U529/W529)</f>
        <v/>
      </c>
      <c r="Y529" s="25">
        <f>IF(W529="","",V529/W529)</f>
        <v/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19">
        <f>IF(G530="","",E530/G530)</f>
        <v/>
      </c>
      <c r="I530" s="19">
        <f>IF(G530="","",F530/G530)</f>
        <v/>
      </c>
      <c r="J530" s="26">
        <f>IFERROR(IF(OR(E530="",INDEX(E:E,MATCH(DATE(YEAR($A530)-1,MONTH($A530),DAY($A530)),$A:$A,0))=""),"",E530/INDEX(E:E,MATCH(DATE(YEAR($A530)-1,MONTH($A530),DAY($A530)),$A:$A,0))-1),"")</f>
        <v/>
      </c>
      <c r="K530" s="19">
        <f>IFERROR(IF(OR(F530="",INDEX(F:F,MATCH(DATE(YEAR($A530)-1,MONTH($A530),DAY($A530)),$A:$A,0))=""),"",F530/INDEX(F:F,MATCH(DATE(YEAR($A530)-1,MONTH($A530),DAY($A530)),$A:$A,0))-1),"")</f>
        <v/>
      </c>
      <c r="L530" s="19">
        <f>IFERROR(IF(OR(G530="",INDEX(G:G,MATCH(DATE(YEAR($A530)-1,MONTH($A530),DAY($A530)),$A:$A,0))=""),"",G530/INDEX(G:G,MATCH(DATE(YEAR($A530)-1,MONTH($A530),DAY($A530)),$A:$A,0))-1),"")</f>
        <v/>
      </c>
      <c r="M530" s="19">
        <f>IF(OR(E530="",E529=""),"",E530/E529-1)</f>
        <v/>
      </c>
      <c r="N530" s="19">
        <f>IF(OR(F530="",F529=""),"",F530/F529-1)</f>
        <v/>
      </c>
      <c r="O530" s="19">
        <f>IF(OR(G530="",G529=""),"",G530/G529-1)</f>
        <v/>
      </c>
      <c r="P530" s="22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IF(R530="","",P530/R530)</f>
        <v/>
      </c>
      <c r="T530" s="23">
        <f>IF(R530="","",Q530/R530)</f>
        <v/>
      </c>
      <c r="U530" s="24">
        <f>IF(SUMIFS('Daily NSE Equity Options'!$M:$M,'Daily NSE Equity Options'!$A:$A,$A530)=0,"",SUMIFS('Daily NSE Equity Options'!$M:$M,'Daily NSE Equity Options'!$A:$A,$A530))</f>
        <v/>
      </c>
      <c r="V530" s="9">
        <f>IF(SUMIFS('Daily BSE Equity Options'!$M:$M,'Daily BSE Equity Options'!$A:$A,$A530)=0,"",SUMIFS('Daily BSE Equity Options'!$M:$M,'Daily BSE Equity Options'!$A:$A,$A530))</f>
        <v/>
      </c>
      <c r="W530" s="9">
        <f>IF(OR(U530="",V530=""),"",U530+V530)</f>
        <v/>
      </c>
      <c r="X530" s="25">
        <f>IF(W530="","",U530/W530)</f>
        <v/>
      </c>
      <c r="Y530" s="25">
        <f>IF(W530="","",V530/W530)</f>
        <v/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19">
        <f>IF(G531="","",E531/G531)</f>
        <v/>
      </c>
      <c r="I531" s="19">
        <f>IF(G531="","",F531/G531)</f>
        <v/>
      </c>
      <c r="J531" s="26">
        <f>IFERROR(IF(OR(E531="",INDEX(E:E,MATCH(DATE(YEAR($A531)-1,MONTH($A531),DAY($A531)),$A:$A,0))=""),"",E531/INDEX(E:E,MATCH(DATE(YEAR($A531)-1,MONTH($A531),DAY($A531)),$A:$A,0))-1),"")</f>
        <v/>
      </c>
      <c r="K531" s="19">
        <f>IFERROR(IF(OR(F531="",INDEX(F:F,MATCH(DATE(YEAR($A531)-1,MONTH($A531),DAY($A531)),$A:$A,0))=""),"",F531/INDEX(F:F,MATCH(DATE(YEAR($A531)-1,MONTH($A531),DAY($A531)),$A:$A,0))-1),"")</f>
        <v/>
      </c>
      <c r="L531" s="19">
        <f>IFERROR(IF(OR(G531="",INDEX(G:G,MATCH(DATE(YEAR($A531)-1,MONTH($A531),DAY($A531)),$A:$A,0))=""),"",G531/INDEX(G:G,MATCH(DATE(YEAR($A531)-1,MONTH($A531),DAY($A531)),$A:$A,0))-1),"")</f>
        <v/>
      </c>
      <c r="M531" s="19">
        <f>IF(OR(E531="",E530=""),"",E531/E530-1)</f>
        <v/>
      </c>
      <c r="N531" s="19">
        <f>IF(OR(F531="",F530=""),"",F531/F530-1)</f>
        <v/>
      </c>
      <c r="O531" s="19">
        <f>IF(OR(G531="",G530=""),"",G531/G530-1)</f>
        <v/>
      </c>
      <c r="P531" s="22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IF(R531="","",P531/R531)</f>
        <v/>
      </c>
      <c r="T531" s="23">
        <f>IF(R531="","",Q531/R531)</f>
        <v/>
      </c>
      <c r="U531" s="24">
        <f>IF(SUMIFS('Daily NSE Equity Options'!$M:$M,'Daily NSE Equity Options'!$A:$A,$A531)=0,"",SUMIFS('Daily NSE Equity Options'!$M:$M,'Daily NSE Equity Options'!$A:$A,$A531))</f>
        <v/>
      </c>
      <c r="V531" s="9">
        <f>IF(SUMIFS('Daily BSE Equity Options'!$M:$M,'Daily BSE Equity Options'!$A:$A,$A531)=0,"",SUMIFS('Daily BSE Equity Options'!$M:$M,'Daily BSE Equity Options'!$A:$A,$A531))</f>
        <v/>
      </c>
      <c r="W531" s="9">
        <f>IF(OR(U531="",V531=""),"",U531+V531)</f>
        <v/>
      </c>
      <c r="X531" s="25">
        <f>IF(W531="","",U531/W531)</f>
        <v/>
      </c>
      <c r="Y531" s="25">
        <f>IF(W531="","",V531/W531)</f>
        <v/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19">
        <f>IF(G532="","",E532/G532)</f>
        <v/>
      </c>
      <c r="I532" s="19">
        <f>IF(G532="","",F532/G532)</f>
        <v/>
      </c>
      <c r="J532" s="26">
        <f>IFERROR(IF(OR(E532="",INDEX(E:E,MATCH(DATE(YEAR($A532)-1,MONTH($A532),DAY($A532)),$A:$A,0))=""),"",E532/INDEX(E:E,MATCH(DATE(YEAR($A532)-1,MONTH($A532),DAY($A532)),$A:$A,0))-1),"")</f>
        <v/>
      </c>
      <c r="K532" s="19">
        <f>IFERROR(IF(OR(F532="",INDEX(F:F,MATCH(DATE(YEAR($A532)-1,MONTH($A532),DAY($A532)),$A:$A,0))=""),"",F532/INDEX(F:F,MATCH(DATE(YEAR($A532)-1,MONTH($A532),DAY($A532)),$A:$A,0))-1),"")</f>
        <v/>
      </c>
      <c r="L532" s="19">
        <f>IFERROR(IF(OR(G532="",INDEX(G:G,MATCH(DATE(YEAR($A532)-1,MONTH($A532),DAY($A532)),$A:$A,0))=""),"",G532/INDEX(G:G,MATCH(DATE(YEAR($A532)-1,MONTH($A532),DAY($A532)),$A:$A,0))-1),"")</f>
        <v/>
      </c>
      <c r="M532" s="19">
        <f>IF(OR(E532="",E531=""),"",E532/E531-1)</f>
        <v/>
      </c>
      <c r="N532" s="19">
        <f>IF(OR(F532="",F531=""),"",F532/F531-1)</f>
        <v/>
      </c>
      <c r="O532" s="19">
        <f>IF(OR(G532="",G531=""),"",G532/G531-1)</f>
        <v/>
      </c>
      <c r="P532" s="22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IF(R532="","",P532/R532)</f>
        <v/>
      </c>
      <c r="T532" s="23">
        <f>IF(R532="","",Q532/R532)</f>
        <v/>
      </c>
      <c r="U532" s="24">
        <f>IF(SUMIFS('Daily NSE Equity Options'!$M:$M,'Daily NSE Equity Options'!$A:$A,$A532)=0,"",SUMIFS('Daily NSE Equity Options'!$M:$M,'Daily NSE Equity Options'!$A:$A,$A532))</f>
        <v/>
      </c>
      <c r="V532" s="9">
        <f>IF(SUMIFS('Daily BSE Equity Options'!$M:$M,'Daily BSE Equity Options'!$A:$A,$A532)=0,"",SUMIFS('Daily BSE Equity Options'!$M:$M,'Daily BSE Equity Options'!$A:$A,$A532))</f>
        <v/>
      </c>
      <c r="W532" s="9">
        <f>IF(OR(U532="",V532=""),"",U532+V532)</f>
        <v/>
      </c>
      <c r="X532" s="25">
        <f>IF(W532="","",U532/W532)</f>
        <v/>
      </c>
      <c r="Y532" s="25">
        <f>IF(W532="","",V532/W532)</f>
        <v/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19">
        <f>IF(G533="","",E533/G533)</f>
        <v/>
      </c>
      <c r="I533" s="19">
        <f>IF(G533="","",F533/G533)</f>
        <v/>
      </c>
      <c r="J533" s="26">
        <f>IFERROR(IF(OR(E533="",INDEX(E:E,MATCH(DATE(YEAR($A533)-1,MONTH($A533),DAY($A533)),$A:$A,0))=""),"",E533/INDEX(E:E,MATCH(DATE(YEAR($A533)-1,MONTH($A533),DAY($A533)),$A:$A,0))-1),"")</f>
        <v/>
      </c>
      <c r="K533" s="19">
        <f>IFERROR(IF(OR(F533="",INDEX(F:F,MATCH(DATE(YEAR($A533)-1,MONTH($A533),DAY($A533)),$A:$A,0))=""),"",F533/INDEX(F:F,MATCH(DATE(YEAR($A533)-1,MONTH($A533),DAY($A533)),$A:$A,0))-1),"")</f>
        <v/>
      </c>
      <c r="L533" s="19">
        <f>IFERROR(IF(OR(G533="",INDEX(G:G,MATCH(DATE(YEAR($A533)-1,MONTH($A533),DAY($A533)),$A:$A,0))=""),"",G533/INDEX(G:G,MATCH(DATE(YEAR($A533)-1,MONTH($A533),DAY($A533)),$A:$A,0))-1),"")</f>
        <v/>
      </c>
      <c r="M533" s="19">
        <f>IF(OR(E533="",E532=""),"",E533/E532-1)</f>
        <v/>
      </c>
      <c r="N533" s="19">
        <f>IF(OR(F533="",F532=""),"",F533/F532-1)</f>
        <v/>
      </c>
      <c r="O533" s="19">
        <f>IF(OR(G533="",G532=""),"",G533/G532-1)</f>
        <v/>
      </c>
      <c r="P533" s="22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IF(R533="","",P533/R533)</f>
        <v/>
      </c>
      <c r="T533" s="23">
        <f>IF(R533="","",Q533/R533)</f>
        <v/>
      </c>
      <c r="U533" s="24">
        <f>IF(SUMIFS('Daily NSE Equity Options'!$M:$M,'Daily NSE Equity Options'!$A:$A,$A533)=0,"",SUMIFS('Daily NSE Equity Options'!$M:$M,'Daily NSE Equity Options'!$A:$A,$A533))</f>
        <v/>
      </c>
      <c r="V533" s="9">
        <f>IF(SUMIFS('Daily BSE Equity Options'!$M:$M,'Daily BSE Equity Options'!$A:$A,$A533)=0,"",SUMIFS('Daily BSE Equity Options'!$M:$M,'Daily BSE Equity Options'!$A:$A,$A533))</f>
        <v/>
      </c>
      <c r="W533" s="9">
        <f>IF(OR(U533="",V533=""),"",U533+V533)</f>
        <v/>
      </c>
      <c r="X533" s="25">
        <f>IF(W533="","",U533/W533)</f>
        <v/>
      </c>
      <c r="Y533" s="25">
        <f>IF(W533="","",V533/W533)</f>
        <v/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19">
        <f>IF(G534="","",E534/G534)</f>
        <v/>
      </c>
      <c r="I534" s="19">
        <f>IF(G534="","",F534/G534)</f>
        <v/>
      </c>
      <c r="J534" s="26">
        <f>IFERROR(IF(OR(E534="",INDEX(E:E,MATCH(DATE(YEAR($A534)-1,MONTH($A534),DAY($A534)),$A:$A,0))=""),"",E534/INDEX(E:E,MATCH(DATE(YEAR($A534)-1,MONTH($A534),DAY($A534)),$A:$A,0))-1),"")</f>
        <v/>
      </c>
      <c r="K534" s="19">
        <f>IFERROR(IF(OR(F534="",INDEX(F:F,MATCH(DATE(YEAR($A534)-1,MONTH($A534),DAY($A534)),$A:$A,0))=""),"",F534/INDEX(F:F,MATCH(DATE(YEAR($A534)-1,MONTH($A534),DAY($A534)),$A:$A,0))-1),"")</f>
        <v/>
      </c>
      <c r="L534" s="19">
        <f>IFERROR(IF(OR(G534="",INDEX(G:G,MATCH(DATE(YEAR($A534)-1,MONTH($A534),DAY($A534)),$A:$A,0))=""),"",G534/INDEX(G:G,MATCH(DATE(YEAR($A534)-1,MONTH($A534),DAY($A534)),$A:$A,0))-1),"")</f>
        <v/>
      </c>
      <c r="M534" s="19">
        <f>IF(OR(E534="",E533=""),"",E534/E533-1)</f>
        <v/>
      </c>
      <c r="N534" s="19">
        <f>IF(OR(F534="",F533=""),"",F534/F533-1)</f>
        <v/>
      </c>
      <c r="O534" s="19">
        <f>IF(OR(G534="",G533=""),"",G534/G533-1)</f>
        <v/>
      </c>
      <c r="P534" s="22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IF(R534="","",P534/R534)</f>
        <v/>
      </c>
      <c r="T534" s="23">
        <f>IF(R534="","",Q534/R534)</f>
        <v/>
      </c>
      <c r="U534" s="24">
        <f>IF(SUMIFS('Daily NSE Equity Options'!$M:$M,'Daily NSE Equity Options'!$A:$A,$A534)=0,"",SUMIFS('Daily NSE Equity Options'!$M:$M,'Daily NSE Equity Options'!$A:$A,$A534))</f>
        <v/>
      </c>
      <c r="V534" s="9">
        <f>IF(SUMIFS('Daily BSE Equity Options'!$M:$M,'Daily BSE Equity Options'!$A:$A,$A534)=0,"",SUMIFS('Daily BSE Equity Options'!$M:$M,'Daily BSE Equity Options'!$A:$A,$A534))</f>
        <v/>
      </c>
      <c r="W534" s="9">
        <f>IF(OR(U534="",V534=""),"",U534+V534)</f>
        <v/>
      </c>
      <c r="X534" s="25">
        <f>IF(W534="","",U534/W534)</f>
        <v/>
      </c>
      <c r="Y534" s="25">
        <f>IF(W534="","",V534/W534)</f>
        <v/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19">
        <f>IF(G535="","",E535/G535)</f>
        <v/>
      </c>
      <c r="I535" s="19">
        <f>IF(G535="","",F535/G535)</f>
        <v/>
      </c>
      <c r="J535" s="26">
        <f>IFERROR(IF(OR(E535="",INDEX(E:E,MATCH(DATE(YEAR($A535)-1,MONTH($A535),DAY($A535)),$A:$A,0))=""),"",E535/INDEX(E:E,MATCH(DATE(YEAR($A535)-1,MONTH($A535),DAY($A535)),$A:$A,0))-1),"")</f>
        <v/>
      </c>
      <c r="K535" s="19">
        <f>IFERROR(IF(OR(F535="",INDEX(F:F,MATCH(DATE(YEAR($A535)-1,MONTH($A535),DAY($A535)),$A:$A,0))=""),"",F535/INDEX(F:F,MATCH(DATE(YEAR($A535)-1,MONTH($A535),DAY($A535)),$A:$A,0))-1),"")</f>
        <v/>
      </c>
      <c r="L535" s="19">
        <f>IFERROR(IF(OR(G535="",INDEX(G:G,MATCH(DATE(YEAR($A535)-1,MONTH($A535),DAY($A535)),$A:$A,0))=""),"",G535/INDEX(G:G,MATCH(DATE(YEAR($A535)-1,MONTH($A535),DAY($A535)),$A:$A,0))-1),"")</f>
        <v/>
      </c>
      <c r="M535" s="19">
        <f>IF(OR(E535="",E534=""),"",E535/E534-1)</f>
        <v/>
      </c>
      <c r="N535" s="19">
        <f>IF(OR(F535="",F534=""),"",F535/F534-1)</f>
        <v/>
      </c>
      <c r="O535" s="19">
        <f>IF(OR(G535="",G534=""),"",G535/G534-1)</f>
        <v/>
      </c>
      <c r="P535" s="22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IF(R535="","",P535/R535)</f>
        <v/>
      </c>
      <c r="T535" s="23">
        <f>IF(R535="","",Q535/R535)</f>
        <v/>
      </c>
      <c r="U535" s="24">
        <f>IF(SUMIFS('Daily NSE Equity Options'!$M:$M,'Daily NSE Equity Options'!$A:$A,$A535)=0,"",SUMIFS('Daily NSE Equity Options'!$M:$M,'Daily NSE Equity Options'!$A:$A,$A535))</f>
        <v/>
      </c>
      <c r="V535" s="9">
        <f>IF(SUMIFS('Daily BSE Equity Options'!$M:$M,'Daily BSE Equity Options'!$A:$A,$A535)=0,"",SUMIFS('Daily BSE Equity Options'!$M:$M,'Daily BSE Equity Options'!$A:$A,$A535))</f>
        <v/>
      </c>
      <c r="W535" s="9">
        <f>IF(OR(U535="",V535=""),"",U535+V535)</f>
        <v/>
      </c>
      <c r="X535" s="25">
        <f>IF(W535="","",U535/W535)</f>
        <v/>
      </c>
      <c r="Y535" s="25">
        <f>IF(W535="","",V535/W535)</f>
        <v/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19">
        <f>IF(G536="","",E536/G536)</f>
        <v/>
      </c>
      <c r="I536" s="19">
        <f>IF(G536="","",F536/G536)</f>
        <v/>
      </c>
      <c r="J536" s="26">
        <f>IFERROR(IF(OR(E536="",INDEX(E:E,MATCH(DATE(YEAR($A536)-1,MONTH($A536),DAY($A536)),$A:$A,0))=""),"",E536/INDEX(E:E,MATCH(DATE(YEAR($A536)-1,MONTH($A536),DAY($A536)),$A:$A,0))-1),"")</f>
        <v/>
      </c>
      <c r="K536" s="19">
        <f>IFERROR(IF(OR(F536="",INDEX(F:F,MATCH(DATE(YEAR($A536)-1,MONTH($A536),DAY($A536)),$A:$A,0))=""),"",F536/INDEX(F:F,MATCH(DATE(YEAR($A536)-1,MONTH($A536),DAY($A536)),$A:$A,0))-1),"")</f>
        <v/>
      </c>
      <c r="L536" s="19">
        <f>IFERROR(IF(OR(G536="",INDEX(G:G,MATCH(DATE(YEAR($A536)-1,MONTH($A536),DAY($A536)),$A:$A,0))=""),"",G536/INDEX(G:G,MATCH(DATE(YEAR($A536)-1,MONTH($A536),DAY($A536)),$A:$A,0))-1),"")</f>
        <v/>
      </c>
      <c r="M536" s="19">
        <f>IF(OR(E536="",E535=""),"",E536/E535-1)</f>
        <v/>
      </c>
      <c r="N536" s="19">
        <f>IF(OR(F536="",F535=""),"",F536/F535-1)</f>
        <v/>
      </c>
      <c r="O536" s="19">
        <f>IF(OR(G536="",G535=""),"",G536/G535-1)</f>
        <v/>
      </c>
      <c r="P536" s="22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IF(R536="","",P536/R536)</f>
        <v/>
      </c>
      <c r="T536" s="23">
        <f>IF(R536="","",Q536/R536)</f>
        <v/>
      </c>
      <c r="U536" s="24">
        <f>IF(SUMIFS('Daily NSE Equity Options'!$M:$M,'Daily NSE Equity Options'!$A:$A,$A536)=0,"",SUMIFS('Daily NSE Equity Options'!$M:$M,'Daily NSE Equity Options'!$A:$A,$A536))</f>
        <v/>
      </c>
      <c r="V536" s="9">
        <f>IF(SUMIFS('Daily BSE Equity Options'!$M:$M,'Daily BSE Equity Options'!$A:$A,$A536)=0,"",SUMIFS('Daily BSE Equity Options'!$M:$M,'Daily BSE Equity Options'!$A:$A,$A536))</f>
        <v/>
      </c>
      <c r="W536" s="9">
        <f>IF(OR(U536="",V536=""),"",U536+V536)</f>
        <v/>
      </c>
      <c r="X536" s="25">
        <f>IF(W536="","",U536/W536)</f>
        <v/>
      </c>
      <c r="Y536" s="25">
        <f>IF(W536="","",V536/W536)</f>
        <v/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19">
        <f>IF(G537="","",E537/G537)</f>
        <v/>
      </c>
      <c r="I537" s="19">
        <f>IF(G537="","",F537/G537)</f>
        <v/>
      </c>
      <c r="J537" s="26">
        <f>IFERROR(IF(OR(E537="",INDEX(E:E,MATCH(DATE(YEAR($A537)-1,MONTH($A537),DAY($A537)),$A:$A,0))=""),"",E537/INDEX(E:E,MATCH(DATE(YEAR($A537)-1,MONTH($A537),DAY($A537)),$A:$A,0))-1),"")</f>
        <v/>
      </c>
      <c r="K537" s="19">
        <f>IFERROR(IF(OR(F537="",INDEX(F:F,MATCH(DATE(YEAR($A537)-1,MONTH($A537),DAY($A537)),$A:$A,0))=""),"",F537/INDEX(F:F,MATCH(DATE(YEAR($A537)-1,MONTH($A537),DAY($A537)),$A:$A,0))-1),"")</f>
        <v/>
      </c>
      <c r="L537" s="19">
        <f>IFERROR(IF(OR(G537="",INDEX(G:G,MATCH(DATE(YEAR($A537)-1,MONTH($A537),DAY($A537)),$A:$A,0))=""),"",G537/INDEX(G:G,MATCH(DATE(YEAR($A537)-1,MONTH($A537),DAY($A537)),$A:$A,0))-1),"")</f>
        <v/>
      </c>
      <c r="M537" s="19">
        <f>IF(OR(E537="",E536=""),"",E537/E536-1)</f>
        <v/>
      </c>
      <c r="N537" s="19">
        <f>IF(OR(F537="",F536=""),"",F537/F536-1)</f>
        <v/>
      </c>
      <c r="O537" s="19">
        <f>IF(OR(G537="",G536=""),"",G537/G536-1)</f>
        <v/>
      </c>
      <c r="P537" s="22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IF(R537="","",P537/R537)</f>
        <v/>
      </c>
      <c r="T537" s="23">
        <f>IF(R537="","",Q537/R537)</f>
        <v/>
      </c>
      <c r="U537" s="24">
        <f>IF(SUMIFS('Daily NSE Equity Options'!$M:$M,'Daily NSE Equity Options'!$A:$A,$A537)=0,"",SUMIFS('Daily NSE Equity Options'!$M:$M,'Daily NSE Equity Options'!$A:$A,$A537))</f>
        <v/>
      </c>
      <c r="V537" s="9">
        <f>IF(SUMIFS('Daily BSE Equity Options'!$M:$M,'Daily BSE Equity Options'!$A:$A,$A537)=0,"",SUMIFS('Daily BSE Equity Options'!$M:$M,'Daily BSE Equity Options'!$A:$A,$A537))</f>
        <v/>
      </c>
      <c r="W537" s="9">
        <f>IF(OR(U537="",V537=""),"",U537+V537)</f>
        <v/>
      </c>
      <c r="X537" s="25">
        <f>IF(W537="","",U537/W537)</f>
        <v/>
      </c>
      <c r="Y537" s="25">
        <f>IF(W537="","",V537/W537)</f>
        <v/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19">
        <f>IF(G538="","",E538/G538)</f>
        <v/>
      </c>
      <c r="I538" s="19">
        <f>IF(G538="","",F538/G538)</f>
        <v/>
      </c>
      <c r="J538" s="26">
        <f>IFERROR(IF(OR(E538="",INDEX(E:E,MATCH(DATE(YEAR($A538)-1,MONTH($A538),DAY($A538)),$A:$A,0))=""),"",E538/INDEX(E:E,MATCH(DATE(YEAR($A538)-1,MONTH($A538),DAY($A538)),$A:$A,0))-1),"")</f>
        <v/>
      </c>
      <c r="K538" s="19">
        <f>IFERROR(IF(OR(F538="",INDEX(F:F,MATCH(DATE(YEAR($A538)-1,MONTH($A538),DAY($A538)),$A:$A,0))=""),"",F538/INDEX(F:F,MATCH(DATE(YEAR($A538)-1,MONTH($A538),DAY($A538)),$A:$A,0))-1),"")</f>
        <v/>
      </c>
      <c r="L538" s="19">
        <f>IFERROR(IF(OR(G538="",INDEX(G:G,MATCH(DATE(YEAR($A538)-1,MONTH($A538),DAY($A538)),$A:$A,0))=""),"",G538/INDEX(G:G,MATCH(DATE(YEAR($A538)-1,MONTH($A538),DAY($A538)),$A:$A,0))-1),"")</f>
        <v/>
      </c>
      <c r="M538" s="19">
        <f>IF(OR(E538="",E537=""),"",E538/E537-1)</f>
        <v/>
      </c>
      <c r="N538" s="19">
        <f>IF(OR(F538="",F537=""),"",F538/F537-1)</f>
        <v/>
      </c>
      <c r="O538" s="19">
        <f>IF(OR(G538="",G537=""),"",G538/G537-1)</f>
        <v/>
      </c>
      <c r="P538" s="22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IF(R538="","",P538/R538)</f>
        <v/>
      </c>
      <c r="T538" s="23">
        <f>IF(R538="","",Q538/R538)</f>
        <v/>
      </c>
      <c r="U538" s="24">
        <f>IF(SUMIFS('Daily NSE Equity Options'!$M:$M,'Daily NSE Equity Options'!$A:$A,$A538)=0,"",SUMIFS('Daily NSE Equity Options'!$M:$M,'Daily NSE Equity Options'!$A:$A,$A538))</f>
        <v/>
      </c>
      <c r="V538" s="9">
        <f>IF(SUMIFS('Daily BSE Equity Options'!$M:$M,'Daily BSE Equity Options'!$A:$A,$A538)=0,"",SUMIFS('Daily BSE Equity Options'!$M:$M,'Daily BSE Equity Options'!$A:$A,$A538))</f>
        <v/>
      </c>
      <c r="W538" s="9">
        <f>IF(OR(U538="",V538=""),"",U538+V538)</f>
        <v/>
      </c>
      <c r="X538" s="25">
        <f>IF(W538="","",U538/W538)</f>
        <v/>
      </c>
      <c r="Y538" s="25">
        <f>IF(W538="","",V538/W538)</f>
        <v/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19">
        <f>IF(G539="","",E539/G539)</f>
        <v/>
      </c>
      <c r="I539" s="19">
        <f>IF(G539="","",F539/G539)</f>
        <v/>
      </c>
      <c r="J539" s="26">
        <f>IFERROR(IF(OR(E539="",INDEX(E:E,MATCH(DATE(YEAR($A539)-1,MONTH($A539),DAY($A539)),$A:$A,0))=""),"",E539/INDEX(E:E,MATCH(DATE(YEAR($A539)-1,MONTH($A539),DAY($A539)),$A:$A,0))-1),"")</f>
        <v/>
      </c>
      <c r="K539" s="19">
        <f>IFERROR(IF(OR(F539="",INDEX(F:F,MATCH(DATE(YEAR($A539)-1,MONTH($A539),DAY($A539)),$A:$A,0))=""),"",F539/INDEX(F:F,MATCH(DATE(YEAR($A539)-1,MONTH($A539),DAY($A539)),$A:$A,0))-1),"")</f>
        <v/>
      </c>
      <c r="L539" s="19">
        <f>IFERROR(IF(OR(G539="",INDEX(G:G,MATCH(DATE(YEAR($A539)-1,MONTH($A539),DAY($A539)),$A:$A,0))=""),"",G539/INDEX(G:G,MATCH(DATE(YEAR($A539)-1,MONTH($A539),DAY($A539)),$A:$A,0))-1),"")</f>
        <v/>
      </c>
      <c r="M539" s="19">
        <f>IF(OR(E539="",E538=""),"",E539/E538-1)</f>
        <v/>
      </c>
      <c r="N539" s="19">
        <f>IF(OR(F539="",F538=""),"",F539/F538-1)</f>
        <v/>
      </c>
      <c r="O539" s="19">
        <f>IF(OR(G539="",G538=""),"",G539/G538-1)</f>
        <v/>
      </c>
      <c r="P539" s="22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IF(R539="","",P539/R539)</f>
        <v/>
      </c>
      <c r="T539" s="23">
        <f>IF(R539="","",Q539/R539)</f>
        <v/>
      </c>
      <c r="U539" s="24">
        <f>IF(SUMIFS('Daily NSE Equity Options'!$M:$M,'Daily NSE Equity Options'!$A:$A,$A539)=0,"",SUMIFS('Daily NSE Equity Options'!$M:$M,'Daily NSE Equity Options'!$A:$A,$A539))</f>
        <v/>
      </c>
      <c r="V539" s="9">
        <f>IF(SUMIFS('Daily BSE Equity Options'!$M:$M,'Daily BSE Equity Options'!$A:$A,$A539)=0,"",SUMIFS('Daily BSE Equity Options'!$M:$M,'Daily BSE Equity Options'!$A:$A,$A539))</f>
        <v/>
      </c>
      <c r="W539" s="9">
        <f>IF(OR(U539="",V539=""),"",U539+V539)</f>
        <v/>
      </c>
      <c r="X539" s="25">
        <f>IF(W539="","",U539/W539)</f>
        <v/>
      </c>
      <c r="Y539" s="25">
        <f>IF(W539="","",V539/W539)</f>
        <v/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19">
        <f>IF(G540="","",E540/G540)</f>
        <v/>
      </c>
      <c r="I540" s="19">
        <f>IF(G540="","",F540/G540)</f>
        <v/>
      </c>
      <c r="J540" s="26">
        <f>IFERROR(IF(OR(E540="",INDEX(E:E,MATCH(DATE(YEAR($A540)-1,MONTH($A540),DAY($A540)),$A:$A,0))=""),"",E540/INDEX(E:E,MATCH(DATE(YEAR($A540)-1,MONTH($A540),DAY($A540)),$A:$A,0))-1),"")</f>
        <v/>
      </c>
      <c r="K540" s="19">
        <f>IFERROR(IF(OR(F540="",INDEX(F:F,MATCH(DATE(YEAR($A540)-1,MONTH($A540),DAY($A540)),$A:$A,0))=""),"",F540/INDEX(F:F,MATCH(DATE(YEAR($A540)-1,MONTH($A540),DAY($A540)),$A:$A,0))-1),"")</f>
        <v/>
      </c>
      <c r="L540" s="19">
        <f>IFERROR(IF(OR(G540="",INDEX(G:G,MATCH(DATE(YEAR($A540)-1,MONTH($A540),DAY($A540)),$A:$A,0))=""),"",G540/INDEX(G:G,MATCH(DATE(YEAR($A540)-1,MONTH($A540),DAY($A540)),$A:$A,0))-1),"")</f>
        <v/>
      </c>
      <c r="M540" s="19">
        <f>IF(OR(E540="",E539=""),"",E540/E539-1)</f>
        <v/>
      </c>
      <c r="N540" s="19">
        <f>IF(OR(F540="",F539=""),"",F540/F539-1)</f>
        <v/>
      </c>
      <c r="O540" s="19">
        <f>IF(OR(G540="",G539=""),"",G540/G539-1)</f>
        <v/>
      </c>
      <c r="P540" s="22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IF(R540="","",P540/R540)</f>
        <v/>
      </c>
      <c r="T540" s="23">
        <f>IF(R540="","",Q540/R540)</f>
        <v/>
      </c>
      <c r="U540" s="24">
        <f>IF(SUMIFS('Daily NSE Equity Options'!$M:$M,'Daily NSE Equity Options'!$A:$A,$A540)=0,"",SUMIFS('Daily NSE Equity Options'!$M:$M,'Daily NSE Equity Options'!$A:$A,$A540))</f>
        <v/>
      </c>
      <c r="V540" s="9">
        <f>IF(SUMIFS('Daily BSE Equity Options'!$M:$M,'Daily BSE Equity Options'!$A:$A,$A540)=0,"",SUMIFS('Daily BSE Equity Options'!$M:$M,'Daily BSE Equity Options'!$A:$A,$A540))</f>
        <v/>
      </c>
      <c r="W540" s="9">
        <f>IF(OR(U540="",V540=""),"",U540+V540)</f>
        <v/>
      </c>
      <c r="X540" s="25">
        <f>IF(W540="","",U540/W540)</f>
        <v/>
      </c>
      <c r="Y540" s="25">
        <f>IF(W540="","",V540/W540)</f>
        <v/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19">
        <f>IF(G541="","",E541/G541)</f>
        <v/>
      </c>
      <c r="I541" s="19">
        <f>IF(G541="","",F541/G541)</f>
        <v/>
      </c>
      <c r="J541" s="26">
        <f>IFERROR(IF(OR(E541="",INDEX(E:E,MATCH(DATE(YEAR($A541)-1,MONTH($A541),DAY($A541)),$A:$A,0))=""),"",E541/INDEX(E:E,MATCH(DATE(YEAR($A541)-1,MONTH($A541),DAY($A541)),$A:$A,0))-1),"")</f>
        <v/>
      </c>
      <c r="K541" s="19">
        <f>IFERROR(IF(OR(F541="",INDEX(F:F,MATCH(DATE(YEAR($A541)-1,MONTH($A541),DAY($A541)),$A:$A,0))=""),"",F541/INDEX(F:F,MATCH(DATE(YEAR($A541)-1,MONTH($A541),DAY($A541)),$A:$A,0))-1),"")</f>
        <v/>
      </c>
      <c r="L541" s="19">
        <f>IFERROR(IF(OR(G541="",INDEX(G:G,MATCH(DATE(YEAR($A541)-1,MONTH($A541),DAY($A541)),$A:$A,0))=""),"",G541/INDEX(G:G,MATCH(DATE(YEAR($A541)-1,MONTH($A541),DAY($A541)),$A:$A,0))-1),"")</f>
        <v/>
      </c>
      <c r="M541" s="19">
        <f>IF(OR(E541="",E540=""),"",E541/E540-1)</f>
        <v/>
      </c>
      <c r="N541" s="19">
        <f>IF(OR(F541="",F540=""),"",F541/F540-1)</f>
        <v/>
      </c>
      <c r="O541" s="19">
        <f>IF(OR(G541="",G540=""),"",G541/G540-1)</f>
        <v/>
      </c>
      <c r="P541" s="22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IF(R541="","",P541/R541)</f>
        <v/>
      </c>
      <c r="T541" s="23">
        <f>IF(R541="","",Q541/R541)</f>
        <v/>
      </c>
      <c r="U541" s="24">
        <f>IF(SUMIFS('Daily NSE Equity Options'!$M:$M,'Daily NSE Equity Options'!$A:$A,$A541)=0,"",SUMIFS('Daily NSE Equity Options'!$M:$M,'Daily NSE Equity Options'!$A:$A,$A541))</f>
        <v/>
      </c>
      <c r="V541" s="9">
        <f>IF(SUMIFS('Daily BSE Equity Options'!$M:$M,'Daily BSE Equity Options'!$A:$A,$A541)=0,"",SUMIFS('Daily BSE Equity Options'!$M:$M,'Daily BSE Equity Options'!$A:$A,$A541))</f>
        <v/>
      </c>
      <c r="W541" s="9">
        <f>IF(OR(U541="",V541=""),"",U541+V541)</f>
        <v/>
      </c>
      <c r="X541" s="25">
        <f>IF(W541="","",U541/W541)</f>
        <v/>
      </c>
      <c r="Y541" s="25">
        <f>IF(W541="","",V541/W541)</f>
        <v/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19">
        <f>IF(G542="","",E542/G542)</f>
        <v/>
      </c>
      <c r="I542" s="19">
        <f>IF(G542="","",F542/G542)</f>
        <v/>
      </c>
      <c r="J542" s="26">
        <f>IFERROR(IF(OR(E542="",INDEX(E:E,MATCH(DATE(YEAR($A542)-1,MONTH($A542),DAY($A542)),$A:$A,0))=""),"",E542/INDEX(E:E,MATCH(DATE(YEAR($A542)-1,MONTH($A542),DAY($A542)),$A:$A,0))-1),"")</f>
        <v/>
      </c>
      <c r="K542" s="19">
        <f>IFERROR(IF(OR(F542="",INDEX(F:F,MATCH(DATE(YEAR($A542)-1,MONTH($A542),DAY($A542)),$A:$A,0))=""),"",F542/INDEX(F:F,MATCH(DATE(YEAR($A542)-1,MONTH($A542),DAY($A542)),$A:$A,0))-1),"")</f>
        <v/>
      </c>
      <c r="L542" s="19">
        <f>IFERROR(IF(OR(G542="",INDEX(G:G,MATCH(DATE(YEAR($A542)-1,MONTH($A542),DAY($A542)),$A:$A,0))=""),"",G542/INDEX(G:G,MATCH(DATE(YEAR($A542)-1,MONTH($A542),DAY($A542)),$A:$A,0))-1),"")</f>
        <v/>
      </c>
      <c r="M542" s="19">
        <f>IF(OR(E542="",E541=""),"",E542/E541-1)</f>
        <v/>
      </c>
      <c r="N542" s="19">
        <f>IF(OR(F542="",F541=""),"",F542/F541-1)</f>
        <v/>
      </c>
      <c r="O542" s="19">
        <f>IF(OR(G542="",G541=""),"",G542/G541-1)</f>
        <v/>
      </c>
      <c r="P542" s="22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IF(R542="","",P542/R542)</f>
        <v/>
      </c>
      <c r="T542" s="23">
        <f>IF(R542="","",Q542/R542)</f>
        <v/>
      </c>
      <c r="U542" s="24">
        <f>IF(SUMIFS('Daily NSE Equity Options'!$M:$M,'Daily NSE Equity Options'!$A:$A,$A542)=0,"",SUMIFS('Daily NSE Equity Options'!$M:$M,'Daily NSE Equity Options'!$A:$A,$A542))</f>
        <v/>
      </c>
      <c r="V542" s="9">
        <f>IF(SUMIFS('Daily BSE Equity Options'!$M:$M,'Daily BSE Equity Options'!$A:$A,$A542)=0,"",SUMIFS('Daily BSE Equity Options'!$M:$M,'Daily BSE Equity Options'!$A:$A,$A542))</f>
        <v/>
      </c>
      <c r="W542" s="9">
        <f>IF(OR(U542="",V542=""),"",U542+V542)</f>
        <v/>
      </c>
      <c r="X542" s="25">
        <f>IF(W542="","",U542/W542)</f>
        <v/>
      </c>
      <c r="Y542" s="25">
        <f>IF(W542="","",V542/W542)</f>
        <v/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19">
        <f>IF(G543="","",E543/G543)</f>
        <v/>
      </c>
      <c r="I543" s="19">
        <f>IF(G543="","",F543/G543)</f>
        <v/>
      </c>
      <c r="J543" s="26">
        <f>IFERROR(IF(OR(E543="",INDEX(E:E,MATCH(DATE(YEAR($A543)-1,MONTH($A543),DAY($A543)),$A:$A,0))=""),"",E543/INDEX(E:E,MATCH(DATE(YEAR($A543)-1,MONTH($A543),DAY($A543)),$A:$A,0))-1),"")</f>
        <v/>
      </c>
      <c r="K543" s="19">
        <f>IFERROR(IF(OR(F543="",INDEX(F:F,MATCH(DATE(YEAR($A543)-1,MONTH($A543),DAY($A543)),$A:$A,0))=""),"",F543/INDEX(F:F,MATCH(DATE(YEAR($A543)-1,MONTH($A543),DAY($A543)),$A:$A,0))-1),"")</f>
        <v/>
      </c>
      <c r="L543" s="19">
        <f>IFERROR(IF(OR(G543="",INDEX(G:G,MATCH(DATE(YEAR($A543)-1,MONTH($A543),DAY($A543)),$A:$A,0))=""),"",G543/INDEX(G:G,MATCH(DATE(YEAR($A543)-1,MONTH($A543),DAY($A543)),$A:$A,0))-1),"")</f>
        <v/>
      </c>
      <c r="M543" s="19">
        <f>IF(OR(E543="",E542=""),"",E543/E542-1)</f>
        <v/>
      </c>
      <c r="N543" s="19">
        <f>IF(OR(F543="",F542=""),"",F543/F542-1)</f>
        <v/>
      </c>
      <c r="O543" s="19">
        <f>IF(OR(G543="",G542=""),"",G543/G542-1)</f>
        <v/>
      </c>
      <c r="P543" s="22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IF(R543="","",P543/R543)</f>
        <v/>
      </c>
      <c r="T543" s="23">
        <f>IF(R543="","",Q543/R543)</f>
        <v/>
      </c>
      <c r="U543" s="24">
        <f>IF(SUMIFS('Daily NSE Equity Options'!$M:$M,'Daily NSE Equity Options'!$A:$A,$A543)=0,"",SUMIFS('Daily NSE Equity Options'!$M:$M,'Daily NSE Equity Options'!$A:$A,$A543))</f>
        <v/>
      </c>
      <c r="V543" s="9">
        <f>IF(SUMIFS('Daily BSE Equity Options'!$M:$M,'Daily BSE Equity Options'!$A:$A,$A543)=0,"",SUMIFS('Daily BSE Equity Options'!$M:$M,'Daily BSE Equity Options'!$A:$A,$A543))</f>
        <v/>
      </c>
      <c r="W543" s="9">
        <f>IF(OR(U543="",V543=""),"",U543+V543)</f>
        <v/>
      </c>
      <c r="X543" s="25">
        <f>IF(W543="","",U543/W543)</f>
        <v/>
      </c>
      <c r="Y543" s="25">
        <f>IF(W543="","",V543/W543)</f>
        <v/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19">
        <f>IF(G544="","",E544/G544)</f>
        <v/>
      </c>
      <c r="I544" s="19">
        <f>IF(G544="","",F544/G544)</f>
        <v/>
      </c>
      <c r="J544" s="26">
        <f>IFERROR(IF(OR(E544="",INDEX(E:E,MATCH(DATE(YEAR($A544)-1,MONTH($A544),DAY($A544)),$A:$A,0))=""),"",E544/INDEX(E:E,MATCH(DATE(YEAR($A544)-1,MONTH($A544),DAY($A544)),$A:$A,0))-1),"")</f>
        <v/>
      </c>
      <c r="K544" s="19">
        <f>IFERROR(IF(OR(F544="",INDEX(F:F,MATCH(DATE(YEAR($A544)-1,MONTH($A544),DAY($A544)),$A:$A,0))=""),"",F544/INDEX(F:F,MATCH(DATE(YEAR($A544)-1,MONTH($A544),DAY($A544)),$A:$A,0))-1),"")</f>
        <v/>
      </c>
      <c r="L544" s="19">
        <f>IFERROR(IF(OR(G544="",INDEX(G:G,MATCH(DATE(YEAR($A544)-1,MONTH($A544),DAY($A544)),$A:$A,0))=""),"",G544/INDEX(G:G,MATCH(DATE(YEAR($A544)-1,MONTH($A544),DAY($A544)),$A:$A,0))-1),"")</f>
        <v/>
      </c>
      <c r="M544" s="19">
        <f>IF(OR(E544="",E543=""),"",E544/E543-1)</f>
        <v/>
      </c>
      <c r="N544" s="19">
        <f>IF(OR(F544="",F543=""),"",F544/F543-1)</f>
        <v/>
      </c>
      <c r="O544" s="19">
        <f>IF(OR(G544="",G543=""),"",G544/G543-1)</f>
        <v/>
      </c>
      <c r="P544" s="22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IF(R544="","",P544/R544)</f>
        <v/>
      </c>
      <c r="T544" s="23">
        <f>IF(R544="","",Q544/R544)</f>
        <v/>
      </c>
      <c r="U544" s="24">
        <f>IF(SUMIFS('Daily NSE Equity Options'!$M:$M,'Daily NSE Equity Options'!$A:$A,$A544)=0,"",SUMIFS('Daily NSE Equity Options'!$M:$M,'Daily NSE Equity Options'!$A:$A,$A544))</f>
        <v/>
      </c>
      <c r="V544" s="9">
        <f>IF(SUMIFS('Daily BSE Equity Options'!$M:$M,'Daily BSE Equity Options'!$A:$A,$A544)=0,"",SUMIFS('Daily BSE Equity Options'!$M:$M,'Daily BSE Equity Options'!$A:$A,$A544))</f>
        <v/>
      </c>
      <c r="W544" s="9">
        <f>IF(OR(U544="",V544=""),"",U544+V544)</f>
        <v/>
      </c>
      <c r="X544" s="25">
        <f>IF(W544="","",U544/W544)</f>
        <v/>
      </c>
      <c r="Y544" s="25">
        <f>IF(W544="","",V544/W544)</f>
        <v/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19">
        <f>IF(G545="","",E545/G545)</f>
        <v/>
      </c>
      <c r="I545" s="19">
        <f>IF(G545="","",F545/G545)</f>
        <v/>
      </c>
      <c r="J545" s="26">
        <f>IFERROR(IF(OR(E545="",INDEX(E:E,MATCH(DATE(YEAR($A545)-1,MONTH($A545),DAY($A545)),$A:$A,0))=""),"",E545/INDEX(E:E,MATCH(DATE(YEAR($A545)-1,MONTH($A545),DAY($A545)),$A:$A,0))-1),"")</f>
        <v/>
      </c>
      <c r="K545" s="19">
        <f>IFERROR(IF(OR(F545="",INDEX(F:F,MATCH(DATE(YEAR($A545)-1,MONTH($A545),DAY($A545)),$A:$A,0))=""),"",F545/INDEX(F:F,MATCH(DATE(YEAR($A545)-1,MONTH($A545),DAY($A545)),$A:$A,0))-1),"")</f>
        <v/>
      </c>
      <c r="L545" s="19">
        <f>IFERROR(IF(OR(G545="",INDEX(G:G,MATCH(DATE(YEAR($A545)-1,MONTH($A545),DAY($A545)),$A:$A,0))=""),"",G545/INDEX(G:G,MATCH(DATE(YEAR($A545)-1,MONTH($A545),DAY($A545)),$A:$A,0))-1),"")</f>
        <v/>
      </c>
      <c r="M545" s="19">
        <f>IF(OR(E545="",E544=""),"",E545/E544-1)</f>
        <v/>
      </c>
      <c r="N545" s="19">
        <f>IF(OR(F545="",F544=""),"",F545/F544-1)</f>
        <v/>
      </c>
      <c r="O545" s="19">
        <f>IF(OR(G545="",G544=""),"",G545/G544-1)</f>
        <v/>
      </c>
      <c r="P545" s="22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IF(R545="","",P545/R545)</f>
        <v/>
      </c>
      <c r="T545" s="23">
        <f>IF(R545="","",Q545/R545)</f>
        <v/>
      </c>
      <c r="U545" s="24">
        <f>IF(SUMIFS('Daily NSE Equity Options'!$M:$M,'Daily NSE Equity Options'!$A:$A,$A545)=0,"",SUMIFS('Daily NSE Equity Options'!$M:$M,'Daily NSE Equity Options'!$A:$A,$A545))</f>
        <v/>
      </c>
      <c r="V545" s="9">
        <f>IF(SUMIFS('Daily BSE Equity Options'!$M:$M,'Daily BSE Equity Options'!$A:$A,$A545)=0,"",SUMIFS('Daily BSE Equity Options'!$M:$M,'Daily BSE Equity Options'!$A:$A,$A545))</f>
        <v/>
      </c>
      <c r="W545" s="9">
        <f>IF(OR(U545="",V545=""),"",U545+V545)</f>
        <v/>
      </c>
      <c r="X545" s="25">
        <f>IF(W545="","",U545/W545)</f>
        <v/>
      </c>
      <c r="Y545" s="25">
        <f>IF(W545="","",V545/W545)</f>
        <v/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19">
        <f>IF(G546="","",E546/G546)</f>
        <v/>
      </c>
      <c r="I546" s="19">
        <f>IF(G546="","",F546/G546)</f>
        <v/>
      </c>
      <c r="J546" s="26">
        <f>IFERROR(IF(OR(E546="",INDEX(E:E,MATCH(DATE(YEAR($A546)-1,MONTH($A546),DAY($A546)),$A:$A,0))=""),"",E546/INDEX(E:E,MATCH(DATE(YEAR($A546)-1,MONTH($A546),DAY($A546)),$A:$A,0))-1),"")</f>
        <v/>
      </c>
      <c r="K546" s="19">
        <f>IFERROR(IF(OR(F546="",INDEX(F:F,MATCH(DATE(YEAR($A546)-1,MONTH($A546),DAY($A546)),$A:$A,0))=""),"",F546/INDEX(F:F,MATCH(DATE(YEAR($A546)-1,MONTH($A546),DAY($A546)),$A:$A,0))-1),"")</f>
        <v/>
      </c>
      <c r="L546" s="19">
        <f>IFERROR(IF(OR(G546="",INDEX(G:G,MATCH(DATE(YEAR($A546)-1,MONTH($A546),DAY($A546)),$A:$A,0))=""),"",G546/INDEX(G:G,MATCH(DATE(YEAR($A546)-1,MONTH($A546),DAY($A546)),$A:$A,0))-1),"")</f>
        <v/>
      </c>
      <c r="M546" s="19">
        <f>IF(OR(E546="",E545=""),"",E546/E545-1)</f>
        <v/>
      </c>
      <c r="N546" s="19">
        <f>IF(OR(F546="",F545=""),"",F546/F545-1)</f>
        <v/>
      </c>
      <c r="O546" s="19">
        <f>IF(OR(G546="",G545=""),"",G546/G545-1)</f>
        <v/>
      </c>
      <c r="P546" s="22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IF(R546="","",P546/R546)</f>
        <v/>
      </c>
      <c r="T546" s="23">
        <f>IF(R546="","",Q546/R546)</f>
        <v/>
      </c>
      <c r="U546" s="24">
        <f>IF(SUMIFS('Daily NSE Equity Options'!$M:$M,'Daily NSE Equity Options'!$A:$A,$A546)=0,"",SUMIFS('Daily NSE Equity Options'!$M:$M,'Daily NSE Equity Options'!$A:$A,$A546))</f>
        <v/>
      </c>
      <c r="V546" s="9">
        <f>IF(SUMIFS('Daily BSE Equity Options'!$M:$M,'Daily BSE Equity Options'!$A:$A,$A546)=0,"",SUMIFS('Daily BSE Equity Options'!$M:$M,'Daily BSE Equity Options'!$A:$A,$A546))</f>
        <v/>
      </c>
      <c r="W546" s="9">
        <f>IF(OR(U546="",V546=""),"",U546+V546)</f>
        <v/>
      </c>
      <c r="X546" s="25">
        <f>IF(W546="","",U546/W546)</f>
        <v/>
      </c>
      <c r="Y546" s="25">
        <f>IF(W546="","",V546/W546)</f>
        <v/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19">
        <f>IF(G547="","",E547/G547)</f>
        <v/>
      </c>
      <c r="I547" s="19">
        <f>IF(G547="","",F547/G547)</f>
        <v/>
      </c>
      <c r="J547" s="26">
        <f>IFERROR(IF(OR(E547="",INDEX(E:E,MATCH(DATE(YEAR($A547)-1,MONTH($A547),DAY($A547)),$A:$A,0))=""),"",E547/INDEX(E:E,MATCH(DATE(YEAR($A547)-1,MONTH($A547),DAY($A547)),$A:$A,0))-1),"")</f>
        <v/>
      </c>
      <c r="K547" s="19">
        <f>IFERROR(IF(OR(F547="",INDEX(F:F,MATCH(DATE(YEAR($A547)-1,MONTH($A547),DAY($A547)),$A:$A,0))=""),"",F547/INDEX(F:F,MATCH(DATE(YEAR($A547)-1,MONTH($A547),DAY($A547)),$A:$A,0))-1),"")</f>
        <v/>
      </c>
      <c r="L547" s="19">
        <f>IFERROR(IF(OR(G547="",INDEX(G:G,MATCH(DATE(YEAR($A547)-1,MONTH($A547),DAY($A547)),$A:$A,0))=""),"",G547/INDEX(G:G,MATCH(DATE(YEAR($A547)-1,MONTH($A547),DAY($A547)),$A:$A,0))-1),"")</f>
        <v/>
      </c>
      <c r="M547" s="19">
        <f>IF(OR(E547="",E546=""),"",E547/E546-1)</f>
        <v/>
      </c>
      <c r="N547" s="19">
        <f>IF(OR(F547="",F546=""),"",F547/F546-1)</f>
        <v/>
      </c>
      <c r="O547" s="19">
        <f>IF(OR(G547="",G546=""),"",G547/G546-1)</f>
        <v/>
      </c>
      <c r="P547" s="22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IF(R547="","",P547/R547)</f>
        <v/>
      </c>
      <c r="T547" s="23">
        <f>IF(R547="","",Q547/R547)</f>
        <v/>
      </c>
      <c r="U547" s="24">
        <f>IF(SUMIFS('Daily NSE Equity Options'!$M:$M,'Daily NSE Equity Options'!$A:$A,$A547)=0,"",SUMIFS('Daily NSE Equity Options'!$M:$M,'Daily NSE Equity Options'!$A:$A,$A547))</f>
        <v/>
      </c>
      <c r="V547" s="9">
        <f>IF(SUMIFS('Daily BSE Equity Options'!$M:$M,'Daily BSE Equity Options'!$A:$A,$A547)=0,"",SUMIFS('Daily BSE Equity Options'!$M:$M,'Daily BSE Equity Options'!$A:$A,$A547))</f>
        <v/>
      </c>
      <c r="W547" s="9">
        <f>IF(OR(U547="",V547=""),"",U547+V547)</f>
        <v/>
      </c>
      <c r="X547" s="25">
        <f>IF(W547="","",U547/W547)</f>
        <v/>
      </c>
      <c r="Y547" s="25">
        <f>IF(W547="","",V547/W547)</f>
        <v/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19">
        <f>IF(G548="","",E548/G548)</f>
        <v/>
      </c>
      <c r="I548" s="19">
        <f>IF(G548="","",F548/G548)</f>
        <v/>
      </c>
      <c r="J548" s="26">
        <f>IFERROR(IF(OR(E548="",INDEX(E:E,MATCH(DATE(YEAR($A548)-1,MONTH($A548),DAY($A548)),$A:$A,0))=""),"",E548/INDEX(E:E,MATCH(DATE(YEAR($A548)-1,MONTH($A548),DAY($A548)),$A:$A,0))-1),"")</f>
        <v/>
      </c>
      <c r="K548" s="19">
        <f>IFERROR(IF(OR(F548="",INDEX(F:F,MATCH(DATE(YEAR($A548)-1,MONTH($A548),DAY($A548)),$A:$A,0))=""),"",F548/INDEX(F:F,MATCH(DATE(YEAR($A548)-1,MONTH($A548),DAY($A548)),$A:$A,0))-1),"")</f>
        <v/>
      </c>
      <c r="L548" s="19">
        <f>IFERROR(IF(OR(G548="",INDEX(G:G,MATCH(DATE(YEAR($A548)-1,MONTH($A548),DAY($A548)),$A:$A,0))=""),"",G548/INDEX(G:G,MATCH(DATE(YEAR($A548)-1,MONTH($A548),DAY($A548)),$A:$A,0))-1),"")</f>
        <v/>
      </c>
      <c r="M548" s="19">
        <f>IF(OR(E548="",E547=""),"",E548/E547-1)</f>
        <v/>
      </c>
      <c r="N548" s="19">
        <f>IF(OR(F548="",F547=""),"",F548/F547-1)</f>
        <v/>
      </c>
      <c r="O548" s="19">
        <f>IF(OR(G548="",G547=""),"",G548/G547-1)</f>
        <v/>
      </c>
      <c r="P548" s="22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IF(R548="","",P548/R548)</f>
        <v/>
      </c>
      <c r="T548" s="23">
        <f>IF(R548="","",Q548/R548)</f>
        <v/>
      </c>
      <c r="U548" s="24">
        <f>IF(SUMIFS('Daily NSE Equity Options'!$M:$M,'Daily NSE Equity Options'!$A:$A,$A548)=0,"",SUMIFS('Daily NSE Equity Options'!$M:$M,'Daily NSE Equity Options'!$A:$A,$A548))</f>
        <v/>
      </c>
      <c r="V548" s="9">
        <f>IF(SUMIFS('Daily BSE Equity Options'!$M:$M,'Daily BSE Equity Options'!$A:$A,$A548)=0,"",SUMIFS('Daily BSE Equity Options'!$M:$M,'Daily BSE Equity Options'!$A:$A,$A548))</f>
        <v/>
      </c>
      <c r="W548" s="9">
        <f>IF(OR(U548="",V548=""),"",U548+V548)</f>
        <v/>
      </c>
      <c r="X548" s="25">
        <f>IF(W548="","",U548/W548)</f>
        <v/>
      </c>
      <c r="Y548" s="25">
        <f>IF(W548="","",V548/W548)</f>
        <v/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19">
        <f>IF(G549="","",E549/G549)</f>
        <v/>
      </c>
      <c r="I549" s="19">
        <f>IF(G549="","",F549/G549)</f>
        <v/>
      </c>
      <c r="J549" s="26">
        <f>IFERROR(IF(OR(E549="",INDEX(E:E,MATCH(DATE(YEAR($A549)-1,MONTH($A549),DAY($A549)),$A:$A,0))=""),"",E549/INDEX(E:E,MATCH(DATE(YEAR($A549)-1,MONTH($A549),DAY($A549)),$A:$A,0))-1),"")</f>
        <v/>
      </c>
      <c r="K549" s="19">
        <f>IFERROR(IF(OR(F549="",INDEX(F:F,MATCH(DATE(YEAR($A549)-1,MONTH($A549),DAY($A549)),$A:$A,0))=""),"",F549/INDEX(F:F,MATCH(DATE(YEAR($A549)-1,MONTH($A549),DAY($A549)),$A:$A,0))-1),"")</f>
        <v/>
      </c>
      <c r="L549" s="19">
        <f>IFERROR(IF(OR(G549="",INDEX(G:G,MATCH(DATE(YEAR($A549)-1,MONTH($A549),DAY($A549)),$A:$A,0))=""),"",G549/INDEX(G:G,MATCH(DATE(YEAR($A549)-1,MONTH($A549),DAY($A549)),$A:$A,0))-1),"")</f>
        <v/>
      </c>
      <c r="M549" s="19">
        <f>IF(OR(E549="",E548=""),"",E549/E548-1)</f>
        <v/>
      </c>
      <c r="N549" s="19">
        <f>IF(OR(F549="",F548=""),"",F549/F548-1)</f>
        <v/>
      </c>
      <c r="O549" s="19">
        <f>IF(OR(G549="",G548=""),"",G549/G548-1)</f>
        <v/>
      </c>
      <c r="P549" s="22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IF(R549="","",P549/R549)</f>
        <v/>
      </c>
      <c r="T549" s="23">
        <f>IF(R549="","",Q549/R549)</f>
        <v/>
      </c>
      <c r="U549" s="24">
        <f>IF(SUMIFS('Daily NSE Equity Options'!$M:$M,'Daily NSE Equity Options'!$A:$A,$A549)=0,"",SUMIFS('Daily NSE Equity Options'!$M:$M,'Daily NSE Equity Options'!$A:$A,$A549))</f>
        <v/>
      </c>
      <c r="V549" s="9">
        <f>IF(SUMIFS('Daily BSE Equity Options'!$M:$M,'Daily BSE Equity Options'!$A:$A,$A549)=0,"",SUMIFS('Daily BSE Equity Options'!$M:$M,'Daily BSE Equity Options'!$A:$A,$A549))</f>
        <v/>
      </c>
      <c r="W549" s="9">
        <f>IF(OR(U549="",V549=""),"",U549+V549)</f>
        <v/>
      </c>
      <c r="X549" s="25">
        <f>IF(W549="","",U549/W549)</f>
        <v/>
      </c>
      <c r="Y549" s="25">
        <f>IF(W549="","",V549/W549)</f>
        <v/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19">
        <f>IF(G550="","",E550/G550)</f>
        <v/>
      </c>
      <c r="I550" s="19">
        <f>IF(G550="","",F550/G550)</f>
        <v/>
      </c>
      <c r="J550" s="26">
        <f>IFERROR(IF(OR(E550="",INDEX(E:E,MATCH(DATE(YEAR($A550)-1,MONTH($A550),DAY($A550)),$A:$A,0))=""),"",E550/INDEX(E:E,MATCH(DATE(YEAR($A550)-1,MONTH($A550),DAY($A550)),$A:$A,0))-1),"")</f>
        <v/>
      </c>
      <c r="K550" s="19">
        <f>IFERROR(IF(OR(F550="",INDEX(F:F,MATCH(DATE(YEAR($A550)-1,MONTH($A550),DAY($A550)),$A:$A,0))=""),"",F550/INDEX(F:F,MATCH(DATE(YEAR($A550)-1,MONTH($A550),DAY($A550)),$A:$A,0))-1),"")</f>
        <v/>
      </c>
      <c r="L550" s="19">
        <f>IFERROR(IF(OR(G550="",INDEX(G:G,MATCH(DATE(YEAR($A550)-1,MONTH($A550),DAY($A550)),$A:$A,0))=""),"",G550/INDEX(G:G,MATCH(DATE(YEAR($A550)-1,MONTH($A550),DAY($A550)),$A:$A,0))-1),"")</f>
        <v/>
      </c>
      <c r="M550" s="19">
        <f>IF(OR(E550="",E549=""),"",E550/E549-1)</f>
        <v/>
      </c>
      <c r="N550" s="19">
        <f>IF(OR(F550="",F549=""),"",F550/F549-1)</f>
        <v/>
      </c>
      <c r="O550" s="19">
        <f>IF(OR(G550="",G549=""),"",G550/G549-1)</f>
        <v/>
      </c>
      <c r="P550" s="22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IF(R550="","",P550/R550)</f>
        <v/>
      </c>
      <c r="T550" s="23">
        <f>IF(R550="","",Q550/R550)</f>
        <v/>
      </c>
      <c r="U550" s="24">
        <f>IF(SUMIFS('Daily NSE Equity Options'!$M:$M,'Daily NSE Equity Options'!$A:$A,$A550)=0,"",SUMIFS('Daily NSE Equity Options'!$M:$M,'Daily NSE Equity Options'!$A:$A,$A550))</f>
        <v/>
      </c>
      <c r="V550" s="9">
        <f>IF(SUMIFS('Daily BSE Equity Options'!$M:$M,'Daily BSE Equity Options'!$A:$A,$A550)=0,"",SUMIFS('Daily BSE Equity Options'!$M:$M,'Daily BSE Equity Options'!$A:$A,$A550))</f>
        <v/>
      </c>
      <c r="W550" s="9">
        <f>IF(OR(U550="",V550=""),"",U550+V550)</f>
        <v/>
      </c>
      <c r="X550" s="25">
        <f>IF(W550="","",U550/W550)</f>
        <v/>
      </c>
      <c r="Y550" s="25">
        <f>IF(W550="","",V550/W550)</f>
        <v/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19">
        <f>IF(G551="","",E551/G551)</f>
        <v/>
      </c>
      <c r="I551" s="19">
        <f>IF(G551="","",F551/G551)</f>
        <v/>
      </c>
      <c r="J551" s="26">
        <f>IFERROR(IF(OR(E551="",INDEX(E:E,MATCH(DATE(YEAR($A551)-1,MONTH($A551),DAY($A551)),$A:$A,0))=""),"",E551/INDEX(E:E,MATCH(DATE(YEAR($A551)-1,MONTH($A551),DAY($A551)),$A:$A,0))-1),"")</f>
        <v/>
      </c>
      <c r="K551" s="19">
        <f>IFERROR(IF(OR(F551="",INDEX(F:F,MATCH(DATE(YEAR($A551)-1,MONTH($A551),DAY($A551)),$A:$A,0))=""),"",F551/INDEX(F:F,MATCH(DATE(YEAR($A551)-1,MONTH($A551),DAY($A551)),$A:$A,0))-1),"")</f>
        <v/>
      </c>
      <c r="L551" s="19">
        <f>IFERROR(IF(OR(G551="",INDEX(G:G,MATCH(DATE(YEAR($A551)-1,MONTH($A551),DAY($A551)),$A:$A,0))=""),"",G551/INDEX(G:G,MATCH(DATE(YEAR($A551)-1,MONTH($A551),DAY($A551)),$A:$A,0))-1),"")</f>
        <v/>
      </c>
      <c r="M551" s="19">
        <f>IF(OR(E551="",E550=""),"",E551/E550-1)</f>
        <v/>
      </c>
      <c r="N551" s="19">
        <f>IF(OR(F551="",F550=""),"",F551/F550-1)</f>
        <v/>
      </c>
      <c r="O551" s="19">
        <f>IF(OR(G551="",G550=""),"",G551/G550-1)</f>
        <v/>
      </c>
      <c r="P551" s="22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IF(R551="","",P551/R551)</f>
        <v/>
      </c>
      <c r="T551" s="23">
        <f>IF(R551="","",Q551/R551)</f>
        <v/>
      </c>
      <c r="U551" s="24">
        <f>IF(SUMIFS('Daily NSE Equity Options'!$M:$M,'Daily NSE Equity Options'!$A:$A,$A551)=0,"",SUMIFS('Daily NSE Equity Options'!$M:$M,'Daily NSE Equity Options'!$A:$A,$A551))</f>
        <v/>
      </c>
      <c r="V551" s="9">
        <f>IF(SUMIFS('Daily BSE Equity Options'!$M:$M,'Daily BSE Equity Options'!$A:$A,$A551)=0,"",SUMIFS('Daily BSE Equity Options'!$M:$M,'Daily BSE Equity Options'!$A:$A,$A551))</f>
        <v/>
      </c>
      <c r="W551" s="9">
        <f>IF(OR(U551="",V551=""),"",U551+V551)</f>
        <v/>
      </c>
      <c r="X551" s="25">
        <f>IF(W551="","",U551/W551)</f>
        <v/>
      </c>
      <c r="Y551" s="25">
        <f>IF(W551="","",V551/W551)</f>
        <v/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19">
        <f>IF(G552="","",E552/G552)</f>
        <v/>
      </c>
      <c r="I552" s="19">
        <f>IF(G552="","",F552/G552)</f>
        <v/>
      </c>
      <c r="J552" s="26">
        <f>IFERROR(IF(OR(E552="",INDEX(E:E,MATCH(DATE(YEAR($A552)-1,MONTH($A552),DAY($A552)),$A:$A,0))=""),"",E552/INDEX(E:E,MATCH(DATE(YEAR($A552)-1,MONTH($A552),DAY($A552)),$A:$A,0))-1),"")</f>
        <v/>
      </c>
      <c r="K552" s="19">
        <f>IFERROR(IF(OR(F552="",INDEX(F:F,MATCH(DATE(YEAR($A552)-1,MONTH($A552),DAY($A552)),$A:$A,0))=""),"",F552/INDEX(F:F,MATCH(DATE(YEAR($A552)-1,MONTH($A552),DAY($A552)),$A:$A,0))-1),"")</f>
        <v/>
      </c>
      <c r="L552" s="19">
        <f>IFERROR(IF(OR(G552="",INDEX(G:G,MATCH(DATE(YEAR($A552)-1,MONTH($A552),DAY($A552)),$A:$A,0))=""),"",G552/INDEX(G:G,MATCH(DATE(YEAR($A552)-1,MONTH($A552),DAY($A552)),$A:$A,0))-1),"")</f>
        <v/>
      </c>
      <c r="M552" s="19">
        <f>IF(OR(E552="",E551=""),"",E552/E551-1)</f>
        <v/>
      </c>
      <c r="N552" s="19">
        <f>IF(OR(F552="",F551=""),"",F552/F551-1)</f>
        <v/>
      </c>
      <c r="O552" s="19">
        <f>IF(OR(G552="",G551=""),"",G552/G551-1)</f>
        <v/>
      </c>
      <c r="P552" s="22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IF(R552="","",P552/R552)</f>
        <v/>
      </c>
      <c r="T552" s="23">
        <f>IF(R552="","",Q552/R552)</f>
        <v/>
      </c>
      <c r="U552" s="24">
        <f>IF(SUMIFS('Daily NSE Equity Options'!$M:$M,'Daily NSE Equity Options'!$A:$A,$A552)=0,"",SUMIFS('Daily NSE Equity Options'!$M:$M,'Daily NSE Equity Options'!$A:$A,$A552))</f>
        <v/>
      </c>
      <c r="V552" s="9">
        <f>IF(SUMIFS('Daily BSE Equity Options'!$M:$M,'Daily BSE Equity Options'!$A:$A,$A552)=0,"",SUMIFS('Daily BSE Equity Options'!$M:$M,'Daily BSE Equity Options'!$A:$A,$A552))</f>
        <v/>
      </c>
      <c r="W552" s="9">
        <f>IF(OR(U552="",V552=""),"",U552+V552)</f>
        <v/>
      </c>
      <c r="X552" s="25">
        <f>IF(W552="","",U552/W552)</f>
        <v/>
      </c>
      <c r="Y552" s="25">
        <f>IF(W552="","",V552/W552)</f>
        <v/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19">
        <f>IF(G553="","",E553/G553)</f>
        <v/>
      </c>
      <c r="I553" s="19">
        <f>IF(G553="","",F553/G553)</f>
        <v/>
      </c>
      <c r="J553" s="26">
        <f>IFERROR(IF(OR(E553="",INDEX(E:E,MATCH(DATE(YEAR($A553)-1,MONTH($A553),DAY($A553)),$A:$A,0))=""),"",E553/INDEX(E:E,MATCH(DATE(YEAR($A553)-1,MONTH($A553),DAY($A553)),$A:$A,0))-1),"")</f>
        <v/>
      </c>
      <c r="K553" s="19">
        <f>IFERROR(IF(OR(F553="",INDEX(F:F,MATCH(DATE(YEAR($A553)-1,MONTH($A553),DAY($A553)),$A:$A,0))=""),"",F553/INDEX(F:F,MATCH(DATE(YEAR($A553)-1,MONTH($A553),DAY($A553)),$A:$A,0))-1),"")</f>
        <v/>
      </c>
      <c r="L553" s="19">
        <f>IFERROR(IF(OR(G553="",INDEX(G:G,MATCH(DATE(YEAR($A553)-1,MONTH($A553),DAY($A553)),$A:$A,0))=""),"",G553/INDEX(G:G,MATCH(DATE(YEAR($A553)-1,MONTH($A553),DAY($A553)),$A:$A,0))-1),"")</f>
        <v/>
      </c>
      <c r="M553" s="19">
        <f>IF(OR(E553="",E552=""),"",E553/E552-1)</f>
        <v/>
      </c>
      <c r="N553" s="19">
        <f>IF(OR(F553="",F552=""),"",F553/F552-1)</f>
        <v/>
      </c>
      <c r="O553" s="19">
        <f>IF(OR(G553="",G552=""),"",G553/G552-1)</f>
        <v/>
      </c>
      <c r="P553" s="22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IF(R553="","",P553/R553)</f>
        <v/>
      </c>
      <c r="T553" s="23">
        <f>IF(R553="","",Q553/R553)</f>
        <v/>
      </c>
      <c r="U553" s="24">
        <f>IF(SUMIFS('Daily NSE Equity Options'!$M:$M,'Daily NSE Equity Options'!$A:$A,$A553)=0,"",SUMIFS('Daily NSE Equity Options'!$M:$M,'Daily NSE Equity Options'!$A:$A,$A553))</f>
        <v/>
      </c>
      <c r="V553" s="9">
        <f>IF(SUMIFS('Daily BSE Equity Options'!$M:$M,'Daily BSE Equity Options'!$A:$A,$A553)=0,"",SUMIFS('Daily BSE Equity Options'!$M:$M,'Daily BSE Equity Options'!$A:$A,$A553))</f>
        <v/>
      </c>
      <c r="W553" s="9">
        <f>IF(OR(U553="",V553=""),"",U553+V553)</f>
        <v/>
      </c>
      <c r="X553" s="25">
        <f>IF(W553="","",U553/W553)</f>
        <v/>
      </c>
      <c r="Y553" s="25">
        <f>IF(W553="","",V553/W553)</f>
        <v/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19">
        <f>IF(G554="","",E554/G554)</f>
        <v/>
      </c>
      <c r="I554" s="19">
        <f>IF(G554="","",F554/G554)</f>
        <v/>
      </c>
      <c r="J554" s="26">
        <f>IFERROR(IF(OR(E554="",INDEX(E:E,MATCH(DATE(YEAR($A554)-1,MONTH($A554),DAY($A554)),$A:$A,0))=""),"",E554/INDEX(E:E,MATCH(DATE(YEAR($A554)-1,MONTH($A554),DAY($A554)),$A:$A,0))-1),"")</f>
        <v/>
      </c>
      <c r="K554" s="19">
        <f>IFERROR(IF(OR(F554="",INDEX(F:F,MATCH(DATE(YEAR($A554)-1,MONTH($A554),DAY($A554)),$A:$A,0))=""),"",F554/INDEX(F:F,MATCH(DATE(YEAR($A554)-1,MONTH($A554),DAY($A554)),$A:$A,0))-1),"")</f>
        <v/>
      </c>
      <c r="L554" s="19">
        <f>IFERROR(IF(OR(G554="",INDEX(G:G,MATCH(DATE(YEAR($A554)-1,MONTH($A554),DAY($A554)),$A:$A,0))=""),"",G554/INDEX(G:G,MATCH(DATE(YEAR($A554)-1,MONTH($A554),DAY($A554)),$A:$A,0))-1),"")</f>
        <v/>
      </c>
      <c r="M554" s="19">
        <f>IF(OR(E554="",E553=""),"",E554/E553-1)</f>
        <v/>
      </c>
      <c r="N554" s="19">
        <f>IF(OR(F554="",F553=""),"",F554/F553-1)</f>
        <v/>
      </c>
      <c r="O554" s="19">
        <f>IF(OR(G554="",G553=""),"",G554/G553-1)</f>
        <v/>
      </c>
      <c r="P554" s="22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IF(R554="","",P554/R554)</f>
        <v/>
      </c>
      <c r="T554" s="23">
        <f>IF(R554="","",Q554/R554)</f>
        <v/>
      </c>
      <c r="U554" s="24">
        <f>IF(SUMIFS('Daily NSE Equity Options'!$M:$M,'Daily NSE Equity Options'!$A:$A,$A554)=0,"",SUMIFS('Daily NSE Equity Options'!$M:$M,'Daily NSE Equity Options'!$A:$A,$A554))</f>
        <v/>
      </c>
      <c r="V554" s="9">
        <f>IF(SUMIFS('Daily BSE Equity Options'!$M:$M,'Daily BSE Equity Options'!$A:$A,$A554)=0,"",SUMIFS('Daily BSE Equity Options'!$M:$M,'Daily BSE Equity Options'!$A:$A,$A554))</f>
        <v/>
      </c>
      <c r="W554" s="9">
        <f>IF(OR(U554="",V554=""),"",U554+V554)</f>
        <v/>
      </c>
      <c r="X554" s="25">
        <f>IF(W554="","",U554/W554)</f>
        <v/>
      </c>
      <c r="Y554" s="25">
        <f>IF(W554="","",V554/W554)</f>
        <v/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19">
        <f>IF(G555="","",E555/G555)</f>
        <v/>
      </c>
      <c r="I555" s="19">
        <f>IF(G555="","",F555/G555)</f>
        <v/>
      </c>
      <c r="J555" s="26">
        <f>IFERROR(IF(OR(E555="",INDEX(E:E,MATCH(DATE(YEAR($A555)-1,MONTH($A555),DAY($A555)),$A:$A,0))=""),"",E555/INDEX(E:E,MATCH(DATE(YEAR($A555)-1,MONTH($A555),DAY($A555)),$A:$A,0))-1),"")</f>
        <v/>
      </c>
      <c r="K555" s="19">
        <f>IFERROR(IF(OR(F555="",INDEX(F:F,MATCH(DATE(YEAR($A555)-1,MONTH($A555),DAY($A555)),$A:$A,0))=""),"",F555/INDEX(F:F,MATCH(DATE(YEAR($A555)-1,MONTH($A555),DAY($A555)),$A:$A,0))-1),"")</f>
        <v/>
      </c>
      <c r="L555" s="19">
        <f>IFERROR(IF(OR(G555="",INDEX(G:G,MATCH(DATE(YEAR($A555)-1,MONTH($A555),DAY($A555)),$A:$A,0))=""),"",G555/INDEX(G:G,MATCH(DATE(YEAR($A555)-1,MONTH($A555),DAY($A555)),$A:$A,0))-1),"")</f>
        <v/>
      </c>
      <c r="M555" s="19">
        <f>IF(OR(E555="",E554=""),"",E555/E554-1)</f>
        <v/>
      </c>
      <c r="N555" s="19">
        <f>IF(OR(F555="",F554=""),"",F555/F554-1)</f>
        <v/>
      </c>
      <c r="O555" s="19">
        <f>IF(OR(G555="",G554=""),"",G555/G554-1)</f>
        <v/>
      </c>
      <c r="P555" s="22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IF(R555="","",P555/R555)</f>
        <v/>
      </c>
      <c r="T555" s="23">
        <f>IF(R555="","",Q555/R555)</f>
        <v/>
      </c>
      <c r="U555" s="24">
        <f>IF(SUMIFS('Daily NSE Equity Options'!$M:$M,'Daily NSE Equity Options'!$A:$A,$A555)=0,"",SUMIFS('Daily NSE Equity Options'!$M:$M,'Daily NSE Equity Options'!$A:$A,$A555))</f>
        <v/>
      </c>
      <c r="V555" s="9">
        <f>IF(SUMIFS('Daily BSE Equity Options'!$M:$M,'Daily BSE Equity Options'!$A:$A,$A555)=0,"",SUMIFS('Daily BSE Equity Options'!$M:$M,'Daily BSE Equity Options'!$A:$A,$A555))</f>
        <v/>
      </c>
      <c r="W555" s="9">
        <f>IF(OR(U555="",V555=""),"",U555+V555)</f>
        <v/>
      </c>
      <c r="X555" s="25">
        <f>IF(W555="","",U555/W555)</f>
        <v/>
      </c>
      <c r="Y555" s="25">
        <f>IF(W555="","",V555/W555)</f>
        <v/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19">
        <f>IF(G556="","",E556/G556)</f>
        <v/>
      </c>
      <c r="I556" s="19">
        <f>IF(G556="","",F556/G556)</f>
        <v/>
      </c>
      <c r="J556" s="26">
        <f>IFERROR(IF(OR(E556="",INDEX(E:E,MATCH(DATE(YEAR($A556)-1,MONTH($A556),DAY($A556)),$A:$A,0))=""),"",E556/INDEX(E:E,MATCH(DATE(YEAR($A556)-1,MONTH($A556),DAY($A556)),$A:$A,0))-1),"")</f>
        <v/>
      </c>
      <c r="K556" s="19">
        <f>IFERROR(IF(OR(F556="",INDEX(F:F,MATCH(DATE(YEAR($A556)-1,MONTH($A556),DAY($A556)),$A:$A,0))=""),"",F556/INDEX(F:F,MATCH(DATE(YEAR($A556)-1,MONTH($A556),DAY($A556)),$A:$A,0))-1),"")</f>
        <v/>
      </c>
      <c r="L556" s="19">
        <f>IFERROR(IF(OR(G556="",INDEX(G:G,MATCH(DATE(YEAR($A556)-1,MONTH($A556),DAY($A556)),$A:$A,0))=""),"",G556/INDEX(G:G,MATCH(DATE(YEAR($A556)-1,MONTH($A556),DAY($A556)),$A:$A,0))-1),"")</f>
        <v/>
      </c>
      <c r="M556" s="19">
        <f>IF(OR(E556="",E555=""),"",E556/E555-1)</f>
        <v/>
      </c>
      <c r="N556" s="19">
        <f>IF(OR(F556="",F555=""),"",F556/F555-1)</f>
        <v/>
      </c>
      <c r="O556" s="19">
        <f>IF(OR(G556="",G555=""),"",G556/G555-1)</f>
        <v/>
      </c>
      <c r="P556" s="22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IF(R556="","",P556/R556)</f>
        <v/>
      </c>
      <c r="T556" s="23">
        <f>IF(R556="","",Q556/R556)</f>
        <v/>
      </c>
      <c r="U556" s="24">
        <f>IF(SUMIFS('Daily NSE Equity Options'!$M:$M,'Daily NSE Equity Options'!$A:$A,$A556)=0,"",SUMIFS('Daily NSE Equity Options'!$M:$M,'Daily NSE Equity Options'!$A:$A,$A556))</f>
        <v/>
      </c>
      <c r="V556" s="9">
        <f>IF(SUMIFS('Daily BSE Equity Options'!$M:$M,'Daily BSE Equity Options'!$A:$A,$A556)=0,"",SUMIFS('Daily BSE Equity Options'!$M:$M,'Daily BSE Equity Options'!$A:$A,$A556))</f>
        <v/>
      </c>
      <c r="W556" s="9">
        <f>IF(OR(U556="",V556=""),"",U556+V556)</f>
        <v/>
      </c>
      <c r="X556" s="25">
        <f>IF(W556="","",U556/W556)</f>
        <v/>
      </c>
      <c r="Y556" s="25">
        <f>IF(W556="","",V556/W556)</f>
        <v/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19">
        <f>IF(G557="","",E557/G557)</f>
        <v/>
      </c>
      <c r="I557" s="19">
        <f>IF(G557="","",F557/G557)</f>
        <v/>
      </c>
      <c r="J557" s="26">
        <f>IFERROR(IF(OR(E557="",INDEX(E:E,MATCH(DATE(YEAR($A557)-1,MONTH($A557),DAY($A557)),$A:$A,0))=""),"",E557/INDEX(E:E,MATCH(DATE(YEAR($A557)-1,MONTH($A557),DAY($A557)),$A:$A,0))-1),"")</f>
        <v/>
      </c>
      <c r="K557" s="19">
        <f>IFERROR(IF(OR(F557="",INDEX(F:F,MATCH(DATE(YEAR($A557)-1,MONTH($A557),DAY($A557)),$A:$A,0))=""),"",F557/INDEX(F:F,MATCH(DATE(YEAR($A557)-1,MONTH($A557),DAY($A557)),$A:$A,0))-1),"")</f>
        <v/>
      </c>
      <c r="L557" s="19">
        <f>IFERROR(IF(OR(G557="",INDEX(G:G,MATCH(DATE(YEAR($A557)-1,MONTH($A557),DAY($A557)),$A:$A,0))=""),"",G557/INDEX(G:G,MATCH(DATE(YEAR($A557)-1,MONTH($A557),DAY($A557)),$A:$A,0))-1),"")</f>
        <v/>
      </c>
      <c r="M557" s="19">
        <f>IF(OR(E557="",E556=""),"",E557/E556-1)</f>
        <v/>
      </c>
      <c r="N557" s="19">
        <f>IF(OR(F557="",F556=""),"",F557/F556-1)</f>
        <v/>
      </c>
      <c r="O557" s="19">
        <f>IF(OR(G557="",G556=""),"",G557/G556-1)</f>
        <v/>
      </c>
      <c r="P557" s="22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IF(R557="","",P557/R557)</f>
        <v/>
      </c>
      <c r="T557" s="23">
        <f>IF(R557="","",Q557/R557)</f>
        <v/>
      </c>
      <c r="U557" s="24">
        <f>IF(SUMIFS('Daily NSE Equity Options'!$M:$M,'Daily NSE Equity Options'!$A:$A,$A557)=0,"",SUMIFS('Daily NSE Equity Options'!$M:$M,'Daily NSE Equity Options'!$A:$A,$A557))</f>
        <v/>
      </c>
      <c r="V557" s="9">
        <f>IF(SUMIFS('Daily BSE Equity Options'!$M:$M,'Daily BSE Equity Options'!$A:$A,$A557)=0,"",SUMIFS('Daily BSE Equity Options'!$M:$M,'Daily BSE Equity Options'!$A:$A,$A557))</f>
        <v/>
      </c>
      <c r="W557" s="9">
        <f>IF(OR(U557="",V557=""),"",U557+V557)</f>
        <v/>
      </c>
      <c r="X557" s="25">
        <f>IF(W557="","",U557/W557)</f>
        <v/>
      </c>
      <c r="Y557" s="25">
        <f>IF(W557="","",V557/W557)</f>
        <v/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19">
        <f>IF(G558="","",E558/G558)</f>
        <v/>
      </c>
      <c r="I558" s="19">
        <f>IF(G558="","",F558/G558)</f>
        <v/>
      </c>
      <c r="J558" s="26">
        <f>IFERROR(IF(OR(E558="",INDEX(E:E,MATCH(DATE(YEAR($A558)-1,MONTH($A558),DAY($A558)),$A:$A,0))=""),"",E558/INDEX(E:E,MATCH(DATE(YEAR($A558)-1,MONTH($A558),DAY($A558)),$A:$A,0))-1),"")</f>
        <v/>
      </c>
      <c r="K558" s="19">
        <f>IFERROR(IF(OR(F558="",INDEX(F:F,MATCH(DATE(YEAR($A558)-1,MONTH($A558),DAY($A558)),$A:$A,0))=""),"",F558/INDEX(F:F,MATCH(DATE(YEAR($A558)-1,MONTH($A558),DAY($A558)),$A:$A,0))-1),"")</f>
        <v/>
      </c>
      <c r="L558" s="19">
        <f>IFERROR(IF(OR(G558="",INDEX(G:G,MATCH(DATE(YEAR($A558)-1,MONTH($A558),DAY($A558)),$A:$A,0))=""),"",G558/INDEX(G:G,MATCH(DATE(YEAR($A558)-1,MONTH($A558),DAY($A558)),$A:$A,0))-1),"")</f>
        <v/>
      </c>
      <c r="M558" s="19">
        <f>IF(OR(E558="",E557=""),"",E558/E557-1)</f>
        <v/>
      </c>
      <c r="N558" s="19">
        <f>IF(OR(F558="",F557=""),"",F558/F557-1)</f>
        <v/>
      </c>
      <c r="O558" s="19">
        <f>IF(OR(G558="",G557=""),"",G558/G557-1)</f>
        <v/>
      </c>
      <c r="P558" s="22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IF(R558="","",P558/R558)</f>
        <v/>
      </c>
      <c r="T558" s="23">
        <f>IF(R558="","",Q558/R558)</f>
        <v/>
      </c>
      <c r="U558" s="24">
        <f>IF(SUMIFS('Daily NSE Equity Options'!$M:$M,'Daily NSE Equity Options'!$A:$A,$A558)=0,"",SUMIFS('Daily NSE Equity Options'!$M:$M,'Daily NSE Equity Options'!$A:$A,$A558))</f>
        <v/>
      </c>
      <c r="V558" s="9">
        <f>IF(SUMIFS('Daily BSE Equity Options'!$M:$M,'Daily BSE Equity Options'!$A:$A,$A558)=0,"",SUMIFS('Daily BSE Equity Options'!$M:$M,'Daily BSE Equity Options'!$A:$A,$A558))</f>
        <v/>
      </c>
      <c r="W558" s="9">
        <f>IF(OR(U558="",V558=""),"",U558+V558)</f>
        <v/>
      </c>
      <c r="X558" s="25">
        <f>IF(W558="","",U558/W558)</f>
        <v/>
      </c>
      <c r="Y558" s="25">
        <f>IF(W558="","",V558/W558)</f>
        <v/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19">
        <f>IF(G559="","",E559/G559)</f>
        <v/>
      </c>
      <c r="I559" s="19">
        <f>IF(G559="","",F559/G559)</f>
        <v/>
      </c>
      <c r="J559" s="26">
        <f>IFERROR(IF(OR(E559="",INDEX(E:E,MATCH(DATE(YEAR($A559)-1,MONTH($A559),DAY($A559)),$A:$A,0))=""),"",E559/INDEX(E:E,MATCH(DATE(YEAR($A559)-1,MONTH($A559),DAY($A559)),$A:$A,0))-1),"")</f>
        <v/>
      </c>
      <c r="K559" s="19">
        <f>IFERROR(IF(OR(F559="",INDEX(F:F,MATCH(DATE(YEAR($A559)-1,MONTH($A559),DAY($A559)),$A:$A,0))=""),"",F559/INDEX(F:F,MATCH(DATE(YEAR($A559)-1,MONTH($A559),DAY($A559)),$A:$A,0))-1),"")</f>
        <v/>
      </c>
      <c r="L559" s="19">
        <f>IFERROR(IF(OR(G559="",INDEX(G:G,MATCH(DATE(YEAR($A559)-1,MONTH($A559),DAY($A559)),$A:$A,0))=""),"",G559/INDEX(G:G,MATCH(DATE(YEAR($A559)-1,MONTH($A559),DAY($A559)),$A:$A,0))-1),"")</f>
        <v/>
      </c>
      <c r="M559" s="19">
        <f>IF(OR(E559="",E558=""),"",E559/E558-1)</f>
        <v/>
      </c>
      <c r="N559" s="19">
        <f>IF(OR(F559="",F558=""),"",F559/F558-1)</f>
        <v/>
      </c>
      <c r="O559" s="19">
        <f>IF(OR(G559="",G558=""),"",G559/G558-1)</f>
        <v/>
      </c>
      <c r="P559" s="22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IF(R559="","",P559/R559)</f>
        <v/>
      </c>
      <c r="T559" s="23">
        <f>IF(R559="","",Q559/R559)</f>
        <v/>
      </c>
      <c r="U559" s="24">
        <f>IF(SUMIFS('Daily NSE Equity Options'!$M:$M,'Daily NSE Equity Options'!$A:$A,$A559)=0,"",SUMIFS('Daily NSE Equity Options'!$M:$M,'Daily NSE Equity Options'!$A:$A,$A559))</f>
        <v/>
      </c>
      <c r="V559" s="9">
        <f>IF(SUMIFS('Daily BSE Equity Options'!$M:$M,'Daily BSE Equity Options'!$A:$A,$A559)=0,"",SUMIFS('Daily BSE Equity Options'!$M:$M,'Daily BSE Equity Options'!$A:$A,$A559))</f>
        <v/>
      </c>
      <c r="W559" s="9">
        <f>IF(OR(U559="",V559=""),"",U559+V559)</f>
        <v/>
      </c>
      <c r="X559" s="25">
        <f>IF(W559="","",U559/W559)</f>
        <v/>
      </c>
      <c r="Y559" s="25">
        <f>IF(W559="","",V559/W559)</f>
        <v/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19">
        <f>IF(G560="","",E560/G560)</f>
        <v/>
      </c>
      <c r="I560" s="19">
        <f>IF(G560="","",F560/G560)</f>
        <v/>
      </c>
      <c r="J560" s="26">
        <f>IFERROR(IF(OR(E560="",INDEX(E:E,MATCH(DATE(YEAR($A560)-1,MONTH($A560),DAY($A560)),$A:$A,0))=""),"",E560/INDEX(E:E,MATCH(DATE(YEAR($A560)-1,MONTH($A560),DAY($A560)),$A:$A,0))-1),"")</f>
        <v/>
      </c>
      <c r="K560" s="19">
        <f>IFERROR(IF(OR(F560="",INDEX(F:F,MATCH(DATE(YEAR($A560)-1,MONTH($A560),DAY($A560)),$A:$A,0))=""),"",F560/INDEX(F:F,MATCH(DATE(YEAR($A560)-1,MONTH($A560),DAY($A560)),$A:$A,0))-1),"")</f>
        <v/>
      </c>
      <c r="L560" s="19">
        <f>IFERROR(IF(OR(G560="",INDEX(G:G,MATCH(DATE(YEAR($A560)-1,MONTH($A560),DAY($A560)),$A:$A,0))=""),"",G560/INDEX(G:G,MATCH(DATE(YEAR($A560)-1,MONTH($A560),DAY($A560)),$A:$A,0))-1),"")</f>
        <v/>
      </c>
      <c r="M560" s="19">
        <f>IF(OR(E560="",E559=""),"",E560/E559-1)</f>
        <v/>
      </c>
      <c r="N560" s="19">
        <f>IF(OR(F560="",F559=""),"",F560/F559-1)</f>
        <v/>
      </c>
      <c r="O560" s="19">
        <f>IF(OR(G560="",G559=""),"",G560/G559-1)</f>
        <v/>
      </c>
      <c r="P560" s="22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IF(R560="","",P560/R560)</f>
        <v/>
      </c>
      <c r="T560" s="23">
        <f>IF(R560="","",Q560/R560)</f>
        <v/>
      </c>
      <c r="U560" s="24">
        <f>IF(SUMIFS('Daily NSE Equity Options'!$M:$M,'Daily NSE Equity Options'!$A:$A,$A560)=0,"",SUMIFS('Daily NSE Equity Options'!$M:$M,'Daily NSE Equity Options'!$A:$A,$A560))</f>
        <v/>
      </c>
      <c r="V560" s="9">
        <f>IF(SUMIFS('Daily BSE Equity Options'!$M:$M,'Daily BSE Equity Options'!$A:$A,$A560)=0,"",SUMIFS('Daily BSE Equity Options'!$M:$M,'Daily BSE Equity Options'!$A:$A,$A560))</f>
        <v/>
      </c>
      <c r="W560" s="9">
        <f>IF(OR(U560="",V560=""),"",U560+V560)</f>
        <v/>
      </c>
      <c r="X560" s="25">
        <f>IF(W560="","",U560/W560)</f>
        <v/>
      </c>
      <c r="Y560" s="25">
        <f>IF(W560="","",V560/W560)</f>
        <v/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19">
        <f>IF(G561="","",E561/G561)</f>
        <v/>
      </c>
      <c r="I561" s="19">
        <f>IF(G561="","",F561/G561)</f>
        <v/>
      </c>
      <c r="J561" s="26">
        <f>IFERROR(IF(OR(E561="",INDEX(E:E,MATCH(DATE(YEAR($A561)-1,MONTH($A561),DAY($A561)),$A:$A,0))=""),"",E561/INDEX(E:E,MATCH(DATE(YEAR($A561)-1,MONTH($A561),DAY($A561)),$A:$A,0))-1),"")</f>
        <v/>
      </c>
      <c r="K561" s="19">
        <f>IFERROR(IF(OR(F561="",INDEX(F:F,MATCH(DATE(YEAR($A561)-1,MONTH($A561),DAY($A561)),$A:$A,0))=""),"",F561/INDEX(F:F,MATCH(DATE(YEAR($A561)-1,MONTH($A561),DAY($A561)),$A:$A,0))-1),"")</f>
        <v/>
      </c>
      <c r="L561" s="19">
        <f>IFERROR(IF(OR(G561="",INDEX(G:G,MATCH(DATE(YEAR($A561)-1,MONTH($A561),DAY($A561)),$A:$A,0))=""),"",G561/INDEX(G:G,MATCH(DATE(YEAR($A561)-1,MONTH($A561),DAY($A561)),$A:$A,0))-1),"")</f>
        <v/>
      </c>
      <c r="M561" s="19">
        <f>IF(OR(E561="",E560=""),"",E561/E560-1)</f>
        <v/>
      </c>
      <c r="N561" s="19">
        <f>IF(OR(F561="",F560=""),"",F561/F560-1)</f>
        <v/>
      </c>
      <c r="O561" s="19">
        <f>IF(OR(G561="",G560=""),"",G561/G560-1)</f>
        <v/>
      </c>
      <c r="P561" s="22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IF(R561="","",P561/R561)</f>
        <v/>
      </c>
      <c r="T561" s="23">
        <f>IF(R561="","",Q561/R561)</f>
        <v/>
      </c>
      <c r="U561" s="24">
        <f>IF(SUMIFS('Daily NSE Equity Options'!$M:$M,'Daily NSE Equity Options'!$A:$A,$A561)=0,"",SUMIFS('Daily NSE Equity Options'!$M:$M,'Daily NSE Equity Options'!$A:$A,$A561))</f>
        <v/>
      </c>
      <c r="V561" s="9">
        <f>IF(SUMIFS('Daily BSE Equity Options'!$M:$M,'Daily BSE Equity Options'!$A:$A,$A561)=0,"",SUMIFS('Daily BSE Equity Options'!$M:$M,'Daily BSE Equity Options'!$A:$A,$A561))</f>
        <v/>
      </c>
      <c r="W561" s="9">
        <f>IF(OR(U561="",V561=""),"",U561+V561)</f>
        <v/>
      </c>
      <c r="X561" s="25">
        <f>IF(W561="","",U561/W561)</f>
        <v/>
      </c>
      <c r="Y561" s="25">
        <f>IF(W561="","",V561/W561)</f>
        <v/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19">
        <f>IF(G562="","",E562/G562)</f>
        <v/>
      </c>
      <c r="I562" s="19">
        <f>IF(G562="","",F562/G562)</f>
        <v/>
      </c>
      <c r="J562" s="26">
        <f>IFERROR(IF(OR(E562="",INDEX(E:E,MATCH(DATE(YEAR($A562)-1,MONTH($A562),DAY($A562)),$A:$A,0))=""),"",E562/INDEX(E:E,MATCH(DATE(YEAR($A562)-1,MONTH($A562),DAY($A562)),$A:$A,0))-1),"")</f>
        <v/>
      </c>
      <c r="K562" s="19">
        <f>IFERROR(IF(OR(F562="",INDEX(F:F,MATCH(DATE(YEAR($A562)-1,MONTH($A562),DAY($A562)),$A:$A,0))=""),"",F562/INDEX(F:F,MATCH(DATE(YEAR($A562)-1,MONTH($A562),DAY($A562)),$A:$A,0))-1),"")</f>
        <v/>
      </c>
      <c r="L562" s="19">
        <f>IFERROR(IF(OR(G562="",INDEX(G:G,MATCH(DATE(YEAR($A562)-1,MONTH($A562),DAY($A562)),$A:$A,0))=""),"",G562/INDEX(G:G,MATCH(DATE(YEAR($A562)-1,MONTH($A562),DAY($A562)),$A:$A,0))-1),"")</f>
        <v/>
      </c>
      <c r="M562" s="19">
        <f>IF(OR(E562="",E561=""),"",E562/E561-1)</f>
        <v/>
      </c>
      <c r="N562" s="19">
        <f>IF(OR(F562="",F561=""),"",F562/F561-1)</f>
        <v/>
      </c>
      <c r="O562" s="19">
        <f>IF(OR(G562="",G561=""),"",G562/G561-1)</f>
        <v/>
      </c>
      <c r="P562" s="22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IF(R562="","",P562/R562)</f>
        <v/>
      </c>
      <c r="T562" s="23">
        <f>IF(R562="","",Q562/R562)</f>
        <v/>
      </c>
      <c r="U562" s="24">
        <f>IF(SUMIFS('Daily NSE Equity Options'!$M:$M,'Daily NSE Equity Options'!$A:$A,$A562)=0,"",SUMIFS('Daily NSE Equity Options'!$M:$M,'Daily NSE Equity Options'!$A:$A,$A562))</f>
        <v/>
      </c>
      <c r="V562" s="9">
        <f>IF(SUMIFS('Daily BSE Equity Options'!$M:$M,'Daily BSE Equity Options'!$A:$A,$A562)=0,"",SUMIFS('Daily BSE Equity Options'!$M:$M,'Daily BSE Equity Options'!$A:$A,$A562))</f>
        <v/>
      </c>
      <c r="W562" s="9">
        <f>IF(OR(U562="",V562=""),"",U562+V562)</f>
        <v/>
      </c>
      <c r="X562" s="25">
        <f>IF(W562="","",U562/W562)</f>
        <v/>
      </c>
      <c r="Y562" s="25">
        <f>IF(W562="","",V562/W562)</f>
        <v/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19">
        <f>IF(G563="","",E563/G563)</f>
        <v/>
      </c>
      <c r="I563" s="19">
        <f>IF(G563="","",F563/G563)</f>
        <v/>
      </c>
      <c r="J563" s="26">
        <f>IFERROR(IF(OR(E563="",INDEX(E:E,MATCH(DATE(YEAR($A563)-1,MONTH($A563),DAY($A563)),$A:$A,0))=""),"",E563/INDEX(E:E,MATCH(DATE(YEAR($A563)-1,MONTH($A563),DAY($A563)),$A:$A,0))-1),"")</f>
        <v/>
      </c>
      <c r="K563" s="19">
        <f>IFERROR(IF(OR(F563="",INDEX(F:F,MATCH(DATE(YEAR($A563)-1,MONTH($A563),DAY($A563)),$A:$A,0))=""),"",F563/INDEX(F:F,MATCH(DATE(YEAR($A563)-1,MONTH($A563),DAY($A563)),$A:$A,0))-1),"")</f>
        <v/>
      </c>
      <c r="L563" s="19">
        <f>IFERROR(IF(OR(G563="",INDEX(G:G,MATCH(DATE(YEAR($A563)-1,MONTH($A563),DAY($A563)),$A:$A,0))=""),"",G563/INDEX(G:G,MATCH(DATE(YEAR($A563)-1,MONTH($A563),DAY($A563)),$A:$A,0))-1),"")</f>
        <v/>
      </c>
      <c r="M563" s="19">
        <f>IF(OR(E563="",E562=""),"",E563/E562-1)</f>
        <v/>
      </c>
      <c r="N563" s="19">
        <f>IF(OR(F563="",F562=""),"",F563/F562-1)</f>
        <v/>
      </c>
      <c r="O563" s="19">
        <f>IF(OR(G563="",G562=""),"",G563/G562-1)</f>
        <v/>
      </c>
      <c r="P563" s="22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IF(R563="","",P563/R563)</f>
        <v/>
      </c>
      <c r="T563" s="23">
        <f>IF(R563="","",Q563/R563)</f>
        <v/>
      </c>
      <c r="U563" s="24">
        <f>IF(SUMIFS('Daily NSE Equity Options'!$M:$M,'Daily NSE Equity Options'!$A:$A,$A563)=0,"",SUMIFS('Daily NSE Equity Options'!$M:$M,'Daily NSE Equity Options'!$A:$A,$A563))</f>
        <v/>
      </c>
      <c r="V563" s="9">
        <f>IF(SUMIFS('Daily BSE Equity Options'!$M:$M,'Daily BSE Equity Options'!$A:$A,$A563)=0,"",SUMIFS('Daily BSE Equity Options'!$M:$M,'Daily BSE Equity Options'!$A:$A,$A563))</f>
        <v/>
      </c>
      <c r="W563" s="9">
        <f>IF(OR(U563="",V563=""),"",U563+V563)</f>
        <v/>
      </c>
      <c r="X563" s="25">
        <f>IF(W563="","",U563/W563)</f>
        <v/>
      </c>
      <c r="Y563" s="25">
        <f>IF(W563="","",V563/W563)</f>
        <v/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19">
        <f>IF(G564="","",E564/G564)</f>
        <v/>
      </c>
      <c r="I564" s="19">
        <f>IF(G564="","",F564/G564)</f>
        <v/>
      </c>
      <c r="J564" s="26">
        <f>IFERROR(IF(OR(E564="",INDEX(E:E,MATCH(DATE(YEAR($A564)-1,MONTH($A564),DAY($A564)),$A:$A,0))=""),"",E564/INDEX(E:E,MATCH(DATE(YEAR($A564)-1,MONTH($A564),DAY($A564)),$A:$A,0))-1),"")</f>
        <v/>
      </c>
      <c r="K564" s="19">
        <f>IFERROR(IF(OR(F564="",INDEX(F:F,MATCH(DATE(YEAR($A564)-1,MONTH($A564),DAY($A564)),$A:$A,0))=""),"",F564/INDEX(F:F,MATCH(DATE(YEAR($A564)-1,MONTH($A564),DAY($A564)),$A:$A,0))-1),"")</f>
        <v/>
      </c>
      <c r="L564" s="19">
        <f>IFERROR(IF(OR(G564="",INDEX(G:G,MATCH(DATE(YEAR($A564)-1,MONTH($A564),DAY($A564)),$A:$A,0))=""),"",G564/INDEX(G:G,MATCH(DATE(YEAR($A564)-1,MONTH($A564),DAY($A564)),$A:$A,0))-1),"")</f>
        <v/>
      </c>
      <c r="M564" s="19">
        <f>IF(OR(E564="",E563=""),"",E564/E563-1)</f>
        <v/>
      </c>
      <c r="N564" s="19">
        <f>IF(OR(F564="",F563=""),"",F564/F563-1)</f>
        <v/>
      </c>
      <c r="O564" s="19">
        <f>IF(OR(G564="",G563=""),"",G564/G563-1)</f>
        <v/>
      </c>
      <c r="P564" s="22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IF(R564="","",P564/R564)</f>
        <v/>
      </c>
      <c r="T564" s="23">
        <f>IF(R564="","",Q564/R564)</f>
        <v/>
      </c>
      <c r="U564" s="24">
        <f>IF(SUMIFS('Daily NSE Equity Options'!$M:$M,'Daily NSE Equity Options'!$A:$A,$A564)=0,"",SUMIFS('Daily NSE Equity Options'!$M:$M,'Daily NSE Equity Options'!$A:$A,$A564))</f>
        <v/>
      </c>
      <c r="V564" s="9">
        <f>IF(SUMIFS('Daily BSE Equity Options'!$M:$M,'Daily BSE Equity Options'!$A:$A,$A564)=0,"",SUMIFS('Daily BSE Equity Options'!$M:$M,'Daily BSE Equity Options'!$A:$A,$A564))</f>
        <v/>
      </c>
      <c r="W564" s="9">
        <f>IF(OR(U564="",V564=""),"",U564+V564)</f>
        <v/>
      </c>
      <c r="X564" s="25">
        <f>IF(W564="","",U564/W564)</f>
        <v/>
      </c>
      <c r="Y564" s="25">
        <f>IF(W564="","",V564/W564)</f>
        <v/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19">
        <f>IF(G565="","",E565/G565)</f>
        <v/>
      </c>
      <c r="I565" s="19">
        <f>IF(G565="","",F565/G565)</f>
        <v/>
      </c>
      <c r="J565" s="26">
        <f>IFERROR(IF(OR(E565="",INDEX(E:E,MATCH(DATE(YEAR($A565)-1,MONTH($A565),DAY($A565)),$A:$A,0))=""),"",E565/INDEX(E:E,MATCH(DATE(YEAR($A565)-1,MONTH($A565),DAY($A565)),$A:$A,0))-1),"")</f>
        <v/>
      </c>
      <c r="K565" s="19">
        <f>IFERROR(IF(OR(F565="",INDEX(F:F,MATCH(DATE(YEAR($A565)-1,MONTH($A565),DAY($A565)),$A:$A,0))=""),"",F565/INDEX(F:F,MATCH(DATE(YEAR($A565)-1,MONTH($A565),DAY($A565)),$A:$A,0))-1),"")</f>
        <v/>
      </c>
      <c r="L565" s="19">
        <f>IFERROR(IF(OR(G565="",INDEX(G:G,MATCH(DATE(YEAR($A565)-1,MONTH($A565),DAY($A565)),$A:$A,0))=""),"",G565/INDEX(G:G,MATCH(DATE(YEAR($A565)-1,MONTH($A565),DAY($A565)),$A:$A,0))-1),"")</f>
        <v/>
      </c>
      <c r="M565" s="19">
        <f>IF(OR(E565="",E564=""),"",E565/E564-1)</f>
        <v/>
      </c>
      <c r="N565" s="19">
        <f>IF(OR(F565="",F564=""),"",F565/F564-1)</f>
        <v/>
      </c>
      <c r="O565" s="19">
        <f>IF(OR(G565="",G564=""),"",G565/G564-1)</f>
        <v/>
      </c>
      <c r="P565" s="22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IF(R565="","",P565/R565)</f>
        <v/>
      </c>
      <c r="T565" s="23">
        <f>IF(R565="","",Q565/R565)</f>
        <v/>
      </c>
      <c r="U565" s="24">
        <f>IF(SUMIFS('Daily NSE Equity Options'!$M:$M,'Daily NSE Equity Options'!$A:$A,$A565)=0,"",SUMIFS('Daily NSE Equity Options'!$M:$M,'Daily NSE Equity Options'!$A:$A,$A565))</f>
        <v/>
      </c>
      <c r="V565" s="9">
        <f>IF(SUMIFS('Daily BSE Equity Options'!$M:$M,'Daily BSE Equity Options'!$A:$A,$A565)=0,"",SUMIFS('Daily BSE Equity Options'!$M:$M,'Daily BSE Equity Options'!$A:$A,$A565))</f>
        <v/>
      </c>
      <c r="W565" s="9">
        <f>IF(OR(U565="",V565=""),"",U565+V565)</f>
        <v/>
      </c>
      <c r="X565" s="25">
        <f>IF(W565="","",U565/W565)</f>
        <v/>
      </c>
      <c r="Y565" s="25">
        <f>IF(W565="","",V565/W565)</f>
        <v/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19">
        <f>IF(G566="","",E566/G566)</f>
        <v/>
      </c>
      <c r="I566" s="19">
        <f>IF(G566="","",F566/G566)</f>
        <v/>
      </c>
      <c r="J566" s="26">
        <f>IFERROR(IF(OR(E566="",INDEX(E:E,MATCH(DATE(YEAR($A566)-1,MONTH($A566),DAY($A566)),$A:$A,0))=""),"",E566/INDEX(E:E,MATCH(DATE(YEAR($A566)-1,MONTH($A566),DAY($A566)),$A:$A,0))-1),"")</f>
        <v/>
      </c>
      <c r="K566" s="19">
        <f>IFERROR(IF(OR(F566="",INDEX(F:F,MATCH(DATE(YEAR($A566)-1,MONTH($A566),DAY($A566)),$A:$A,0))=""),"",F566/INDEX(F:F,MATCH(DATE(YEAR($A566)-1,MONTH($A566),DAY($A566)),$A:$A,0))-1),"")</f>
        <v/>
      </c>
      <c r="L566" s="19">
        <f>IFERROR(IF(OR(G566="",INDEX(G:G,MATCH(DATE(YEAR($A566)-1,MONTH($A566),DAY($A566)),$A:$A,0))=""),"",G566/INDEX(G:G,MATCH(DATE(YEAR($A566)-1,MONTH($A566),DAY($A566)),$A:$A,0))-1),"")</f>
        <v/>
      </c>
      <c r="M566" s="19">
        <f>IF(OR(E566="",E565=""),"",E566/E565-1)</f>
        <v/>
      </c>
      <c r="N566" s="19">
        <f>IF(OR(F566="",F565=""),"",F566/F565-1)</f>
        <v/>
      </c>
      <c r="O566" s="19">
        <f>IF(OR(G566="",G565=""),"",G566/G565-1)</f>
        <v/>
      </c>
      <c r="P566" s="22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IF(R566="","",P566/R566)</f>
        <v/>
      </c>
      <c r="T566" s="23">
        <f>IF(R566="","",Q566/R566)</f>
        <v/>
      </c>
      <c r="U566" s="24">
        <f>IF(SUMIFS('Daily NSE Equity Options'!$M:$M,'Daily NSE Equity Options'!$A:$A,$A566)=0,"",SUMIFS('Daily NSE Equity Options'!$M:$M,'Daily NSE Equity Options'!$A:$A,$A566))</f>
        <v/>
      </c>
      <c r="V566" s="9">
        <f>IF(SUMIFS('Daily BSE Equity Options'!$M:$M,'Daily BSE Equity Options'!$A:$A,$A566)=0,"",SUMIFS('Daily BSE Equity Options'!$M:$M,'Daily BSE Equity Options'!$A:$A,$A566))</f>
        <v/>
      </c>
      <c r="W566" s="9">
        <f>IF(OR(U566="",V566=""),"",U566+V566)</f>
        <v/>
      </c>
      <c r="X566" s="25">
        <f>IF(W566="","",U566/W566)</f>
        <v/>
      </c>
      <c r="Y566" s="25">
        <f>IF(W566="","",V566/W566)</f>
        <v/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19">
        <f>IF(G567="","",E567/G567)</f>
        <v/>
      </c>
      <c r="I567" s="19">
        <f>IF(G567="","",F567/G567)</f>
        <v/>
      </c>
      <c r="J567" s="26">
        <f>IFERROR(IF(OR(E567="",INDEX(E:E,MATCH(DATE(YEAR($A567)-1,MONTH($A567),DAY($A567)),$A:$A,0))=""),"",E567/INDEX(E:E,MATCH(DATE(YEAR($A567)-1,MONTH($A567),DAY($A567)),$A:$A,0))-1),"")</f>
        <v/>
      </c>
      <c r="K567" s="19">
        <f>IFERROR(IF(OR(F567="",INDEX(F:F,MATCH(DATE(YEAR($A567)-1,MONTH($A567),DAY($A567)),$A:$A,0))=""),"",F567/INDEX(F:F,MATCH(DATE(YEAR($A567)-1,MONTH($A567),DAY($A567)),$A:$A,0))-1),"")</f>
        <v/>
      </c>
      <c r="L567" s="19">
        <f>IFERROR(IF(OR(G567="",INDEX(G:G,MATCH(DATE(YEAR($A567)-1,MONTH($A567),DAY($A567)),$A:$A,0))=""),"",G567/INDEX(G:G,MATCH(DATE(YEAR($A567)-1,MONTH($A567),DAY($A567)),$A:$A,0))-1),"")</f>
        <v/>
      </c>
      <c r="M567" s="19">
        <f>IF(OR(E567="",E566=""),"",E567/E566-1)</f>
        <v/>
      </c>
      <c r="N567" s="19">
        <f>IF(OR(F567="",F566=""),"",F567/F566-1)</f>
        <v/>
      </c>
      <c r="O567" s="19">
        <f>IF(OR(G567="",G566=""),"",G567/G566-1)</f>
        <v/>
      </c>
      <c r="P567" s="22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IF(R567="","",P567/R567)</f>
        <v/>
      </c>
      <c r="T567" s="23">
        <f>IF(R567="","",Q567/R567)</f>
        <v/>
      </c>
      <c r="U567" s="24">
        <f>IF(SUMIFS('Daily NSE Equity Options'!$M:$M,'Daily NSE Equity Options'!$A:$A,$A567)=0,"",SUMIFS('Daily NSE Equity Options'!$M:$M,'Daily NSE Equity Options'!$A:$A,$A567))</f>
        <v/>
      </c>
      <c r="V567" s="9">
        <f>IF(SUMIFS('Daily BSE Equity Options'!$M:$M,'Daily BSE Equity Options'!$A:$A,$A567)=0,"",SUMIFS('Daily BSE Equity Options'!$M:$M,'Daily BSE Equity Options'!$A:$A,$A567))</f>
        <v/>
      </c>
      <c r="W567" s="9">
        <f>IF(OR(U567="",V567=""),"",U567+V567)</f>
        <v/>
      </c>
      <c r="X567" s="25">
        <f>IF(W567="","",U567/W567)</f>
        <v/>
      </c>
      <c r="Y567" s="25">
        <f>IF(W567="","",V567/W567)</f>
        <v/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19">
        <f>IF(G568="","",E568/G568)</f>
        <v/>
      </c>
      <c r="I568" s="19">
        <f>IF(G568="","",F568/G568)</f>
        <v/>
      </c>
      <c r="J568" s="26">
        <f>IFERROR(IF(OR(E568="",INDEX(E:E,MATCH(DATE(YEAR($A568)-1,MONTH($A568),DAY($A568)),$A:$A,0))=""),"",E568/INDEX(E:E,MATCH(DATE(YEAR($A568)-1,MONTH($A568),DAY($A568)),$A:$A,0))-1),"")</f>
        <v/>
      </c>
      <c r="K568" s="19">
        <f>IFERROR(IF(OR(F568="",INDEX(F:F,MATCH(DATE(YEAR($A568)-1,MONTH($A568),DAY($A568)),$A:$A,0))=""),"",F568/INDEX(F:F,MATCH(DATE(YEAR($A568)-1,MONTH($A568),DAY($A568)),$A:$A,0))-1),"")</f>
        <v/>
      </c>
      <c r="L568" s="19">
        <f>IFERROR(IF(OR(G568="",INDEX(G:G,MATCH(DATE(YEAR($A568)-1,MONTH($A568),DAY($A568)),$A:$A,0))=""),"",G568/INDEX(G:G,MATCH(DATE(YEAR($A568)-1,MONTH($A568),DAY($A568)),$A:$A,0))-1),"")</f>
        <v/>
      </c>
      <c r="M568" s="19">
        <f>IF(OR(E568="",E567=""),"",E568/E567-1)</f>
        <v/>
      </c>
      <c r="N568" s="19">
        <f>IF(OR(F568="",F567=""),"",F568/F567-1)</f>
        <v/>
      </c>
      <c r="O568" s="19">
        <f>IF(OR(G568="",G567=""),"",G568/G567-1)</f>
        <v/>
      </c>
      <c r="P568" s="22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IF(R568="","",P568/R568)</f>
        <v/>
      </c>
      <c r="T568" s="23">
        <f>IF(R568="","",Q568/R568)</f>
        <v/>
      </c>
      <c r="U568" s="24">
        <f>IF(SUMIFS('Daily NSE Equity Options'!$M:$M,'Daily NSE Equity Options'!$A:$A,$A568)=0,"",SUMIFS('Daily NSE Equity Options'!$M:$M,'Daily NSE Equity Options'!$A:$A,$A568))</f>
        <v/>
      </c>
      <c r="V568" s="9">
        <f>IF(SUMIFS('Daily BSE Equity Options'!$M:$M,'Daily BSE Equity Options'!$A:$A,$A568)=0,"",SUMIFS('Daily BSE Equity Options'!$M:$M,'Daily BSE Equity Options'!$A:$A,$A568))</f>
        <v/>
      </c>
      <c r="W568" s="9">
        <f>IF(OR(U568="",V568=""),"",U568+V568)</f>
        <v/>
      </c>
      <c r="X568" s="25">
        <f>IF(W568="","",U568/W568)</f>
        <v/>
      </c>
      <c r="Y568" s="25">
        <f>IF(W568="","",V568/W568)</f>
        <v/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19">
        <f>IF(G569="","",E569/G569)</f>
        <v/>
      </c>
      <c r="I569" s="19">
        <f>IF(G569="","",F569/G569)</f>
        <v/>
      </c>
      <c r="J569" s="26">
        <f>IFERROR(IF(OR(E569="",INDEX(E:E,MATCH(DATE(YEAR($A569)-1,MONTH($A569),DAY($A569)),$A:$A,0))=""),"",E569/INDEX(E:E,MATCH(DATE(YEAR($A569)-1,MONTH($A569),DAY($A569)),$A:$A,0))-1),"")</f>
        <v/>
      </c>
      <c r="K569" s="19">
        <f>IFERROR(IF(OR(F569="",INDEX(F:F,MATCH(DATE(YEAR($A569)-1,MONTH($A569),DAY($A569)),$A:$A,0))=""),"",F569/INDEX(F:F,MATCH(DATE(YEAR($A569)-1,MONTH($A569),DAY($A569)),$A:$A,0))-1),"")</f>
        <v/>
      </c>
      <c r="L569" s="19">
        <f>IFERROR(IF(OR(G569="",INDEX(G:G,MATCH(DATE(YEAR($A569)-1,MONTH($A569),DAY($A569)),$A:$A,0))=""),"",G569/INDEX(G:G,MATCH(DATE(YEAR($A569)-1,MONTH($A569),DAY($A569)),$A:$A,0))-1),"")</f>
        <v/>
      </c>
      <c r="M569" s="19">
        <f>IF(OR(E569="",E568=""),"",E569/E568-1)</f>
        <v/>
      </c>
      <c r="N569" s="19">
        <f>IF(OR(F569="",F568=""),"",F569/F568-1)</f>
        <v/>
      </c>
      <c r="O569" s="19">
        <f>IF(OR(G569="",G568=""),"",G569/G568-1)</f>
        <v/>
      </c>
      <c r="P569" s="22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IF(R569="","",P569/R569)</f>
        <v/>
      </c>
      <c r="T569" s="23">
        <f>IF(R569="","",Q569/R569)</f>
        <v/>
      </c>
      <c r="U569" s="24">
        <f>IF(SUMIFS('Daily NSE Equity Options'!$M:$M,'Daily NSE Equity Options'!$A:$A,$A569)=0,"",SUMIFS('Daily NSE Equity Options'!$M:$M,'Daily NSE Equity Options'!$A:$A,$A569))</f>
        <v/>
      </c>
      <c r="V569" s="9">
        <f>IF(SUMIFS('Daily BSE Equity Options'!$M:$M,'Daily BSE Equity Options'!$A:$A,$A569)=0,"",SUMIFS('Daily BSE Equity Options'!$M:$M,'Daily BSE Equity Options'!$A:$A,$A569))</f>
        <v/>
      </c>
      <c r="W569" s="9">
        <f>IF(OR(U569="",V569=""),"",U569+V569)</f>
        <v/>
      </c>
      <c r="X569" s="25">
        <f>IF(W569="","",U569/W569)</f>
        <v/>
      </c>
      <c r="Y569" s="25">
        <f>IF(W569="","",V569/W569)</f>
        <v/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19">
        <f>IF(G570="","",E570/G570)</f>
        <v/>
      </c>
      <c r="I570" s="19">
        <f>IF(G570="","",F570/G570)</f>
        <v/>
      </c>
      <c r="J570" s="26">
        <f>IFERROR(IF(OR(E570="",INDEX(E:E,MATCH(DATE(YEAR($A570)-1,MONTH($A570),DAY($A570)),$A:$A,0))=""),"",E570/INDEX(E:E,MATCH(DATE(YEAR($A570)-1,MONTH($A570),DAY($A570)),$A:$A,0))-1),"")</f>
        <v/>
      </c>
      <c r="K570" s="19">
        <f>IFERROR(IF(OR(F570="",INDEX(F:F,MATCH(DATE(YEAR($A570)-1,MONTH($A570),DAY($A570)),$A:$A,0))=""),"",F570/INDEX(F:F,MATCH(DATE(YEAR($A570)-1,MONTH($A570),DAY($A570)),$A:$A,0))-1),"")</f>
        <v/>
      </c>
      <c r="L570" s="19">
        <f>IFERROR(IF(OR(G570="",INDEX(G:G,MATCH(DATE(YEAR($A570)-1,MONTH($A570),DAY($A570)),$A:$A,0))=""),"",G570/INDEX(G:G,MATCH(DATE(YEAR($A570)-1,MONTH($A570),DAY($A570)),$A:$A,0))-1),"")</f>
        <v/>
      </c>
      <c r="M570" s="19">
        <f>IF(OR(E570="",E569=""),"",E570/E569-1)</f>
        <v/>
      </c>
      <c r="N570" s="19">
        <f>IF(OR(F570="",F569=""),"",F570/F569-1)</f>
        <v/>
      </c>
      <c r="O570" s="19">
        <f>IF(OR(G570="",G569=""),"",G570/G569-1)</f>
        <v/>
      </c>
      <c r="P570" s="22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IF(R570="","",P570/R570)</f>
        <v/>
      </c>
      <c r="T570" s="23">
        <f>IF(R570="","",Q570/R570)</f>
        <v/>
      </c>
      <c r="U570" s="24">
        <f>IF(SUMIFS('Daily NSE Equity Options'!$M:$M,'Daily NSE Equity Options'!$A:$A,$A570)=0,"",SUMIFS('Daily NSE Equity Options'!$M:$M,'Daily NSE Equity Options'!$A:$A,$A570))</f>
        <v/>
      </c>
      <c r="V570" s="9">
        <f>IF(SUMIFS('Daily BSE Equity Options'!$M:$M,'Daily BSE Equity Options'!$A:$A,$A570)=0,"",SUMIFS('Daily BSE Equity Options'!$M:$M,'Daily BSE Equity Options'!$A:$A,$A570))</f>
        <v/>
      </c>
      <c r="W570" s="9">
        <f>IF(OR(U570="",V570=""),"",U570+V570)</f>
        <v/>
      </c>
      <c r="X570" s="25">
        <f>IF(W570="","",U570/W570)</f>
        <v/>
      </c>
      <c r="Y570" s="25">
        <f>IF(W570="","",V570/W570)</f>
        <v/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19">
        <f>IF(G571="","",E571/G571)</f>
        <v/>
      </c>
      <c r="I571" s="19">
        <f>IF(G571="","",F571/G571)</f>
        <v/>
      </c>
      <c r="J571" s="26">
        <f>IFERROR(IF(OR(E571="",INDEX(E:E,MATCH(DATE(YEAR($A571)-1,MONTH($A571),DAY($A571)),$A:$A,0))=""),"",E571/INDEX(E:E,MATCH(DATE(YEAR($A571)-1,MONTH($A571),DAY($A571)),$A:$A,0))-1),"")</f>
        <v/>
      </c>
      <c r="K571" s="19">
        <f>IFERROR(IF(OR(F571="",INDEX(F:F,MATCH(DATE(YEAR($A571)-1,MONTH($A571),DAY($A571)),$A:$A,0))=""),"",F571/INDEX(F:F,MATCH(DATE(YEAR($A571)-1,MONTH($A571),DAY($A571)),$A:$A,0))-1),"")</f>
        <v/>
      </c>
      <c r="L571" s="19">
        <f>IFERROR(IF(OR(G571="",INDEX(G:G,MATCH(DATE(YEAR($A571)-1,MONTH($A571),DAY($A571)),$A:$A,0))=""),"",G571/INDEX(G:G,MATCH(DATE(YEAR($A571)-1,MONTH($A571),DAY($A571)),$A:$A,0))-1),"")</f>
        <v/>
      </c>
      <c r="M571" s="19">
        <f>IF(OR(E571="",E570=""),"",E571/E570-1)</f>
        <v/>
      </c>
      <c r="N571" s="19">
        <f>IF(OR(F571="",F570=""),"",F571/F570-1)</f>
        <v/>
      </c>
      <c r="O571" s="19">
        <f>IF(OR(G571="",G570=""),"",G571/G570-1)</f>
        <v/>
      </c>
      <c r="P571" s="22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IF(R571="","",P571/R571)</f>
        <v/>
      </c>
      <c r="T571" s="23">
        <f>IF(R571="","",Q571/R571)</f>
        <v/>
      </c>
      <c r="U571" s="24">
        <f>IF(SUMIFS('Daily NSE Equity Options'!$M:$M,'Daily NSE Equity Options'!$A:$A,$A571)=0,"",SUMIFS('Daily NSE Equity Options'!$M:$M,'Daily NSE Equity Options'!$A:$A,$A571))</f>
        <v/>
      </c>
      <c r="V571" s="9">
        <f>IF(SUMIFS('Daily BSE Equity Options'!$M:$M,'Daily BSE Equity Options'!$A:$A,$A571)=0,"",SUMIFS('Daily BSE Equity Options'!$M:$M,'Daily BSE Equity Options'!$A:$A,$A571))</f>
        <v/>
      </c>
      <c r="W571" s="9">
        <f>IF(OR(U571="",V571=""),"",U571+V571)</f>
        <v/>
      </c>
      <c r="X571" s="25">
        <f>IF(W571="","",U571/W571)</f>
        <v/>
      </c>
      <c r="Y571" s="25">
        <f>IF(W571="","",V571/W571)</f>
        <v/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19">
        <f>IF(G572="","",E572/G572)</f>
        <v/>
      </c>
      <c r="I572" s="19">
        <f>IF(G572="","",F572/G572)</f>
        <v/>
      </c>
      <c r="J572" s="26">
        <f>IFERROR(IF(OR(E572="",INDEX(E:E,MATCH(DATE(YEAR($A572)-1,MONTH($A572),DAY($A572)),$A:$A,0))=""),"",E572/INDEX(E:E,MATCH(DATE(YEAR($A572)-1,MONTH($A572),DAY($A572)),$A:$A,0))-1),"")</f>
        <v/>
      </c>
      <c r="K572" s="19">
        <f>IFERROR(IF(OR(F572="",INDEX(F:F,MATCH(DATE(YEAR($A572)-1,MONTH($A572),DAY($A572)),$A:$A,0))=""),"",F572/INDEX(F:F,MATCH(DATE(YEAR($A572)-1,MONTH($A572),DAY($A572)),$A:$A,0))-1),"")</f>
        <v/>
      </c>
      <c r="L572" s="19">
        <f>IFERROR(IF(OR(G572="",INDEX(G:G,MATCH(DATE(YEAR($A572)-1,MONTH($A572),DAY($A572)),$A:$A,0))=""),"",G572/INDEX(G:G,MATCH(DATE(YEAR($A572)-1,MONTH($A572),DAY($A572)),$A:$A,0))-1),"")</f>
        <v/>
      </c>
      <c r="M572" s="19">
        <f>IF(OR(E572="",E571=""),"",E572/E571-1)</f>
        <v/>
      </c>
      <c r="N572" s="19">
        <f>IF(OR(F572="",F571=""),"",F572/F571-1)</f>
        <v/>
      </c>
      <c r="O572" s="19">
        <f>IF(OR(G572="",G571=""),"",G572/G571-1)</f>
        <v/>
      </c>
      <c r="P572" s="22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IF(R572="","",P572/R572)</f>
        <v/>
      </c>
      <c r="T572" s="23">
        <f>IF(R572="","",Q572/R572)</f>
        <v/>
      </c>
      <c r="U572" s="24">
        <f>IF(SUMIFS('Daily NSE Equity Options'!$M:$M,'Daily NSE Equity Options'!$A:$A,$A572)=0,"",SUMIFS('Daily NSE Equity Options'!$M:$M,'Daily NSE Equity Options'!$A:$A,$A572))</f>
        <v/>
      </c>
      <c r="V572" s="9">
        <f>IF(SUMIFS('Daily BSE Equity Options'!$M:$M,'Daily BSE Equity Options'!$A:$A,$A572)=0,"",SUMIFS('Daily BSE Equity Options'!$M:$M,'Daily BSE Equity Options'!$A:$A,$A572))</f>
        <v/>
      </c>
      <c r="W572" s="9">
        <f>IF(OR(U572="",V572=""),"",U572+V572)</f>
        <v/>
      </c>
      <c r="X572" s="25">
        <f>IF(W572="","",U572/W572)</f>
        <v/>
      </c>
      <c r="Y572" s="25">
        <f>IF(W572="","",V572/W572)</f>
        <v/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19">
        <f>IF(G573="","",E573/G573)</f>
        <v/>
      </c>
      <c r="I573" s="19">
        <f>IF(G573="","",F573/G573)</f>
        <v/>
      </c>
      <c r="J573" s="26">
        <f>IFERROR(IF(OR(E573="",INDEX(E:E,MATCH(DATE(YEAR($A573)-1,MONTH($A573),DAY($A573)),$A:$A,0))=""),"",E573/INDEX(E:E,MATCH(DATE(YEAR($A573)-1,MONTH($A573),DAY($A573)),$A:$A,0))-1),"")</f>
        <v/>
      </c>
      <c r="K573" s="19">
        <f>IFERROR(IF(OR(F573="",INDEX(F:F,MATCH(DATE(YEAR($A573)-1,MONTH($A573),DAY($A573)),$A:$A,0))=""),"",F573/INDEX(F:F,MATCH(DATE(YEAR($A573)-1,MONTH($A573),DAY($A573)),$A:$A,0))-1),"")</f>
        <v/>
      </c>
      <c r="L573" s="19">
        <f>IFERROR(IF(OR(G573="",INDEX(G:G,MATCH(DATE(YEAR($A573)-1,MONTH($A573),DAY($A573)),$A:$A,0))=""),"",G573/INDEX(G:G,MATCH(DATE(YEAR($A573)-1,MONTH($A573),DAY($A573)),$A:$A,0))-1),"")</f>
        <v/>
      </c>
      <c r="M573" s="19">
        <f>IF(OR(E573="",E572=""),"",E573/E572-1)</f>
        <v/>
      </c>
      <c r="N573" s="19">
        <f>IF(OR(F573="",F572=""),"",F573/F572-1)</f>
        <v/>
      </c>
      <c r="O573" s="19">
        <f>IF(OR(G573="",G572=""),"",G573/G572-1)</f>
        <v/>
      </c>
      <c r="P573" s="22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IF(R573="","",P573/R573)</f>
        <v/>
      </c>
      <c r="T573" s="23">
        <f>IF(R573="","",Q573/R573)</f>
        <v/>
      </c>
      <c r="U573" s="24">
        <f>IF(SUMIFS('Daily NSE Equity Options'!$M:$M,'Daily NSE Equity Options'!$A:$A,$A573)=0,"",SUMIFS('Daily NSE Equity Options'!$M:$M,'Daily NSE Equity Options'!$A:$A,$A573))</f>
        <v/>
      </c>
      <c r="V573" s="9">
        <f>IF(SUMIFS('Daily BSE Equity Options'!$M:$M,'Daily BSE Equity Options'!$A:$A,$A573)=0,"",SUMIFS('Daily BSE Equity Options'!$M:$M,'Daily BSE Equity Options'!$A:$A,$A573))</f>
        <v/>
      </c>
      <c r="W573" s="9">
        <f>IF(OR(U573="",V573=""),"",U573+V573)</f>
        <v/>
      </c>
      <c r="X573" s="25">
        <f>IF(W573="","",U573/W573)</f>
        <v/>
      </c>
      <c r="Y573" s="25">
        <f>IF(W573="","",V573/W573)</f>
        <v/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19">
        <f>IF(G574="","",E574/G574)</f>
        <v/>
      </c>
      <c r="I574" s="19">
        <f>IF(G574="","",F574/G574)</f>
        <v/>
      </c>
      <c r="J574" s="26">
        <f>IFERROR(IF(OR(E574="",INDEX(E:E,MATCH(DATE(YEAR($A574)-1,MONTH($A574),DAY($A574)),$A:$A,0))=""),"",E574/INDEX(E:E,MATCH(DATE(YEAR($A574)-1,MONTH($A574),DAY($A574)),$A:$A,0))-1),"")</f>
        <v/>
      </c>
      <c r="K574" s="19">
        <f>IFERROR(IF(OR(F574="",INDEX(F:F,MATCH(DATE(YEAR($A574)-1,MONTH($A574),DAY($A574)),$A:$A,0))=""),"",F574/INDEX(F:F,MATCH(DATE(YEAR($A574)-1,MONTH($A574),DAY($A574)),$A:$A,0))-1),"")</f>
        <v/>
      </c>
      <c r="L574" s="19">
        <f>IFERROR(IF(OR(G574="",INDEX(G:G,MATCH(DATE(YEAR($A574)-1,MONTH($A574),DAY($A574)),$A:$A,0))=""),"",G574/INDEX(G:G,MATCH(DATE(YEAR($A574)-1,MONTH($A574),DAY($A574)),$A:$A,0))-1),"")</f>
        <v/>
      </c>
      <c r="M574" s="19">
        <f>IF(OR(E574="",E573=""),"",E574/E573-1)</f>
        <v/>
      </c>
      <c r="N574" s="19">
        <f>IF(OR(F574="",F573=""),"",F574/F573-1)</f>
        <v/>
      </c>
      <c r="O574" s="19">
        <f>IF(OR(G574="",G573=""),"",G574/G573-1)</f>
        <v/>
      </c>
      <c r="P574" s="22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IF(R574="","",P574/R574)</f>
        <v/>
      </c>
      <c r="T574" s="23">
        <f>IF(R574="","",Q574/R574)</f>
        <v/>
      </c>
      <c r="U574" s="24">
        <f>IF(SUMIFS('Daily NSE Equity Options'!$M:$M,'Daily NSE Equity Options'!$A:$A,$A574)=0,"",SUMIFS('Daily NSE Equity Options'!$M:$M,'Daily NSE Equity Options'!$A:$A,$A574))</f>
        <v/>
      </c>
      <c r="V574" s="9">
        <f>IF(SUMIFS('Daily BSE Equity Options'!$M:$M,'Daily BSE Equity Options'!$A:$A,$A574)=0,"",SUMIFS('Daily BSE Equity Options'!$M:$M,'Daily BSE Equity Options'!$A:$A,$A574))</f>
        <v/>
      </c>
      <c r="W574" s="9">
        <f>IF(OR(U574="",V574=""),"",U574+V574)</f>
        <v/>
      </c>
      <c r="X574" s="25">
        <f>IF(W574="","",U574/W574)</f>
        <v/>
      </c>
      <c r="Y574" s="25">
        <f>IF(W574="","",V574/W574)</f>
        <v/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19">
        <f>IF(G575="","",E575/G575)</f>
        <v/>
      </c>
      <c r="I575" s="19">
        <f>IF(G575="","",F575/G575)</f>
        <v/>
      </c>
      <c r="J575" s="26">
        <f>IFERROR(IF(OR(E575="",INDEX(E:E,MATCH(DATE(YEAR($A575)-1,MONTH($A575),DAY($A575)),$A:$A,0))=""),"",E575/INDEX(E:E,MATCH(DATE(YEAR($A575)-1,MONTH($A575),DAY($A575)),$A:$A,0))-1),"")</f>
        <v/>
      </c>
      <c r="K575" s="19">
        <f>IFERROR(IF(OR(F575="",INDEX(F:F,MATCH(DATE(YEAR($A575)-1,MONTH($A575),DAY($A575)),$A:$A,0))=""),"",F575/INDEX(F:F,MATCH(DATE(YEAR($A575)-1,MONTH($A575),DAY($A575)),$A:$A,0))-1),"")</f>
        <v/>
      </c>
      <c r="L575" s="19">
        <f>IFERROR(IF(OR(G575="",INDEX(G:G,MATCH(DATE(YEAR($A575)-1,MONTH($A575),DAY($A575)),$A:$A,0))=""),"",G575/INDEX(G:G,MATCH(DATE(YEAR($A575)-1,MONTH($A575),DAY($A575)),$A:$A,0))-1),"")</f>
        <v/>
      </c>
      <c r="M575" s="19">
        <f>IF(OR(E575="",E574=""),"",E575/E574-1)</f>
        <v/>
      </c>
      <c r="N575" s="19">
        <f>IF(OR(F575="",F574=""),"",F575/F574-1)</f>
        <v/>
      </c>
      <c r="O575" s="19">
        <f>IF(OR(G575="",G574=""),"",G575/G574-1)</f>
        <v/>
      </c>
      <c r="P575" s="22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IF(R575="","",P575/R575)</f>
        <v/>
      </c>
      <c r="T575" s="23">
        <f>IF(R575="","",Q575/R575)</f>
        <v/>
      </c>
      <c r="U575" s="24">
        <f>IF(SUMIFS('Daily NSE Equity Options'!$M:$M,'Daily NSE Equity Options'!$A:$A,$A575)=0,"",SUMIFS('Daily NSE Equity Options'!$M:$M,'Daily NSE Equity Options'!$A:$A,$A575))</f>
        <v/>
      </c>
      <c r="V575" s="9">
        <f>IF(SUMIFS('Daily BSE Equity Options'!$M:$M,'Daily BSE Equity Options'!$A:$A,$A575)=0,"",SUMIFS('Daily BSE Equity Options'!$M:$M,'Daily BSE Equity Options'!$A:$A,$A575))</f>
        <v/>
      </c>
      <c r="W575" s="9">
        <f>IF(OR(U575="",V575=""),"",U575+V575)</f>
        <v/>
      </c>
      <c r="X575" s="25">
        <f>IF(W575="","",U575/W575)</f>
        <v/>
      </c>
      <c r="Y575" s="25">
        <f>IF(W575="","",V575/W575)</f>
        <v/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19">
        <f>IF(G576="","",E576/G576)</f>
        <v/>
      </c>
      <c r="I576" s="19">
        <f>IF(G576="","",F576/G576)</f>
        <v/>
      </c>
      <c r="J576" s="26">
        <f>IFERROR(IF(OR(E576="",INDEX(E:E,MATCH(DATE(YEAR($A576)-1,MONTH($A576),DAY($A576)),$A:$A,0))=""),"",E576/INDEX(E:E,MATCH(DATE(YEAR($A576)-1,MONTH($A576),DAY($A576)),$A:$A,0))-1),"")</f>
        <v/>
      </c>
      <c r="K576" s="19">
        <f>IFERROR(IF(OR(F576="",INDEX(F:F,MATCH(DATE(YEAR($A576)-1,MONTH($A576),DAY($A576)),$A:$A,0))=""),"",F576/INDEX(F:F,MATCH(DATE(YEAR($A576)-1,MONTH($A576),DAY($A576)),$A:$A,0))-1),"")</f>
        <v/>
      </c>
      <c r="L576" s="19">
        <f>IFERROR(IF(OR(G576="",INDEX(G:G,MATCH(DATE(YEAR($A576)-1,MONTH($A576),DAY($A576)),$A:$A,0))=""),"",G576/INDEX(G:G,MATCH(DATE(YEAR($A576)-1,MONTH($A576),DAY($A576)),$A:$A,0))-1),"")</f>
        <v/>
      </c>
      <c r="M576" s="19">
        <f>IF(OR(E576="",E575=""),"",E576/E575-1)</f>
        <v/>
      </c>
      <c r="N576" s="19">
        <f>IF(OR(F576="",F575=""),"",F576/F575-1)</f>
        <v/>
      </c>
      <c r="O576" s="19">
        <f>IF(OR(G576="",G575=""),"",G576/G575-1)</f>
        <v/>
      </c>
      <c r="P576" s="22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IF(R576="","",P576/R576)</f>
        <v/>
      </c>
      <c r="T576" s="23">
        <f>IF(R576="","",Q576/R576)</f>
        <v/>
      </c>
      <c r="U576" s="24">
        <f>IF(SUMIFS('Daily NSE Equity Options'!$M:$M,'Daily NSE Equity Options'!$A:$A,$A576)=0,"",SUMIFS('Daily NSE Equity Options'!$M:$M,'Daily NSE Equity Options'!$A:$A,$A576))</f>
        <v/>
      </c>
      <c r="V576" s="9">
        <f>IF(SUMIFS('Daily BSE Equity Options'!$M:$M,'Daily BSE Equity Options'!$A:$A,$A576)=0,"",SUMIFS('Daily BSE Equity Options'!$M:$M,'Daily BSE Equity Options'!$A:$A,$A576))</f>
        <v/>
      </c>
      <c r="W576" s="9">
        <f>IF(OR(U576="",V576=""),"",U576+V576)</f>
        <v/>
      </c>
      <c r="X576" s="25">
        <f>IF(W576="","",U576/W576)</f>
        <v/>
      </c>
      <c r="Y576" s="25">
        <f>IF(W576="","",V576/W576)</f>
        <v/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19">
        <f>IF(G577="","",E577/G577)</f>
        <v/>
      </c>
      <c r="I577" s="19">
        <f>IF(G577="","",F577/G577)</f>
        <v/>
      </c>
      <c r="J577" s="26">
        <f>IFERROR(IF(OR(E577="",INDEX(E:E,MATCH(DATE(YEAR($A577)-1,MONTH($A577),DAY($A577)),$A:$A,0))=""),"",E577/INDEX(E:E,MATCH(DATE(YEAR($A577)-1,MONTH($A577),DAY($A577)),$A:$A,0))-1),"")</f>
        <v/>
      </c>
      <c r="K577" s="19">
        <f>IFERROR(IF(OR(F577="",INDEX(F:F,MATCH(DATE(YEAR($A577)-1,MONTH($A577),DAY($A577)),$A:$A,0))=""),"",F577/INDEX(F:F,MATCH(DATE(YEAR($A577)-1,MONTH($A577),DAY($A577)),$A:$A,0))-1),"")</f>
        <v/>
      </c>
      <c r="L577" s="19">
        <f>IFERROR(IF(OR(G577="",INDEX(G:G,MATCH(DATE(YEAR($A577)-1,MONTH($A577),DAY($A577)),$A:$A,0))=""),"",G577/INDEX(G:G,MATCH(DATE(YEAR($A577)-1,MONTH($A577),DAY($A577)),$A:$A,0))-1),"")</f>
        <v/>
      </c>
      <c r="M577" s="19">
        <f>IF(OR(E577="",E576=""),"",E577/E576-1)</f>
        <v/>
      </c>
      <c r="N577" s="19">
        <f>IF(OR(F577="",F576=""),"",F577/F576-1)</f>
        <v/>
      </c>
      <c r="O577" s="19">
        <f>IF(OR(G577="",G576=""),"",G577/G576-1)</f>
        <v/>
      </c>
      <c r="P577" s="22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IF(R577="","",P577/R577)</f>
        <v/>
      </c>
      <c r="T577" s="23">
        <f>IF(R577="","",Q577/R577)</f>
        <v/>
      </c>
      <c r="U577" s="24">
        <f>IF(SUMIFS('Daily NSE Equity Options'!$M:$M,'Daily NSE Equity Options'!$A:$A,$A577)=0,"",SUMIFS('Daily NSE Equity Options'!$M:$M,'Daily NSE Equity Options'!$A:$A,$A577))</f>
        <v/>
      </c>
      <c r="V577" s="9">
        <f>IF(SUMIFS('Daily BSE Equity Options'!$M:$M,'Daily BSE Equity Options'!$A:$A,$A577)=0,"",SUMIFS('Daily BSE Equity Options'!$M:$M,'Daily BSE Equity Options'!$A:$A,$A577))</f>
        <v/>
      </c>
      <c r="W577" s="9">
        <f>IF(OR(U577="",V577=""),"",U577+V577)</f>
        <v/>
      </c>
      <c r="X577" s="25">
        <f>IF(W577="","",U577/W577)</f>
        <v/>
      </c>
      <c r="Y577" s="25">
        <f>IF(W577="","",V577/W577)</f>
        <v/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19">
        <f>IF(G578="","",E578/G578)</f>
        <v/>
      </c>
      <c r="I578" s="19">
        <f>IF(G578="","",F578/G578)</f>
        <v/>
      </c>
      <c r="J578" s="26">
        <f>IFERROR(IF(OR(E578="",INDEX(E:E,MATCH(DATE(YEAR($A578)-1,MONTH($A578),DAY($A578)),$A:$A,0))=""),"",E578/INDEX(E:E,MATCH(DATE(YEAR($A578)-1,MONTH($A578),DAY($A578)),$A:$A,0))-1),"")</f>
        <v/>
      </c>
      <c r="K578" s="19">
        <f>IFERROR(IF(OR(F578="",INDEX(F:F,MATCH(DATE(YEAR($A578)-1,MONTH($A578),DAY($A578)),$A:$A,0))=""),"",F578/INDEX(F:F,MATCH(DATE(YEAR($A578)-1,MONTH($A578),DAY($A578)),$A:$A,0))-1),"")</f>
        <v/>
      </c>
      <c r="L578" s="19">
        <f>IFERROR(IF(OR(G578="",INDEX(G:G,MATCH(DATE(YEAR($A578)-1,MONTH($A578),DAY($A578)),$A:$A,0))=""),"",G578/INDEX(G:G,MATCH(DATE(YEAR($A578)-1,MONTH($A578),DAY($A578)),$A:$A,0))-1),"")</f>
        <v/>
      </c>
      <c r="M578" s="19">
        <f>IF(OR(E578="",E577=""),"",E578/E577-1)</f>
        <v/>
      </c>
      <c r="N578" s="19">
        <f>IF(OR(F578="",F577=""),"",F578/F577-1)</f>
        <v/>
      </c>
      <c r="O578" s="19">
        <f>IF(OR(G578="",G577=""),"",G578/G577-1)</f>
        <v/>
      </c>
      <c r="P578" s="22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IF(R578="","",P578/R578)</f>
        <v/>
      </c>
      <c r="T578" s="23">
        <f>IF(R578="","",Q578/R578)</f>
        <v/>
      </c>
      <c r="U578" s="24">
        <f>IF(SUMIFS('Daily NSE Equity Options'!$M:$M,'Daily NSE Equity Options'!$A:$A,$A578)=0,"",SUMIFS('Daily NSE Equity Options'!$M:$M,'Daily NSE Equity Options'!$A:$A,$A578))</f>
        <v/>
      </c>
      <c r="V578" s="9">
        <f>IF(SUMIFS('Daily BSE Equity Options'!$M:$M,'Daily BSE Equity Options'!$A:$A,$A578)=0,"",SUMIFS('Daily BSE Equity Options'!$M:$M,'Daily BSE Equity Options'!$A:$A,$A578))</f>
        <v/>
      </c>
      <c r="W578" s="9">
        <f>IF(OR(U578="",V578=""),"",U578+V578)</f>
        <v/>
      </c>
      <c r="X578" s="25">
        <f>IF(W578="","",U578/W578)</f>
        <v/>
      </c>
      <c r="Y578" s="25">
        <f>IF(W578="","",V578/W578)</f>
        <v/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19">
        <f>IF(G579="","",E579/G579)</f>
        <v/>
      </c>
      <c r="I579" s="19">
        <f>IF(G579="","",F579/G579)</f>
        <v/>
      </c>
      <c r="J579" s="26">
        <f>IFERROR(IF(OR(E579="",INDEX(E:E,MATCH(DATE(YEAR($A579)-1,MONTH($A579),DAY($A579)),$A:$A,0))=""),"",E579/INDEX(E:E,MATCH(DATE(YEAR($A579)-1,MONTH($A579),DAY($A579)),$A:$A,0))-1),"")</f>
        <v/>
      </c>
      <c r="K579" s="19">
        <f>IFERROR(IF(OR(F579="",INDEX(F:F,MATCH(DATE(YEAR($A579)-1,MONTH($A579),DAY($A579)),$A:$A,0))=""),"",F579/INDEX(F:F,MATCH(DATE(YEAR($A579)-1,MONTH($A579),DAY($A579)),$A:$A,0))-1),"")</f>
        <v/>
      </c>
      <c r="L579" s="19">
        <f>IFERROR(IF(OR(G579="",INDEX(G:G,MATCH(DATE(YEAR($A579)-1,MONTH($A579),DAY($A579)),$A:$A,0))=""),"",G579/INDEX(G:G,MATCH(DATE(YEAR($A579)-1,MONTH($A579),DAY($A579)),$A:$A,0))-1),"")</f>
        <v/>
      </c>
      <c r="M579" s="19">
        <f>IF(OR(E579="",E578=""),"",E579/E578-1)</f>
        <v/>
      </c>
      <c r="N579" s="19">
        <f>IF(OR(F579="",F578=""),"",F579/F578-1)</f>
        <v/>
      </c>
      <c r="O579" s="19">
        <f>IF(OR(G579="",G578=""),"",G579/G578-1)</f>
        <v/>
      </c>
      <c r="P579" s="22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IF(R579="","",P579/R579)</f>
        <v/>
      </c>
      <c r="T579" s="23">
        <f>IF(R579="","",Q579/R579)</f>
        <v/>
      </c>
      <c r="U579" s="24">
        <f>IF(SUMIFS('Daily NSE Equity Options'!$M:$M,'Daily NSE Equity Options'!$A:$A,$A579)=0,"",SUMIFS('Daily NSE Equity Options'!$M:$M,'Daily NSE Equity Options'!$A:$A,$A579))</f>
        <v/>
      </c>
      <c r="V579" s="9">
        <f>IF(SUMIFS('Daily BSE Equity Options'!$M:$M,'Daily BSE Equity Options'!$A:$A,$A579)=0,"",SUMIFS('Daily BSE Equity Options'!$M:$M,'Daily BSE Equity Options'!$A:$A,$A579))</f>
        <v/>
      </c>
      <c r="W579" s="9">
        <f>IF(OR(U579="",V579=""),"",U579+V579)</f>
        <v/>
      </c>
      <c r="X579" s="25">
        <f>IF(W579="","",U579/W579)</f>
        <v/>
      </c>
      <c r="Y579" s="25">
        <f>IF(W579="","",V579/W579)</f>
        <v/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19">
        <f>IF(G580="","",E580/G580)</f>
        <v/>
      </c>
      <c r="I580" s="19">
        <f>IF(G580="","",F580/G580)</f>
        <v/>
      </c>
      <c r="J580" s="26">
        <f>IFERROR(IF(OR(E580="",INDEX(E:E,MATCH(DATE(YEAR($A580)-1,MONTH($A580),DAY($A580)),$A:$A,0))=""),"",E580/INDEX(E:E,MATCH(DATE(YEAR($A580)-1,MONTH($A580),DAY($A580)),$A:$A,0))-1),"")</f>
        <v/>
      </c>
      <c r="K580" s="19">
        <f>IFERROR(IF(OR(F580="",INDEX(F:F,MATCH(DATE(YEAR($A580)-1,MONTH($A580),DAY($A580)),$A:$A,0))=""),"",F580/INDEX(F:F,MATCH(DATE(YEAR($A580)-1,MONTH($A580),DAY($A580)),$A:$A,0))-1),"")</f>
        <v/>
      </c>
      <c r="L580" s="19">
        <f>IFERROR(IF(OR(G580="",INDEX(G:G,MATCH(DATE(YEAR($A580)-1,MONTH($A580),DAY($A580)),$A:$A,0))=""),"",G580/INDEX(G:G,MATCH(DATE(YEAR($A580)-1,MONTH($A580),DAY($A580)),$A:$A,0))-1),"")</f>
        <v/>
      </c>
      <c r="M580" s="19">
        <f>IF(OR(E580="",E579=""),"",E580/E579-1)</f>
        <v/>
      </c>
      <c r="N580" s="19">
        <f>IF(OR(F580="",F579=""),"",F580/F579-1)</f>
        <v/>
      </c>
      <c r="O580" s="19">
        <f>IF(OR(G580="",G579=""),"",G580/G579-1)</f>
        <v/>
      </c>
      <c r="P580" s="22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IF(R580="","",P580/R580)</f>
        <v/>
      </c>
      <c r="T580" s="23">
        <f>IF(R580="","",Q580/R580)</f>
        <v/>
      </c>
      <c r="U580" s="24">
        <f>IF(SUMIFS('Daily NSE Equity Options'!$M:$M,'Daily NSE Equity Options'!$A:$A,$A580)=0,"",SUMIFS('Daily NSE Equity Options'!$M:$M,'Daily NSE Equity Options'!$A:$A,$A580))</f>
        <v/>
      </c>
      <c r="V580" s="9">
        <f>IF(SUMIFS('Daily BSE Equity Options'!$M:$M,'Daily BSE Equity Options'!$A:$A,$A580)=0,"",SUMIFS('Daily BSE Equity Options'!$M:$M,'Daily BSE Equity Options'!$A:$A,$A580))</f>
        <v/>
      </c>
      <c r="W580" s="9">
        <f>IF(OR(U580="",V580=""),"",U580+V580)</f>
        <v/>
      </c>
      <c r="X580" s="25">
        <f>IF(W580="","",U580/W580)</f>
        <v/>
      </c>
      <c r="Y580" s="25">
        <f>IF(W580="","",V580/W580)</f>
        <v/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19">
        <f>IF(G581="","",E581/G581)</f>
        <v/>
      </c>
      <c r="I581" s="19">
        <f>IF(G581="","",F581/G581)</f>
        <v/>
      </c>
      <c r="J581" s="26">
        <f>IFERROR(IF(OR(E581="",INDEX(E:E,MATCH(DATE(YEAR($A581)-1,MONTH($A581),DAY($A581)),$A:$A,0))=""),"",E581/INDEX(E:E,MATCH(DATE(YEAR($A581)-1,MONTH($A581),DAY($A581)),$A:$A,0))-1),"")</f>
        <v/>
      </c>
      <c r="K581" s="19">
        <f>IFERROR(IF(OR(F581="",INDEX(F:F,MATCH(DATE(YEAR($A581)-1,MONTH($A581),DAY($A581)),$A:$A,0))=""),"",F581/INDEX(F:F,MATCH(DATE(YEAR($A581)-1,MONTH($A581),DAY($A581)),$A:$A,0))-1),"")</f>
        <v/>
      </c>
      <c r="L581" s="19">
        <f>IFERROR(IF(OR(G581="",INDEX(G:G,MATCH(DATE(YEAR($A581)-1,MONTH($A581),DAY($A581)),$A:$A,0))=""),"",G581/INDEX(G:G,MATCH(DATE(YEAR($A581)-1,MONTH($A581),DAY($A581)),$A:$A,0))-1),"")</f>
        <v/>
      </c>
      <c r="M581" s="19">
        <f>IF(OR(E581="",E580=""),"",E581/E580-1)</f>
        <v/>
      </c>
      <c r="N581" s="19">
        <f>IF(OR(F581="",F580=""),"",F581/F580-1)</f>
        <v/>
      </c>
      <c r="O581" s="19">
        <f>IF(OR(G581="",G580=""),"",G581/G580-1)</f>
        <v/>
      </c>
      <c r="P581" s="22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IF(R581="","",P581/R581)</f>
        <v/>
      </c>
      <c r="T581" s="23">
        <f>IF(R581="","",Q581/R581)</f>
        <v/>
      </c>
      <c r="U581" s="24">
        <f>IF(SUMIFS('Daily NSE Equity Options'!$M:$M,'Daily NSE Equity Options'!$A:$A,$A581)=0,"",SUMIFS('Daily NSE Equity Options'!$M:$M,'Daily NSE Equity Options'!$A:$A,$A581))</f>
        <v/>
      </c>
      <c r="V581" s="9">
        <f>IF(SUMIFS('Daily BSE Equity Options'!$M:$M,'Daily BSE Equity Options'!$A:$A,$A581)=0,"",SUMIFS('Daily BSE Equity Options'!$M:$M,'Daily BSE Equity Options'!$A:$A,$A581))</f>
        <v/>
      </c>
      <c r="W581" s="9">
        <f>IF(OR(U581="",V581=""),"",U581+V581)</f>
        <v/>
      </c>
      <c r="X581" s="25">
        <f>IF(W581="","",U581/W581)</f>
        <v/>
      </c>
      <c r="Y581" s="25">
        <f>IF(W581="","",V581/W581)</f>
        <v/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19">
        <f>IF(G582="","",E582/G582)</f>
        <v/>
      </c>
      <c r="I582" s="19">
        <f>IF(G582="","",F582/G582)</f>
        <v/>
      </c>
      <c r="J582" s="26">
        <f>IFERROR(IF(OR(E582="",INDEX(E:E,MATCH(DATE(YEAR($A582)-1,MONTH($A582),DAY($A582)),$A:$A,0))=""),"",E582/INDEX(E:E,MATCH(DATE(YEAR($A582)-1,MONTH($A582),DAY($A582)),$A:$A,0))-1),"")</f>
        <v/>
      </c>
      <c r="K582" s="19">
        <f>IFERROR(IF(OR(F582="",INDEX(F:F,MATCH(DATE(YEAR($A582)-1,MONTH($A582),DAY($A582)),$A:$A,0))=""),"",F582/INDEX(F:F,MATCH(DATE(YEAR($A582)-1,MONTH($A582),DAY($A582)),$A:$A,0))-1),"")</f>
        <v/>
      </c>
      <c r="L582" s="19">
        <f>IFERROR(IF(OR(G582="",INDEX(G:G,MATCH(DATE(YEAR($A582)-1,MONTH($A582),DAY($A582)),$A:$A,0))=""),"",G582/INDEX(G:G,MATCH(DATE(YEAR($A582)-1,MONTH($A582),DAY($A582)),$A:$A,0))-1),"")</f>
        <v/>
      </c>
      <c r="M582" s="19">
        <f>IF(OR(E582="",E581=""),"",E582/E581-1)</f>
        <v/>
      </c>
      <c r="N582" s="19">
        <f>IF(OR(F582="",F581=""),"",F582/F581-1)</f>
        <v/>
      </c>
      <c r="O582" s="19">
        <f>IF(OR(G582="",G581=""),"",G582/G581-1)</f>
        <v/>
      </c>
      <c r="P582" s="22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IF(R582="","",P582/R582)</f>
        <v/>
      </c>
      <c r="T582" s="23">
        <f>IF(R582="","",Q582/R582)</f>
        <v/>
      </c>
      <c r="U582" s="24">
        <f>IF(SUMIFS('Daily NSE Equity Options'!$M:$M,'Daily NSE Equity Options'!$A:$A,$A582)=0,"",SUMIFS('Daily NSE Equity Options'!$M:$M,'Daily NSE Equity Options'!$A:$A,$A582))</f>
        <v/>
      </c>
      <c r="V582" s="9">
        <f>IF(SUMIFS('Daily BSE Equity Options'!$M:$M,'Daily BSE Equity Options'!$A:$A,$A582)=0,"",SUMIFS('Daily BSE Equity Options'!$M:$M,'Daily BSE Equity Options'!$A:$A,$A582))</f>
        <v/>
      </c>
      <c r="W582" s="9">
        <f>IF(OR(U582="",V582=""),"",U582+V582)</f>
        <v/>
      </c>
      <c r="X582" s="25">
        <f>IF(W582="","",U582/W582)</f>
        <v/>
      </c>
      <c r="Y582" s="25">
        <f>IF(W582="","",V582/W582)</f>
        <v/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19">
        <f>IF(G583="","",E583/G583)</f>
        <v/>
      </c>
      <c r="I583" s="19">
        <f>IF(G583="","",F583/G583)</f>
        <v/>
      </c>
      <c r="J583" s="26">
        <f>IFERROR(IF(OR(E583="",INDEX(E:E,MATCH(DATE(YEAR($A583)-1,MONTH($A583),DAY($A583)),$A:$A,0))=""),"",E583/INDEX(E:E,MATCH(DATE(YEAR($A583)-1,MONTH($A583),DAY($A583)),$A:$A,0))-1),"")</f>
        <v/>
      </c>
      <c r="K583" s="19">
        <f>IFERROR(IF(OR(F583="",INDEX(F:F,MATCH(DATE(YEAR($A583)-1,MONTH($A583),DAY($A583)),$A:$A,0))=""),"",F583/INDEX(F:F,MATCH(DATE(YEAR($A583)-1,MONTH($A583),DAY($A583)),$A:$A,0))-1),"")</f>
        <v/>
      </c>
      <c r="L583" s="19">
        <f>IFERROR(IF(OR(G583="",INDEX(G:G,MATCH(DATE(YEAR($A583)-1,MONTH($A583),DAY($A583)),$A:$A,0))=""),"",G583/INDEX(G:G,MATCH(DATE(YEAR($A583)-1,MONTH($A583),DAY($A583)),$A:$A,0))-1),"")</f>
        <v/>
      </c>
      <c r="M583" s="19">
        <f>IF(OR(E583="",E582=""),"",E583/E582-1)</f>
        <v/>
      </c>
      <c r="N583" s="19">
        <f>IF(OR(F583="",F582=""),"",F583/F582-1)</f>
        <v/>
      </c>
      <c r="O583" s="19">
        <f>IF(OR(G583="",G582=""),"",G583/G582-1)</f>
        <v/>
      </c>
      <c r="P583" s="22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IF(R583="","",P583/R583)</f>
        <v/>
      </c>
      <c r="T583" s="23">
        <f>IF(R583="","",Q583/R583)</f>
        <v/>
      </c>
      <c r="U583" s="24">
        <f>IF(SUMIFS('Daily NSE Equity Options'!$M:$M,'Daily NSE Equity Options'!$A:$A,$A583)=0,"",SUMIFS('Daily NSE Equity Options'!$M:$M,'Daily NSE Equity Options'!$A:$A,$A583))</f>
        <v/>
      </c>
      <c r="V583" s="9">
        <f>IF(SUMIFS('Daily BSE Equity Options'!$M:$M,'Daily BSE Equity Options'!$A:$A,$A583)=0,"",SUMIFS('Daily BSE Equity Options'!$M:$M,'Daily BSE Equity Options'!$A:$A,$A583))</f>
        <v/>
      </c>
      <c r="W583" s="9">
        <f>IF(OR(U583="",V583=""),"",U583+V583)</f>
        <v/>
      </c>
      <c r="X583" s="25">
        <f>IF(W583="","",U583/W583)</f>
        <v/>
      </c>
      <c r="Y583" s="25">
        <f>IF(W583="","",V583/W583)</f>
        <v/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19">
        <f>IF(G584="","",E584/G584)</f>
        <v/>
      </c>
      <c r="I584" s="19">
        <f>IF(G584="","",F584/G584)</f>
        <v/>
      </c>
      <c r="J584" s="26">
        <f>IFERROR(IF(OR(E584="",INDEX(E:E,MATCH(DATE(YEAR($A584)-1,MONTH($A584),DAY($A584)),$A:$A,0))=""),"",E584/INDEX(E:E,MATCH(DATE(YEAR($A584)-1,MONTH($A584),DAY($A584)),$A:$A,0))-1),"")</f>
        <v/>
      </c>
      <c r="K584" s="19">
        <f>IFERROR(IF(OR(F584="",INDEX(F:F,MATCH(DATE(YEAR($A584)-1,MONTH($A584),DAY($A584)),$A:$A,0))=""),"",F584/INDEX(F:F,MATCH(DATE(YEAR($A584)-1,MONTH($A584),DAY($A584)),$A:$A,0))-1),"")</f>
        <v/>
      </c>
      <c r="L584" s="19">
        <f>IFERROR(IF(OR(G584="",INDEX(G:G,MATCH(DATE(YEAR($A584)-1,MONTH($A584),DAY($A584)),$A:$A,0))=""),"",G584/INDEX(G:G,MATCH(DATE(YEAR($A584)-1,MONTH($A584),DAY($A584)),$A:$A,0))-1),"")</f>
        <v/>
      </c>
      <c r="M584" s="19">
        <f>IF(OR(E584="",E583=""),"",E584/E583-1)</f>
        <v/>
      </c>
      <c r="N584" s="19">
        <f>IF(OR(F584="",F583=""),"",F584/F583-1)</f>
        <v/>
      </c>
      <c r="O584" s="19">
        <f>IF(OR(G584="",G583=""),"",G584/G583-1)</f>
        <v/>
      </c>
      <c r="P584" s="22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IF(R584="","",P584/R584)</f>
        <v/>
      </c>
      <c r="T584" s="23">
        <f>IF(R584="","",Q584/R584)</f>
        <v/>
      </c>
      <c r="U584" s="24">
        <f>IF(SUMIFS('Daily NSE Equity Options'!$M:$M,'Daily NSE Equity Options'!$A:$A,$A584)=0,"",SUMIFS('Daily NSE Equity Options'!$M:$M,'Daily NSE Equity Options'!$A:$A,$A584))</f>
        <v/>
      </c>
      <c r="V584" s="9">
        <f>IF(SUMIFS('Daily BSE Equity Options'!$M:$M,'Daily BSE Equity Options'!$A:$A,$A584)=0,"",SUMIFS('Daily BSE Equity Options'!$M:$M,'Daily BSE Equity Options'!$A:$A,$A584))</f>
        <v/>
      </c>
      <c r="W584" s="9">
        <f>IF(OR(U584="",V584=""),"",U584+V584)</f>
        <v/>
      </c>
      <c r="X584" s="25">
        <f>IF(W584="","",U584/W584)</f>
        <v/>
      </c>
      <c r="Y584" s="25">
        <f>IF(W584="","",V584/W584)</f>
        <v/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19">
        <f>IF(G585="","",E585/G585)</f>
        <v/>
      </c>
      <c r="I585" s="19">
        <f>IF(G585="","",F585/G585)</f>
        <v/>
      </c>
      <c r="J585" s="26">
        <f>IFERROR(IF(OR(E585="",INDEX(E:E,MATCH(DATE(YEAR($A585)-1,MONTH($A585),DAY($A585)),$A:$A,0))=""),"",E585/INDEX(E:E,MATCH(DATE(YEAR($A585)-1,MONTH($A585),DAY($A585)),$A:$A,0))-1),"")</f>
        <v/>
      </c>
      <c r="K585" s="19">
        <f>IFERROR(IF(OR(F585="",INDEX(F:F,MATCH(DATE(YEAR($A585)-1,MONTH($A585),DAY($A585)),$A:$A,0))=""),"",F585/INDEX(F:F,MATCH(DATE(YEAR($A585)-1,MONTH($A585),DAY($A585)),$A:$A,0))-1),"")</f>
        <v/>
      </c>
      <c r="L585" s="19">
        <f>IFERROR(IF(OR(G585="",INDEX(G:G,MATCH(DATE(YEAR($A585)-1,MONTH($A585),DAY($A585)),$A:$A,0))=""),"",G585/INDEX(G:G,MATCH(DATE(YEAR($A585)-1,MONTH($A585),DAY($A585)),$A:$A,0))-1),"")</f>
        <v/>
      </c>
      <c r="M585" s="19">
        <f>IF(OR(E585="",E584=""),"",E585/E584-1)</f>
        <v/>
      </c>
      <c r="N585" s="19">
        <f>IF(OR(F585="",F584=""),"",F585/F584-1)</f>
        <v/>
      </c>
      <c r="O585" s="19">
        <f>IF(OR(G585="",G584=""),"",G585/G584-1)</f>
        <v/>
      </c>
      <c r="P585" s="22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IF(R585="","",P585/R585)</f>
        <v/>
      </c>
      <c r="T585" s="23">
        <f>IF(R585="","",Q585/R585)</f>
        <v/>
      </c>
      <c r="U585" s="24">
        <f>IF(SUMIFS('Daily NSE Equity Options'!$M:$M,'Daily NSE Equity Options'!$A:$A,$A585)=0,"",SUMIFS('Daily NSE Equity Options'!$M:$M,'Daily NSE Equity Options'!$A:$A,$A585))</f>
        <v/>
      </c>
      <c r="V585" s="9">
        <f>IF(SUMIFS('Daily BSE Equity Options'!$M:$M,'Daily BSE Equity Options'!$A:$A,$A585)=0,"",SUMIFS('Daily BSE Equity Options'!$M:$M,'Daily BSE Equity Options'!$A:$A,$A585))</f>
        <v/>
      </c>
      <c r="W585" s="9">
        <f>IF(OR(U585="",V585=""),"",U585+V585)</f>
        <v/>
      </c>
      <c r="X585" s="25">
        <f>IF(W585="","",U585/W585)</f>
        <v/>
      </c>
      <c r="Y585" s="25">
        <f>IF(W585="","",V585/W585)</f>
        <v/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19">
        <f>IF(G586="","",E586/G586)</f>
        <v/>
      </c>
      <c r="I586" s="19">
        <f>IF(G586="","",F586/G586)</f>
        <v/>
      </c>
      <c r="J586" s="26">
        <f>IFERROR(IF(OR(E586="",INDEX(E:E,MATCH(DATE(YEAR($A586)-1,MONTH($A586),DAY($A586)),$A:$A,0))=""),"",E586/INDEX(E:E,MATCH(DATE(YEAR($A586)-1,MONTH($A586),DAY($A586)),$A:$A,0))-1),"")</f>
        <v/>
      </c>
      <c r="K586" s="19">
        <f>IFERROR(IF(OR(F586="",INDEX(F:F,MATCH(DATE(YEAR($A586)-1,MONTH($A586),DAY($A586)),$A:$A,0))=""),"",F586/INDEX(F:F,MATCH(DATE(YEAR($A586)-1,MONTH($A586),DAY($A586)),$A:$A,0))-1),"")</f>
        <v/>
      </c>
      <c r="L586" s="19">
        <f>IFERROR(IF(OR(G586="",INDEX(G:G,MATCH(DATE(YEAR($A586)-1,MONTH($A586),DAY($A586)),$A:$A,0))=""),"",G586/INDEX(G:G,MATCH(DATE(YEAR($A586)-1,MONTH($A586),DAY($A586)),$A:$A,0))-1),"")</f>
        <v/>
      </c>
      <c r="M586" s="19">
        <f>IF(OR(E586="",E585=""),"",E586/E585-1)</f>
        <v/>
      </c>
      <c r="N586" s="19">
        <f>IF(OR(F586="",F585=""),"",F586/F585-1)</f>
        <v/>
      </c>
      <c r="O586" s="19">
        <f>IF(OR(G586="",G585=""),"",G586/G585-1)</f>
        <v/>
      </c>
      <c r="P586" s="22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IF(R586="","",P586/R586)</f>
        <v/>
      </c>
      <c r="T586" s="23">
        <f>IF(R586="","",Q586/R586)</f>
        <v/>
      </c>
      <c r="U586" s="24">
        <f>IF(SUMIFS('Daily NSE Equity Options'!$M:$M,'Daily NSE Equity Options'!$A:$A,$A586)=0,"",SUMIFS('Daily NSE Equity Options'!$M:$M,'Daily NSE Equity Options'!$A:$A,$A586))</f>
        <v/>
      </c>
      <c r="V586" s="9">
        <f>IF(SUMIFS('Daily BSE Equity Options'!$M:$M,'Daily BSE Equity Options'!$A:$A,$A586)=0,"",SUMIFS('Daily BSE Equity Options'!$M:$M,'Daily BSE Equity Options'!$A:$A,$A586))</f>
        <v/>
      </c>
      <c r="W586" s="9">
        <f>IF(OR(U586="",V586=""),"",U586+V586)</f>
        <v/>
      </c>
      <c r="X586" s="25">
        <f>IF(W586="","",U586/W586)</f>
        <v/>
      </c>
      <c r="Y586" s="25">
        <f>IF(W586="","",V586/W586)</f>
        <v/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19">
        <f>IF(G587="","",E587/G587)</f>
        <v/>
      </c>
      <c r="I587" s="19">
        <f>IF(G587="","",F587/G587)</f>
        <v/>
      </c>
      <c r="J587" s="26">
        <f>IFERROR(IF(OR(E587="",INDEX(E:E,MATCH(DATE(YEAR($A587)-1,MONTH($A587),DAY($A587)),$A:$A,0))=""),"",E587/INDEX(E:E,MATCH(DATE(YEAR($A587)-1,MONTH($A587),DAY($A587)),$A:$A,0))-1),"")</f>
        <v/>
      </c>
      <c r="K587" s="19">
        <f>IFERROR(IF(OR(F587="",INDEX(F:F,MATCH(DATE(YEAR($A587)-1,MONTH($A587),DAY($A587)),$A:$A,0))=""),"",F587/INDEX(F:F,MATCH(DATE(YEAR($A587)-1,MONTH($A587),DAY($A587)),$A:$A,0))-1),"")</f>
        <v/>
      </c>
      <c r="L587" s="19">
        <f>IFERROR(IF(OR(G587="",INDEX(G:G,MATCH(DATE(YEAR($A587)-1,MONTH($A587),DAY($A587)),$A:$A,0))=""),"",G587/INDEX(G:G,MATCH(DATE(YEAR($A587)-1,MONTH($A587),DAY($A587)),$A:$A,0))-1),"")</f>
        <v/>
      </c>
      <c r="M587" s="19">
        <f>IF(OR(E587="",E586=""),"",E587/E586-1)</f>
        <v/>
      </c>
      <c r="N587" s="19">
        <f>IF(OR(F587="",F586=""),"",F587/F586-1)</f>
        <v/>
      </c>
      <c r="O587" s="19">
        <f>IF(OR(G587="",G586=""),"",G587/G586-1)</f>
        <v/>
      </c>
      <c r="P587" s="22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IF(R587="","",P587/R587)</f>
        <v/>
      </c>
      <c r="T587" s="23">
        <f>IF(R587="","",Q587/R587)</f>
        <v/>
      </c>
      <c r="U587" s="24">
        <f>IF(SUMIFS('Daily NSE Equity Options'!$M:$M,'Daily NSE Equity Options'!$A:$A,$A587)=0,"",SUMIFS('Daily NSE Equity Options'!$M:$M,'Daily NSE Equity Options'!$A:$A,$A587))</f>
        <v/>
      </c>
      <c r="V587" s="9">
        <f>IF(SUMIFS('Daily BSE Equity Options'!$M:$M,'Daily BSE Equity Options'!$A:$A,$A587)=0,"",SUMIFS('Daily BSE Equity Options'!$M:$M,'Daily BSE Equity Options'!$A:$A,$A587))</f>
        <v/>
      </c>
      <c r="W587" s="9">
        <f>IF(OR(U587="",V587=""),"",U587+V587)</f>
        <v/>
      </c>
      <c r="X587" s="25">
        <f>IF(W587="","",U587/W587)</f>
        <v/>
      </c>
      <c r="Y587" s="25">
        <f>IF(W587="","",V587/W587)</f>
        <v/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19">
        <f>IF(G588="","",E588/G588)</f>
        <v/>
      </c>
      <c r="I588" s="19">
        <f>IF(G588="","",F588/G588)</f>
        <v/>
      </c>
      <c r="J588" s="26">
        <f>IFERROR(IF(OR(E588="",INDEX(E:E,MATCH(DATE(YEAR($A588)-1,MONTH($A588),DAY($A588)),$A:$A,0))=""),"",E588/INDEX(E:E,MATCH(DATE(YEAR($A588)-1,MONTH($A588),DAY($A588)),$A:$A,0))-1),"")</f>
        <v/>
      </c>
      <c r="K588" s="19">
        <f>IFERROR(IF(OR(F588="",INDEX(F:F,MATCH(DATE(YEAR($A588)-1,MONTH($A588),DAY($A588)),$A:$A,0))=""),"",F588/INDEX(F:F,MATCH(DATE(YEAR($A588)-1,MONTH($A588),DAY($A588)),$A:$A,0))-1),"")</f>
        <v/>
      </c>
      <c r="L588" s="19">
        <f>IFERROR(IF(OR(G588="",INDEX(G:G,MATCH(DATE(YEAR($A588)-1,MONTH($A588),DAY($A588)),$A:$A,0))=""),"",G588/INDEX(G:G,MATCH(DATE(YEAR($A588)-1,MONTH($A588),DAY($A588)),$A:$A,0))-1),"")</f>
        <v/>
      </c>
      <c r="M588" s="19">
        <f>IF(OR(E588="",E587=""),"",E588/E587-1)</f>
        <v/>
      </c>
      <c r="N588" s="19">
        <f>IF(OR(F588="",F587=""),"",F588/F587-1)</f>
        <v/>
      </c>
      <c r="O588" s="19">
        <f>IF(OR(G588="",G587=""),"",G588/G587-1)</f>
        <v/>
      </c>
      <c r="P588" s="22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IF(R588="","",P588/R588)</f>
        <v/>
      </c>
      <c r="T588" s="23">
        <f>IF(R588="","",Q588/R588)</f>
        <v/>
      </c>
      <c r="U588" s="24">
        <f>IF(SUMIFS('Daily NSE Equity Options'!$M:$M,'Daily NSE Equity Options'!$A:$A,$A588)=0,"",SUMIFS('Daily NSE Equity Options'!$M:$M,'Daily NSE Equity Options'!$A:$A,$A588))</f>
        <v/>
      </c>
      <c r="V588" s="9">
        <f>IF(SUMIFS('Daily BSE Equity Options'!$M:$M,'Daily BSE Equity Options'!$A:$A,$A588)=0,"",SUMIFS('Daily BSE Equity Options'!$M:$M,'Daily BSE Equity Options'!$A:$A,$A588))</f>
        <v/>
      </c>
      <c r="W588" s="9">
        <f>IF(OR(U588="",V588=""),"",U588+V588)</f>
        <v/>
      </c>
      <c r="X588" s="25">
        <f>IF(W588="","",U588/W588)</f>
        <v/>
      </c>
      <c r="Y588" s="25">
        <f>IF(W588="","",V588/W588)</f>
        <v/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19">
        <f>IF(G589="","",E589/G589)</f>
        <v/>
      </c>
      <c r="I589" s="19">
        <f>IF(G589="","",F589/G589)</f>
        <v/>
      </c>
      <c r="J589" s="26">
        <f>IFERROR(IF(OR(E589="",INDEX(E:E,MATCH(DATE(YEAR($A589)-1,MONTH($A589),DAY($A589)),$A:$A,0))=""),"",E589/INDEX(E:E,MATCH(DATE(YEAR($A589)-1,MONTH($A589),DAY($A589)),$A:$A,0))-1),"")</f>
        <v/>
      </c>
      <c r="K589" s="19">
        <f>IFERROR(IF(OR(F589="",INDEX(F:F,MATCH(DATE(YEAR($A589)-1,MONTH($A589),DAY($A589)),$A:$A,0))=""),"",F589/INDEX(F:F,MATCH(DATE(YEAR($A589)-1,MONTH($A589),DAY($A589)),$A:$A,0))-1),"")</f>
        <v/>
      </c>
      <c r="L589" s="19">
        <f>IFERROR(IF(OR(G589="",INDEX(G:G,MATCH(DATE(YEAR($A589)-1,MONTH($A589),DAY($A589)),$A:$A,0))=""),"",G589/INDEX(G:G,MATCH(DATE(YEAR($A589)-1,MONTH($A589),DAY($A589)),$A:$A,0))-1),"")</f>
        <v/>
      </c>
      <c r="M589" s="19">
        <f>IF(OR(E589="",E588=""),"",E589/E588-1)</f>
        <v/>
      </c>
      <c r="N589" s="19">
        <f>IF(OR(F589="",F588=""),"",F589/F588-1)</f>
        <v/>
      </c>
      <c r="O589" s="19">
        <f>IF(OR(G589="",G588=""),"",G589/G588-1)</f>
        <v/>
      </c>
      <c r="P589" s="22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IF(R589="","",P589/R589)</f>
        <v/>
      </c>
      <c r="T589" s="23">
        <f>IF(R589="","",Q589/R589)</f>
        <v/>
      </c>
      <c r="U589" s="24">
        <f>IF(SUMIFS('Daily NSE Equity Options'!$M:$M,'Daily NSE Equity Options'!$A:$A,$A589)=0,"",SUMIFS('Daily NSE Equity Options'!$M:$M,'Daily NSE Equity Options'!$A:$A,$A589))</f>
        <v/>
      </c>
      <c r="V589" s="9">
        <f>IF(SUMIFS('Daily BSE Equity Options'!$M:$M,'Daily BSE Equity Options'!$A:$A,$A589)=0,"",SUMIFS('Daily BSE Equity Options'!$M:$M,'Daily BSE Equity Options'!$A:$A,$A589))</f>
        <v/>
      </c>
      <c r="W589" s="9">
        <f>IF(OR(U589="",V589=""),"",U589+V589)</f>
        <v/>
      </c>
      <c r="X589" s="25">
        <f>IF(W589="","",U589/W589)</f>
        <v/>
      </c>
      <c r="Y589" s="25">
        <f>IF(W589="","",V589/W589)</f>
        <v/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19">
        <f>IF(G590="","",E590/G590)</f>
        <v/>
      </c>
      <c r="I590" s="19">
        <f>IF(G590="","",F590/G590)</f>
        <v/>
      </c>
      <c r="J590" s="26">
        <f>IFERROR(IF(OR(E590="",INDEX(E:E,MATCH(DATE(YEAR($A590)-1,MONTH($A590),DAY($A590)),$A:$A,0))=""),"",E590/INDEX(E:E,MATCH(DATE(YEAR($A590)-1,MONTH($A590),DAY($A590)),$A:$A,0))-1),"")</f>
        <v/>
      </c>
      <c r="K590" s="19">
        <f>IFERROR(IF(OR(F590="",INDEX(F:F,MATCH(DATE(YEAR($A590)-1,MONTH($A590),DAY($A590)),$A:$A,0))=""),"",F590/INDEX(F:F,MATCH(DATE(YEAR($A590)-1,MONTH($A590),DAY($A590)),$A:$A,0))-1),"")</f>
        <v/>
      </c>
      <c r="L590" s="19">
        <f>IFERROR(IF(OR(G590="",INDEX(G:G,MATCH(DATE(YEAR($A590)-1,MONTH($A590),DAY($A590)),$A:$A,0))=""),"",G590/INDEX(G:G,MATCH(DATE(YEAR($A590)-1,MONTH($A590),DAY($A590)),$A:$A,0))-1),"")</f>
        <v/>
      </c>
      <c r="M590" s="19">
        <f>IF(OR(E590="",E589=""),"",E590/E589-1)</f>
        <v/>
      </c>
      <c r="N590" s="19">
        <f>IF(OR(F590="",F589=""),"",F590/F589-1)</f>
        <v/>
      </c>
      <c r="O590" s="19">
        <f>IF(OR(G590="",G589=""),"",G590/G589-1)</f>
        <v/>
      </c>
      <c r="P590" s="22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IF(R590="","",P590/R590)</f>
        <v/>
      </c>
      <c r="T590" s="23">
        <f>IF(R590="","",Q590/R590)</f>
        <v/>
      </c>
      <c r="U590" s="24">
        <f>IF(SUMIFS('Daily NSE Equity Options'!$M:$M,'Daily NSE Equity Options'!$A:$A,$A590)=0,"",SUMIFS('Daily NSE Equity Options'!$M:$M,'Daily NSE Equity Options'!$A:$A,$A590))</f>
        <v/>
      </c>
      <c r="V590" s="9">
        <f>IF(SUMIFS('Daily BSE Equity Options'!$M:$M,'Daily BSE Equity Options'!$A:$A,$A590)=0,"",SUMIFS('Daily BSE Equity Options'!$M:$M,'Daily BSE Equity Options'!$A:$A,$A590))</f>
        <v/>
      </c>
      <c r="W590" s="9">
        <f>IF(OR(U590="",V590=""),"",U590+V590)</f>
        <v/>
      </c>
      <c r="X590" s="25">
        <f>IF(W590="","",U590/W590)</f>
        <v/>
      </c>
      <c r="Y590" s="25">
        <f>IF(W590="","",V590/W590)</f>
        <v/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19">
        <f>IF(G591="","",E591/G591)</f>
        <v/>
      </c>
      <c r="I591" s="19">
        <f>IF(G591="","",F591/G591)</f>
        <v/>
      </c>
      <c r="J591" s="26">
        <f>IFERROR(IF(OR(E591="",INDEX(E:E,MATCH(DATE(YEAR($A591)-1,MONTH($A591),DAY($A591)),$A:$A,0))=""),"",E591/INDEX(E:E,MATCH(DATE(YEAR($A591)-1,MONTH($A591),DAY($A591)),$A:$A,0))-1),"")</f>
        <v/>
      </c>
      <c r="K591" s="19">
        <f>IFERROR(IF(OR(F591="",INDEX(F:F,MATCH(DATE(YEAR($A591)-1,MONTH($A591),DAY($A591)),$A:$A,0))=""),"",F591/INDEX(F:F,MATCH(DATE(YEAR($A591)-1,MONTH($A591),DAY($A591)),$A:$A,0))-1),"")</f>
        <v/>
      </c>
      <c r="L591" s="19">
        <f>IFERROR(IF(OR(G591="",INDEX(G:G,MATCH(DATE(YEAR($A591)-1,MONTH($A591),DAY($A591)),$A:$A,0))=""),"",G591/INDEX(G:G,MATCH(DATE(YEAR($A591)-1,MONTH($A591),DAY($A591)),$A:$A,0))-1),"")</f>
        <v/>
      </c>
      <c r="M591" s="19">
        <f>IF(OR(E591="",E590=""),"",E591/E590-1)</f>
        <v/>
      </c>
      <c r="N591" s="19">
        <f>IF(OR(F591="",F590=""),"",F591/F590-1)</f>
        <v/>
      </c>
      <c r="O591" s="19">
        <f>IF(OR(G591="",G590=""),"",G591/G590-1)</f>
        <v/>
      </c>
      <c r="P591" s="22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IF(R591="","",P591/R591)</f>
        <v/>
      </c>
      <c r="T591" s="23">
        <f>IF(R591="","",Q591/R591)</f>
        <v/>
      </c>
      <c r="U591" s="24">
        <f>IF(SUMIFS('Daily NSE Equity Options'!$M:$M,'Daily NSE Equity Options'!$A:$A,$A591)=0,"",SUMIFS('Daily NSE Equity Options'!$M:$M,'Daily NSE Equity Options'!$A:$A,$A591))</f>
        <v/>
      </c>
      <c r="V591" s="9">
        <f>IF(SUMIFS('Daily BSE Equity Options'!$M:$M,'Daily BSE Equity Options'!$A:$A,$A591)=0,"",SUMIFS('Daily BSE Equity Options'!$M:$M,'Daily BSE Equity Options'!$A:$A,$A591))</f>
        <v/>
      </c>
      <c r="W591" s="9">
        <f>IF(OR(U591="",V591=""),"",U591+V591)</f>
        <v/>
      </c>
      <c r="X591" s="25">
        <f>IF(W591="","",U591/W591)</f>
        <v/>
      </c>
      <c r="Y591" s="25">
        <f>IF(W591="","",V591/W591)</f>
        <v/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19">
        <f>IF(G592="","",E592/G592)</f>
        <v/>
      </c>
      <c r="I592" s="19">
        <f>IF(G592="","",F592/G592)</f>
        <v/>
      </c>
      <c r="J592" s="26">
        <f>IFERROR(IF(OR(E592="",INDEX(E:E,MATCH(DATE(YEAR($A592)-1,MONTH($A592),DAY($A592)),$A:$A,0))=""),"",E592/INDEX(E:E,MATCH(DATE(YEAR($A592)-1,MONTH($A592),DAY($A592)),$A:$A,0))-1),"")</f>
        <v/>
      </c>
      <c r="K592" s="19">
        <f>IFERROR(IF(OR(F592="",INDEX(F:F,MATCH(DATE(YEAR($A592)-1,MONTH($A592),DAY($A592)),$A:$A,0))=""),"",F592/INDEX(F:F,MATCH(DATE(YEAR($A592)-1,MONTH($A592),DAY($A592)),$A:$A,0))-1),"")</f>
        <v/>
      </c>
      <c r="L592" s="19">
        <f>IFERROR(IF(OR(G592="",INDEX(G:G,MATCH(DATE(YEAR($A592)-1,MONTH($A592),DAY($A592)),$A:$A,0))=""),"",G592/INDEX(G:G,MATCH(DATE(YEAR($A592)-1,MONTH($A592),DAY($A592)),$A:$A,0))-1),"")</f>
        <v/>
      </c>
      <c r="M592" s="19">
        <f>IF(OR(E592="",E591=""),"",E592/E591-1)</f>
        <v/>
      </c>
      <c r="N592" s="19">
        <f>IF(OR(F592="",F591=""),"",F592/F591-1)</f>
        <v/>
      </c>
      <c r="O592" s="19">
        <f>IF(OR(G592="",G591=""),"",G592/G591-1)</f>
        <v/>
      </c>
      <c r="P592" s="22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IF(R592="","",P592/R592)</f>
        <v/>
      </c>
      <c r="T592" s="23">
        <f>IF(R592="","",Q592/R592)</f>
        <v/>
      </c>
      <c r="U592" s="24">
        <f>IF(SUMIFS('Daily NSE Equity Options'!$M:$M,'Daily NSE Equity Options'!$A:$A,$A592)=0,"",SUMIFS('Daily NSE Equity Options'!$M:$M,'Daily NSE Equity Options'!$A:$A,$A592))</f>
        <v/>
      </c>
      <c r="V592" s="9">
        <f>IF(SUMIFS('Daily BSE Equity Options'!$M:$M,'Daily BSE Equity Options'!$A:$A,$A592)=0,"",SUMIFS('Daily BSE Equity Options'!$M:$M,'Daily BSE Equity Options'!$A:$A,$A592))</f>
        <v/>
      </c>
      <c r="W592" s="9">
        <f>IF(OR(U592="",V592=""),"",U592+V592)</f>
        <v/>
      </c>
      <c r="X592" s="25">
        <f>IF(W592="","",U592/W592)</f>
        <v/>
      </c>
      <c r="Y592" s="25">
        <f>IF(W592="","",V592/W592)</f>
        <v/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19">
        <f>IF(G593="","",E593/G593)</f>
        <v/>
      </c>
      <c r="I593" s="19">
        <f>IF(G593="","",F593/G593)</f>
        <v/>
      </c>
      <c r="J593" s="26">
        <f>IFERROR(IF(OR(E593="",INDEX(E:E,MATCH(DATE(YEAR($A593)-1,MONTH($A593),DAY($A593)),$A:$A,0))=""),"",E593/INDEX(E:E,MATCH(DATE(YEAR($A593)-1,MONTH($A593),DAY($A593)),$A:$A,0))-1),"")</f>
        <v/>
      </c>
      <c r="K593" s="19">
        <f>IFERROR(IF(OR(F593="",INDEX(F:F,MATCH(DATE(YEAR($A593)-1,MONTH($A593),DAY($A593)),$A:$A,0))=""),"",F593/INDEX(F:F,MATCH(DATE(YEAR($A593)-1,MONTH($A593),DAY($A593)),$A:$A,0))-1),"")</f>
        <v/>
      </c>
      <c r="L593" s="19">
        <f>IFERROR(IF(OR(G593="",INDEX(G:G,MATCH(DATE(YEAR($A593)-1,MONTH($A593),DAY($A593)),$A:$A,0))=""),"",G593/INDEX(G:G,MATCH(DATE(YEAR($A593)-1,MONTH($A593),DAY($A593)),$A:$A,0))-1),"")</f>
        <v/>
      </c>
      <c r="M593" s="19">
        <f>IF(OR(E593="",E592=""),"",E593/E592-1)</f>
        <v/>
      </c>
      <c r="N593" s="19">
        <f>IF(OR(F593="",F592=""),"",F593/F592-1)</f>
        <v/>
      </c>
      <c r="O593" s="19">
        <f>IF(OR(G593="",G592=""),"",G593/G592-1)</f>
        <v/>
      </c>
      <c r="P593" s="22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IF(R593="","",P593/R593)</f>
        <v/>
      </c>
      <c r="T593" s="23">
        <f>IF(R593="","",Q593/R593)</f>
        <v/>
      </c>
      <c r="U593" s="24">
        <f>IF(SUMIFS('Daily NSE Equity Options'!$M:$M,'Daily NSE Equity Options'!$A:$A,$A593)=0,"",SUMIFS('Daily NSE Equity Options'!$M:$M,'Daily NSE Equity Options'!$A:$A,$A593))</f>
        <v/>
      </c>
      <c r="V593" s="9">
        <f>IF(SUMIFS('Daily BSE Equity Options'!$M:$M,'Daily BSE Equity Options'!$A:$A,$A593)=0,"",SUMIFS('Daily BSE Equity Options'!$M:$M,'Daily BSE Equity Options'!$A:$A,$A593))</f>
        <v/>
      </c>
      <c r="W593" s="9">
        <f>IF(OR(U593="",V593=""),"",U593+V593)</f>
        <v/>
      </c>
      <c r="X593" s="25">
        <f>IF(W593="","",U593/W593)</f>
        <v/>
      </c>
      <c r="Y593" s="25">
        <f>IF(W593="","",V593/W593)</f>
        <v/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19">
        <f>IF(G594="","",E594/G594)</f>
        <v/>
      </c>
      <c r="I594" s="19">
        <f>IF(G594="","",F594/G594)</f>
        <v/>
      </c>
      <c r="J594" s="26">
        <f>IFERROR(IF(OR(E594="",INDEX(E:E,MATCH(DATE(YEAR($A594)-1,MONTH($A594),DAY($A594)),$A:$A,0))=""),"",E594/INDEX(E:E,MATCH(DATE(YEAR($A594)-1,MONTH($A594),DAY($A594)),$A:$A,0))-1),"")</f>
        <v/>
      </c>
      <c r="K594" s="19">
        <f>IFERROR(IF(OR(F594="",INDEX(F:F,MATCH(DATE(YEAR($A594)-1,MONTH($A594),DAY($A594)),$A:$A,0))=""),"",F594/INDEX(F:F,MATCH(DATE(YEAR($A594)-1,MONTH($A594),DAY($A594)),$A:$A,0))-1),"")</f>
        <v/>
      </c>
      <c r="L594" s="19">
        <f>IFERROR(IF(OR(G594="",INDEX(G:G,MATCH(DATE(YEAR($A594)-1,MONTH($A594),DAY($A594)),$A:$A,0))=""),"",G594/INDEX(G:G,MATCH(DATE(YEAR($A594)-1,MONTH($A594),DAY($A594)),$A:$A,0))-1),"")</f>
        <v/>
      </c>
      <c r="M594" s="19">
        <f>IF(OR(E594="",E593=""),"",E594/E593-1)</f>
        <v/>
      </c>
      <c r="N594" s="19">
        <f>IF(OR(F594="",F593=""),"",F594/F593-1)</f>
        <v/>
      </c>
      <c r="O594" s="19">
        <f>IF(OR(G594="",G593=""),"",G594/G593-1)</f>
        <v/>
      </c>
      <c r="P594" s="22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IF(R594="","",P594/R594)</f>
        <v/>
      </c>
      <c r="T594" s="23">
        <f>IF(R594="","",Q594/R594)</f>
        <v/>
      </c>
      <c r="U594" s="24">
        <f>IF(SUMIFS('Daily NSE Equity Options'!$M:$M,'Daily NSE Equity Options'!$A:$A,$A594)=0,"",SUMIFS('Daily NSE Equity Options'!$M:$M,'Daily NSE Equity Options'!$A:$A,$A594))</f>
        <v/>
      </c>
      <c r="V594" s="9">
        <f>IF(SUMIFS('Daily BSE Equity Options'!$M:$M,'Daily BSE Equity Options'!$A:$A,$A594)=0,"",SUMIFS('Daily BSE Equity Options'!$M:$M,'Daily BSE Equity Options'!$A:$A,$A594))</f>
        <v/>
      </c>
      <c r="W594" s="9">
        <f>IF(OR(U594="",V594=""),"",U594+V594)</f>
        <v/>
      </c>
      <c r="X594" s="25">
        <f>IF(W594="","",U594/W594)</f>
        <v/>
      </c>
      <c r="Y594" s="25">
        <f>IF(W594="","",V594/W594)</f>
        <v/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19">
        <f>IF(G595="","",E595/G595)</f>
        <v/>
      </c>
      <c r="I595" s="19">
        <f>IF(G595="","",F595/G595)</f>
        <v/>
      </c>
      <c r="J595" s="26">
        <f>IFERROR(IF(OR(E595="",INDEX(E:E,MATCH(DATE(YEAR($A595)-1,MONTH($A595),DAY($A595)),$A:$A,0))=""),"",E595/INDEX(E:E,MATCH(DATE(YEAR($A595)-1,MONTH($A595),DAY($A595)),$A:$A,0))-1),"")</f>
        <v/>
      </c>
      <c r="K595" s="19">
        <f>IFERROR(IF(OR(F595="",INDEX(F:F,MATCH(DATE(YEAR($A595)-1,MONTH($A595),DAY($A595)),$A:$A,0))=""),"",F595/INDEX(F:F,MATCH(DATE(YEAR($A595)-1,MONTH($A595),DAY($A595)),$A:$A,0))-1),"")</f>
        <v/>
      </c>
      <c r="L595" s="19">
        <f>IFERROR(IF(OR(G595="",INDEX(G:G,MATCH(DATE(YEAR($A595)-1,MONTH($A595),DAY($A595)),$A:$A,0))=""),"",G595/INDEX(G:G,MATCH(DATE(YEAR($A595)-1,MONTH($A595),DAY($A595)),$A:$A,0))-1),"")</f>
        <v/>
      </c>
      <c r="M595" s="19">
        <f>IF(OR(E595="",E594=""),"",E595/E594-1)</f>
        <v/>
      </c>
      <c r="N595" s="19">
        <f>IF(OR(F595="",F594=""),"",F595/F594-1)</f>
        <v/>
      </c>
      <c r="O595" s="19">
        <f>IF(OR(G595="",G594=""),"",G595/G594-1)</f>
        <v/>
      </c>
      <c r="P595" s="22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IF(R595="","",P595/R595)</f>
        <v/>
      </c>
      <c r="T595" s="23">
        <f>IF(R595="","",Q595/R595)</f>
        <v/>
      </c>
      <c r="U595" s="24">
        <f>IF(SUMIFS('Daily NSE Equity Options'!$M:$M,'Daily NSE Equity Options'!$A:$A,$A595)=0,"",SUMIFS('Daily NSE Equity Options'!$M:$M,'Daily NSE Equity Options'!$A:$A,$A595))</f>
        <v/>
      </c>
      <c r="V595" s="9">
        <f>IF(SUMIFS('Daily BSE Equity Options'!$M:$M,'Daily BSE Equity Options'!$A:$A,$A595)=0,"",SUMIFS('Daily BSE Equity Options'!$M:$M,'Daily BSE Equity Options'!$A:$A,$A595))</f>
        <v/>
      </c>
      <c r="W595" s="9">
        <f>IF(OR(U595="",V595=""),"",U595+V595)</f>
        <v/>
      </c>
      <c r="X595" s="25">
        <f>IF(W595="","",U595/W595)</f>
        <v/>
      </c>
      <c r="Y595" s="25">
        <f>IF(W595="","",V595/W595)</f>
        <v/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19">
        <f>IF(G596="","",E596/G596)</f>
        <v/>
      </c>
      <c r="I596" s="19">
        <f>IF(G596="","",F596/G596)</f>
        <v/>
      </c>
      <c r="J596" s="26">
        <f>IFERROR(IF(OR(E596="",INDEX(E:E,MATCH(DATE(YEAR($A596)-1,MONTH($A596),DAY($A596)),$A:$A,0))=""),"",E596/INDEX(E:E,MATCH(DATE(YEAR($A596)-1,MONTH($A596),DAY($A596)),$A:$A,0))-1),"")</f>
        <v/>
      </c>
      <c r="K596" s="19">
        <f>IFERROR(IF(OR(F596="",INDEX(F:F,MATCH(DATE(YEAR($A596)-1,MONTH($A596),DAY($A596)),$A:$A,0))=""),"",F596/INDEX(F:F,MATCH(DATE(YEAR($A596)-1,MONTH($A596),DAY($A596)),$A:$A,0))-1),"")</f>
        <v/>
      </c>
      <c r="L596" s="19">
        <f>IFERROR(IF(OR(G596="",INDEX(G:G,MATCH(DATE(YEAR($A596)-1,MONTH($A596),DAY($A596)),$A:$A,0))=""),"",G596/INDEX(G:G,MATCH(DATE(YEAR($A596)-1,MONTH($A596),DAY($A596)),$A:$A,0))-1),"")</f>
        <v/>
      </c>
      <c r="M596" s="19">
        <f>IF(OR(E596="",E595=""),"",E596/E595-1)</f>
        <v/>
      </c>
      <c r="N596" s="19">
        <f>IF(OR(F596="",F595=""),"",F596/F595-1)</f>
        <v/>
      </c>
      <c r="O596" s="19">
        <f>IF(OR(G596="",G595=""),"",G596/G595-1)</f>
        <v/>
      </c>
      <c r="P596" s="22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IF(R596="","",P596/R596)</f>
        <v/>
      </c>
      <c r="T596" s="23">
        <f>IF(R596="","",Q596/R596)</f>
        <v/>
      </c>
      <c r="U596" s="24">
        <f>IF(SUMIFS('Daily NSE Equity Options'!$M:$M,'Daily NSE Equity Options'!$A:$A,$A596)=0,"",SUMIFS('Daily NSE Equity Options'!$M:$M,'Daily NSE Equity Options'!$A:$A,$A596))</f>
        <v/>
      </c>
      <c r="V596" s="9">
        <f>IF(SUMIFS('Daily BSE Equity Options'!$M:$M,'Daily BSE Equity Options'!$A:$A,$A596)=0,"",SUMIFS('Daily BSE Equity Options'!$M:$M,'Daily BSE Equity Options'!$A:$A,$A596))</f>
        <v/>
      </c>
      <c r="W596" s="9">
        <f>IF(OR(U596="",V596=""),"",U596+V596)</f>
        <v/>
      </c>
      <c r="X596" s="25">
        <f>IF(W596="","",U596/W596)</f>
        <v/>
      </c>
      <c r="Y596" s="25">
        <f>IF(W596="","",V596/W596)</f>
        <v/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19">
        <f>IF(G597="","",E597/G597)</f>
        <v/>
      </c>
      <c r="I597" s="19">
        <f>IF(G597="","",F597/G597)</f>
        <v/>
      </c>
      <c r="J597" s="26">
        <f>IFERROR(IF(OR(E597="",INDEX(E:E,MATCH(DATE(YEAR($A597)-1,MONTH($A597),DAY($A597)),$A:$A,0))=""),"",E597/INDEX(E:E,MATCH(DATE(YEAR($A597)-1,MONTH($A597),DAY($A597)),$A:$A,0))-1),"")</f>
        <v/>
      </c>
      <c r="K597" s="19">
        <f>IFERROR(IF(OR(F597="",INDEX(F:F,MATCH(DATE(YEAR($A597)-1,MONTH($A597),DAY($A597)),$A:$A,0))=""),"",F597/INDEX(F:F,MATCH(DATE(YEAR($A597)-1,MONTH($A597),DAY($A597)),$A:$A,0))-1),"")</f>
        <v/>
      </c>
      <c r="L597" s="19">
        <f>IFERROR(IF(OR(G597="",INDEX(G:G,MATCH(DATE(YEAR($A597)-1,MONTH($A597),DAY($A597)),$A:$A,0))=""),"",G597/INDEX(G:G,MATCH(DATE(YEAR($A597)-1,MONTH($A597),DAY($A597)),$A:$A,0))-1),"")</f>
        <v/>
      </c>
      <c r="M597" s="19">
        <f>IF(OR(E597="",E596=""),"",E597/E596-1)</f>
        <v/>
      </c>
      <c r="N597" s="19">
        <f>IF(OR(F597="",F596=""),"",F597/F596-1)</f>
        <v/>
      </c>
      <c r="O597" s="19">
        <f>IF(OR(G597="",G596=""),"",G597/G596-1)</f>
        <v/>
      </c>
      <c r="P597" s="22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IF(R597="","",P597/R597)</f>
        <v/>
      </c>
      <c r="T597" s="23">
        <f>IF(R597="","",Q597/R597)</f>
        <v/>
      </c>
      <c r="U597" s="24">
        <f>IF(SUMIFS('Daily NSE Equity Options'!$M:$M,'Daily NSE Equity Options'!$A:$A,$A597)=0,"",SUMIFS('Daily NSE Equity Options'!$M:$M,'Daily NSE Equity Options'!$A:$A,$A597))</f>
        <v/>
      </c>
      <c r="V597" s="9">
        <f>IF(SUMIFS('Daily BSE Equity Options'!$M:$M,'Daily BSE Equity Options'!$A:$A,$A597)=0,"",SUMIFS('Daily BSE Equity Options'!$M:$M,'Daily BSE Equity Options'!$A:$A,$A597))</f>
        <v/>
      </c>
      <c r="W597" s="9">
        <f>IF(OR(U597="",V597=""),"",U597+V597)</f>
        <v/>
      </c>
      <c r="X597" s="25">
        <f>IF(W597="","",U597/W597)</f>
        <v/>
      </c>
      <c r="Y597" s="25">
        <f>IF(W597="","",V597/W597)</f>
        <v/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19">
        <f>IF(G598="","",E598/G598)</f>
        <v/>
      </c>
      <c r="I598" s="19">
        <f>IF(G598="","",F598/G598)</f>
        <v/>
      </c>
      <c r="J598" s="26">
        <f>IFERROR(IF(OR(E598="",INDEX(E:E,MATCH(DATE(YEAR($A598)-1,MONTH($A598),DAY($A598)),$A:$A,0))=""),"",E598/INDEX(E:E,MATCH(DATE(YEAR($A598)-1,MONTH($A598),DAY($A598)),$A:$A,0))-1),"")</f>
        <v/>
      </c>
      <c r="K598" s="19">
        <f>IFERROR(IF(OR(F598="",INDEX(F:F,MATCH(DATE(YEAR($A598)-1,MONTH($A598),DAY($A598)),$A:$A,0))=""),"",F598/INDEX(F:F,MATCH(DATE(YEAR($A598)-1,MONTH($A598),DAY($A598)),$A:$A,0))-1),"")</f>
        <v/>
      </c>
      <c r="L598" s="19">
        <f>IFERROR(IF(OR(G598="",INDEX(G:G,MATCH(DATE(YEAR($A598)-1,MONTH($A598),DAY($A598)),$A:$A,0))=""),"",G598/INDEX(G:G,MATCH(DATE(YEAR($A598)-1,MONTH($A598),DAY($A598)),$A:$A,0))-1),"")</f>
        <v/>
      </c>
      <c r="M598" s="19">
        <f>IF(OR(E598="",E597=""),"",E598/E597-1)</f>
        <v/>
      </c>
      <c r="N598" s="19">
        <f>IF(OR(F598="",F597=""),"",F598/F597-1)</f>
        <v/>
      </c>
      <c r="O598" s="19">
        <f>IF(OR(G598="",G597=""),"",G598/G597-1)</f>
        <v/>
      </c>
      <c r="P598" s="22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IF(R598="","",P598/R598)</f>
        <v/>
      </c>
      <c r="T598" s="23">
        <f>IF(R598="","",Q598/R598)</f>
        <v/>
      </c>
      <c r="U598" s="24">
        <f>IF(SUMIFS('Daily NSE Equity Options'!$M:$M,'Daily NSE Equity Options'!$A:$A,$A598)=0,"",SUMIFS('Daily NSE Equity Options'!$M:$M,'Daily NSE Equity Options'!$A:$A,$A598))</f>
        <v/>
      </c>
      <c r="V598" s="9">
        <f>IF(SUMIFS('Daily BSE Equity Options'!$M:$M,'Daily BSE Equity Options'!$A:$A,$A598)=0,"",SUMIFS('Daily BSE Equity Options'!$M:$M,'Daily BSE Equity Options'!$A:$A,$A598))</f>
        <v/>
      </c>
      <c r="W598" s="9">
        <f>IF(OR(U598="",V598=""),"",U598+V598)</f>
        <v/>
      </c>
      <c r="X598" s="25">
        <f>IF(W598="","",U598/W598)</f>
        <v/>
      </c>
      <c r="Y598" s="25">
        <f>IF(W598="","",V598/W598)</f>
        <v/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19">
        <f>IF(G599="","",E599/G599)</f>
        <v/>
      </c>
      <c r="I599" s="19">
        <f>IF(G599="","",F599/G599)</f>
        <v/>
      </c>
      <c r="J599" s="26">
        <f>IFERROR(IF(OR(E599="",INDEX(E:E,MATCH(DATE(YEAR($A599)-1,MONTH($A599),DAY($A599)),$A:$A,0))=""),"",E599/INDEX(E:E,MATCH(DATE(YEAR($A599)-1,MONTH($A599),DAY($A599)),$A:$A,0))-1),"")</f>
        <v/>
      </c>
      <c r="K599" s="19">
        <f>IFERROR(IF(OR(F599="",INDEX(F:F,MATCH(DATE(YEAR($A599)-1,MONTH($A599),DAY($A599)),$A:$A,0))=""),"",F599/INDEX(F:F,MATCH(DATE(YEAR($A599)-1,MONTH($A599),DAY($A599)),$A:$A,0))-1),"")</f>
        <v/>
      </c>
      <c r="L599" s="19">
        <f>IFERROR(IF(OR(G599="",INDEX(G:G,MATCH(DATE(YEAR($A599)-1,MONTH($A599),DAY($A599)),$A:$A,0))=""),"",G599/INDEX(G:G,MATCH(DATE(YEAR($A599)-1,MONTH($A599),DAY($A599)),$A:$A,0))-1),"")</f>
        <v/>
      </c>
      <c r="M599" s="19">
        <f>IF(OR(E599="",E598=""),"",E599/E598-1)</f>
        <v/>
      </c>
      <c r="N599" s="19">
        <f>IF(OR(F599="",F598=""),"",F599/F598-1)</f>
        <v/>
      </c>
      <c r="O599" s="19">
        <f>IF(OR(G599="",G598=""),"",G599/G598-1)</f>
        <v/>
      </c>
      <c r="P599" s="22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IF(R599="","",P599/R599)</f>
        <v/>
      </c>
      <c r="T599" s="23">
        <f>IF(R599="","",Q599/R599)</f>
        <v/>
      </c>
      <c r="U599" s="24">
        <f>IF(SUMIFS('Daily NSE Equity Options'!$M:$M,'Daily NSE Equity Options'!$A:$A,$A599)=0,"",SUMIFS('Daily NSE Equity Options'!$M:$M,'Daily NSE Equity Options'!$A:$A,$A599))</f>
        <v/>
      </c>
      <c r="V599" s="9">
        <f>IF(SUMIFS('Daily BSE Equity Options'!$M:$M,'Daily BSE Equity Options'!$A:$A,$A599)=0,"",SUMIFS('Daily BSE Equity Options'!$M:$M,'Daily BSE Equity Options'!$A:$A,$A599))</f>
        <v/>
      </c>
      <c r="W599" s="9">
        <f>IF(OR(U599="",V599=""),"",U599+V599)</f>
        <v/>
      </c>
      <c r="X599" s="25">
        <f>IF(W599="","",U599/W599)</f>
        <v/>
      </c>
      <c r="Y599" s="25">
        <f>IF(W599="","",V599/W599)</f>
        <v/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19">
        <f>IF(G600="","",E600/G600)</f>
        <v/>
      </c>
      <c r="I600" s="19">
        <f>IF(G600="","",F600/G600)</f>
        <v/>
      </c>
      <c r="J600" s="26">
        <f>IFERROR(IF(OR(E600="",INDEX(E:E,MATCH(DATE(YEAR($A600)-1,MONTH($A600),DAY($A600)),$A:$A,0))=""),"",E600/INDEX(E:E,MATCH(DATE(YEAR($A600)-1,MONTH($A600),DAY($A600)),$A:$A,0))-1),"")</f>
        <v/>
      </c>
      <c r="K600" s="19">
        <f>IFERROR(IF(OR(F600="",INDEX(F:F,MATCH(DATE(YEAR($A600)-1,MONTH($A600),DAY($A600)),$A:$A,0))=""),"",F600/INDEX(F:F,MATCH(DATE(YEAR($A600)-1,MONTH($A600),DAY($A600)),$A:$A,0))-1),"")</f>
        <v/>
      </c>
      <c r="L600" s="19">
        <f>IFERROR(IF(OR(G600="",INDEX(G:G,MATCH(DATE(YEAR($A600)-1,MONTH($A600),DAY($A600)),$A:$A,0))=""),"",G600/INDEX(G:G,MATCH(DATE(YEAR($A600)-1,MONTH($A600),DAY($A600)),$A:$A,0))-1),"")</f>
        <v/>
      </c>
      <c r="M600" s="19">
        <f>IF(OR(E600="",E599=""),"",E600/E599-1)</f>
        <v/>
      </c>
      <c r="N600" s="19">
        <f>IF(OR(F600="",F599=""),"",F600/F599-1)</f>
        <v/>
      </c>
      <c r="O600" s="19">
        <f>IF(OR(G600="",G599=""),"",G600/G599-1)</f>
        <v/>
      </c>
      <c r="P600" s="22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IF(R600="","",P600/R600)</f>
        <v/>
      </c>
      <c r="T600" s="23">
        <f>IF(R600="","",Q600/R600)</f>
        <v/>
      </c>
      <c r="U600" s="24">
        <f>IF(SUMIFS('Daily NSE Equity Options'!$M:$M,'Daily NSE Equity Options'!$A:$A,$A600)=0,"",SUMIFS('Daily NSE Equity Options'!$M:$M,'Daily NSE Equity Options'!$A:$A,$A600))</f>
        <v/>
      </c>
      <c r="V600" s="9">
        <f>IF(SUMIFS('Daily BSE Equity Options'!$M:$M,'Daily BSE Equity Options'!$A:$A,$A600)=0,"",SUMIFS('Daily BSE Equity Options'!$M:$M,'Daily BSE Equity Options'!$A:$A,$A600))</f>
        <v/>
      </c>
      <c r="W600" s="9">
        <f>IF(OR(U600="",V600=""),"",U600+V600)</f>
        <v/>
      </c>
      <c r="X600" s="25">
        <f>IF(W600="","",U600/W600)</f>
        <v/>
      </c>
      <c r="Y600" s="25">
        <f>IF(W600="","",V600/W600)</f>
        <v/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19">
        <f>IF(G601="","",E601/G601)</f>
        <v/>
      </c>
      <c r="I601" s="19">
        <f>IF(G601="","",F601/G601)</f>
        <v/>
      </c>
      <c r="J601" s="26">
        <f>IFERROR(IF(OR(E601="",INDEX(E:E,MATCH(DATE(YEAR($A601)-1,MONTH($A601),DAY($A601)),$A:$A,0))=""),"",E601/INDEX(E:E,MATCH(DATE(YEAR($A601)-1,MONTH($A601),DAY($A601)),$A:$A,0))-1),"")</f>
        <v/>
      </c>
      <c r="K601" s="19">
        <f>IFERROR(IF(OR(F601="",INDEX(F:F,MATCH(DATE(YEAR($A601)-1,MONTH($A601),DAY($A601)),$A:$A,0))=""),"",F601/INDEX(F:F,MATCH(DATE(YEAR($A601)-1,MONTH($A601),DAY($A601)),$A:$A,0))-1),"")</f>
        <v/>
      </c>
      <c r="L601" s="19">
        <f>IFERROR(IF(OR(G601="",INDEX(G:G,MATCH(DATE(YEAR($A601)-1,MONTH($A601),DAY($A601)),$A:$A,0))=""),"",G601/INDEX(G:G,MATCH(DATE(YEAR($A601)-1,MONTH($A601),DAY($A601)),$A:$A,0))-1),"")</f>
        <v/>
      </c>
      <c r="M601" s="19">
        <f>IF(OR(E601="",E600=""),"",E601/E600-1)</f>
        <v/>
      </c>
      <c r="N601" s="19">
        <f>IF(OR(F601="",F600=""),"",F601/F600-1)</f>
        <v/>
      </c>
      <c r="O601" s="19">
        <f>IF(OR(G601="",G600=""),"",G601/G600-1)</f>
        <v/>
      </c>
      <c r="P601" s="22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IF(R601="","",P601/R601)</f>
        <v/>
      </c>
      <c r="T601" s="23">
        <f>IF(R601="","",Q601/R601)</f>
        <v/>
      </c>
      <c r="U601" s="24">
        <f>IF(SUMIFS('Daily NSE Equity Options'!$M:$M,'Daily NSE Equity Options'!$A:$A,$A601)=0,"",SUMIFS('Daily NSE Equity Options'!$M:$M,'Daily NSE Equity Options'!$A:$A,$A601))</f>
        <v/>
      </c>
      <c r="V601" s="9">
        <f>IF(SUMIFS('Daily BSE Equity Options'!$M:$M,'Daily BSE Equity Options'!$A:$A,$A601)=0,"",SUMIFS('Daily BSE Equity Options'!$M:$M,'Daily BSE Equity Options'!$A:$A,$A601))</f>
        <v/>
      </c>
      <c r="W601" s="9">
        <f>IF(OR(U601="",V601=""),"",U601+V601)</f>
        <v/>
      </c>
      <c r="X601" s="25">
        <f>IF(W601="","",U601/W601)</f>
        <v/>
      </c>
      <c r="Y601" s="25">
        <f>IF(W601="","",V601/W601)</f>
        <v/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19">
        <f>IF(G602="","",E602/G602)</f>
        <v/>
      </c>
      <c r="I602" s="19">
        <f>IF(G602="","",F602/G602)</f>
        <v/>
      </c>
      <c r="J602" s="26">
        <f>IFERROR(IF(OR(E602="",INDEX(E:E,MATCH(DATE(YEAR($A602)-1,MONTH($A602),DAY($A602)),$A:$A,0))=""),"",E602/INDEX(E:E,MATCH(DATE(YEAR($A602)-1,MONTH($A602),DAY($A602)),$A:$A,0))-1),"")</f>
        <v/>
      </c>
      <c r="K602" s="19">
        <f>IFERROR(IF(OR(F602="",INDEX(F:F,MATCH(DATE(YEAR($A602)-1,MONTH($A602),DAY($A602)),$A:$A,0))=""),"",F602/INDEX(F:F,MATCH(DATE(YEAR($A602)-1,MONTH($A602),DAY($A602)),$A:$A,0))-1),"")</f>
        <v/>
      </c>
      <c r="L602" s="19">
        <f>IFERROR(IF(OR(G602="",INDEX(G:G,MATCH(DATE(YEAR($A602)-1,MONTH($A602),DAY($A602)),$A:$A,0))=""),"",G602/INDEX(G:G,MATCH(DATE(YEAR($A602)-1,MONTH($A602),DAY($A602)),$A:$A,0))-1),"")</f>
        <v/>
      </c>
      <c r="M602" s="19">
        <f>IF(OR(E602="",E601=""),"",E602/E601-1)</f>
        <v/>
      </c>
      <c r="N602" s="19">
        <f>IF(OR(F602="",F601=""),"",F602/F601-1)</f>
        <v/>
      </c>
      <c r="O602" s="19">
        <f>IF(OR(G602="",G601=""),"",G602/G601-1)</f>
        <v/>
      </c>
      <c r="P602" s="22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IF(R602="","",P602/R602)</f>
        <v/>
      </c>
      <c r="T602" s="23">
        <f>IF(R602="","",Q602/R602)</f>
        <v/>
      </c>
      <c r="U602" s="24">
        <f>IF(SUMIFS('Daily NSE Equity Options'!$M:$M,'Daily NSE Equity Options'!$A:$A,$A602)=0,"",SUMIFS('Daily NSE Equity Options'!$M:$M,'Daily NSE Equity Options'!$A:$A,$A602))</f>
        <v/>
      </c>
      <c r="V602" s="9">
        <f>IF(SUMIFS('Daily BSE Equity Options'!$M:$M,'Daily BSE Equity Options'!$A:$A,$A602)=0,"",SUMIFS('Daily BSE Equity Options'!$M:$M,'Daily BSE Equity Options'!$A:$A,$A602))</f>
        <v/>
      </c>
      <c r="W602" s="9">
        <f>IF(OR(U602="",V602=""),"",U602+V602)</f>
        <v/>
      </c>
      <c r="X602" s="25">
        <f>IF(W602="","",U602/W602)</f>
        <v/>
      </c>
      <c r="Y602" s="25">
        <f>IF(W602="","",V602/W602)</f>
        <v/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19">
        <f>IF(G603="","",E603/G603)</f>
        <v/>
      </c>
      <c r="I603" s="19">
        <f>IF(G603="","",F603/G603)</f>
        <v/>
      </c>
      <c r="J603" s="26">
        <f>IFERROR(IF(OR(E603="",INDEX(E:E,MATCH(DATE(YEAR($A603)-1,MONTH($A603),DAY($A603)),$A:$A,0))=""),"",E603/INDEX(E:E,MATCH(DATE(YEAR($A603)-1,MONTH($A603),DAY($A603)),$A:$A,0))-1),"")</f>
        <v/>
      </c>
      <c r="K603" s="19">
        <f>IFERROR(IF(OR(F603="",INDEX(F:F,MATCH(DATE(YEAR($A603)-1,MONTH($A603),DAY($A603)),$A:$A,0))=""),"",F603/INDEX(F:F,MATCH(DATE(YEAR($A603)-1,MONTH($A603),DAY($A603)),$A:$A,0))-1),"")</f>
        <v/>
      </c>
      <c r="L603" s="19">
        <f>IFERROR(IF(OR(G603="",INDEX(G:G,MATCH(DATE(YEAR($A603)-1,MONTH($A603),DAY($A603)),$A:$A,0))=""),"",G603/INDEX(G:G,MATCH(DATE(YEAR($A603)-1,MONTH($A603),DAY($A603)),$A:$A,0))-1),"")</f>
        <v/>
      </c>
      <c r="M603" s="19">
        <f>IF(OR(E603="",E602=""),"",E603/E602-1)</f>
        <v/>
      </c>
      <c r="N603" s="19">
        <f>IF(OR(F603="",F602=""),"",F603/F602-1)</f>
        <v/>
      </c>
      <c r="O603" s="19">
        <f>IF(OR(G603="",G602=""),"",G603/G602-1)</f>
        <v/>
      </c>
      <c r="P603" s="22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IF(R603="","",P603/R603)</f>
        <v/>
      </c>
      <c r="T603" s="23">
        <f>IF(R603="","",Q603/R603)</f>
        <v/>
      </c>
      <c r="U603" s="24">
        <f>IF(SUMIFS('Daily NSE Equity Options'!$M:$M,'Daily NSE Equity Options'!$A:$A,$A603)=0,"",SUMIFS('Daily NSE Equity Options'!$M:$M,'Daily NSE Equity Options'!$A:$A,$A603))</f>
        <v/>
      </c>
      <c r="V603" s="9">
        <f>IF(SUMIFS('Daily BSE Equity Options'!$M:$M,'Daily BSE Equity Options'!$A:$A,$A603)=0,"",SUMIFS('Daily BSE Equity Options'!$M:$M,'Daily BSE Equity Options'!$A:$A,$A603))</f>
        <v/>
      </c>
      <c r="W603" s="9">
        <f>IF(OR(U603="",V603=""),"",U603+V603)</f>
        <v/>
      </c>
      <c r="X603" s="25">
        <f>IF(W603="","",U603/W603)</f>
        <v/>
      </c>
      <c r="Y603" s="25">
        <f>IF(W603="","",V603/W603)</f>
        <v/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19">
        <f>IF(G604="","",E604/G604)</f>
        <v/>
      </c>
      <c r="I604" s="19">
        <f>IF(G604="","",F604/G604)</f>
        <v/>
      </c>
      <c r="J604" s="26">
        <f>IFERROR(IF(OR(E604="",INDEX(E:E,MATCH(DATE(YEAR($A604)-1,MONTH($A604),DAY($A604)),$A:$A,0))=""),"",E604/INDEX(E:E,MATCH(DATE(YEAR($A604)-1,MONTH($A604),DAY($A604)),$A:$A,0))-1),"")</f>
        <v/>
      </c>
      <c r="K604" s="19">
        <f>IFERROR(IF(OR(F604="",INDEX(F:F,MATCH(DATE(YEAR($A604)-1,MONTH($A604),DAY($A604)),$A:$A,0))=""),"",F604/INDEX(F:F,MATCH(DATE(YEAR($A604)-1,MONTH($A604),DAY($A604)),$A:$A,0))-1),"")</f>
        <v/>
      </c>
      <c r="L604" s="19">
        <f>IFERROR(IF(OR(G604="",INDEX(G:G,MATCH(DATE(YEAR($A604)-1,MONTH($A604),DAY($A604)),$A:$A,0))=""),"",G604/INDEX(G:G,MATCH(DATE(YEAR($A604)-1,MONTH($A604),DAY($A604)),$A:$A,0))-1),"")</f>
        <v/>
      </c>
      <c r="M604" s="19">
        <f>IF(OR(E604="",E603=""),"",E604/E603-1)</f>
        <v/>
      </c>
      <c r="N604" s="19">
        <f>IF(OR(F604="",F603=""),"",F604/F603-1)</f>
        <v/>
      </c>
      <c r="O604" s="19">
        <f>IF(OR(G604="",G603=""),"",G604/G603-1)</f>
        <v/>
      </c>
      <c r="P604" s="22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IF(R604="","",P604/R604)</f>
        <v/>
      </c>
      <c r="T604" s="23">
        <f>IF(R604="","",Q604/R604)</f>
        <v/>
      </c>
      <c r="U604" s="24">
        <f>IF(SUMIFS('Daily NSE Equity Options'!$M:$M,'Daily NSE Equity Options'!$A:$A,$A604)=0,"",SUMIFS('Daily NSE Equity Options'!$M:$M,'Daily NSE Equity Options'!$A:$A,$A604))</f>
        <v/>
      </c>
      <c r="V604" s="9">
        <f>IF(SUMIFS('Daily BSE Equity Options'!$M:$M,'Daily BSE Equity Options'!$A:$A,$A604)=0,"",SUMIFS('Daily BSE Equity Options'!$M:$M,'Daily BSE Equity Options'!$A:$A,$A604))</f>
        <v/>
      </c>
      <c r="W604" s="9">
        <f>IF(OR(U604="",V604=""),"",U604+V604)</f>
        <v/>
      </c>
      <c r="X604" s="25">
        <f>IF(W604="","",U604/W604)</f>
        <v/>
      </c>
      <c r="Y604" s="25">
        <f>IF(W604="","",V604/W604)</f>
        <v/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19">
        <f>IF(G605="","",E605/G605)</f>
        <v/>
      </c>
      <c r="I605" s="19">
        <f>IF(G605="","",F605/G605)</f>
        <v/>
      </c>
      <c r="J605" s="26">
        <f>IFERROR(IF(OR(E605="",INDEX(E:E,MATCH(DATE(YEAR($A605)-1,MONTH($A605),DAY($A605)),$A:$A,0))=""),"",E605/INDEX(E:E,MATCH(DATE(YEAR($A605)-1,MONTH($A605),DAY($A605)),$A:$A,0))-1),"")</f>
        <v/>
      </c>
      <c r="K605" s="19">
        <f>IFERROR(IF(OR(F605="",INDEX(F:F,MATCH(DATE(YEAR($A605)-1,MONTH($A605),DAY($A605)),$A:$A,0))=""),"",F605/INDEX(F:F,MATCH(DATE(YEAR($A605)-1,MONTH($A605),DAY($A605)),$A:$A,0))-1),"")</f>
        <v/>
      </c>
      <c r="L605" s="19">
        <f>IFERROR(IF(OR(G605="",INDEX(G:G,MATCH(DATE(YEAR($A605)-1,MONTH($A605),DAY($A605)),$A:$A,0))=""),"",G605/INDEX(G:G,MATCH(DATE(YEAR($A605)-1,MONTH($A605),DAY($A605)),$A:$A,0))-1),"")</f>
        <v/>
      </c>
      <c r="M605" s="19">
        <f>IF(OR(E605="",E604=""),"",E605/E604-1)</f>
        <v/>
      </c>
      <c r="N605" s="19">
        <f>IF(OR(F605="",F604=""),"",F605/F604-1)</f>
        <v/>
      </c>
      <c r="O605" s="19">
        <f>IF(OR(G605="",G604=""),"",G605/G604-1)</f>
        <v/>
      </c>
      <c r="P605" s="22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IF(R605="","",P605/R605)</f>
        <v/>
      </c>
      <c r="T605" s="23">
        <f>IF(R605="","",Q605/R605)</f>
        <v/>
      </c>
      <c r="U605" s="24">
        <f>IF(SUMIFS('Daily NSE Equity Options'!$M:$M,'Daily NSE Equity Options'!$A:$A,$A605)=0,"",SUMIFS('Daily NSE Equity Options'!$M:$M,'Daily NSE Equity Options'!$A:$A,$A605))</f>
        <v/>
      </c>
      <c r="V605" s="9">
        <f>IF(SUMIFS('Daily BSE Equity Options'!$M:$M,'Daily BSE Equity Options'!$A:$A,$A605)=0,"",SUMIFS('Daily BSE Equity Options'!$M:$M,'Daily BSE Equity Options'!$A:$A,$A605))</f>
        <v/>
      </c>
      <c r="W605" s="9">
        <f>IF(OR(U605="",V605=""),"",U605+V605)</f>
        <v/>
      </c>
      <c r="X605" s="25">
        <f>IF(W605="","",U605/W605)</f>
        <v/>
      </c>
      <c r="Y605" s="25">
        <f>IF(W605="","",V605/W605)</f>
        <v/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19">
        <f>IF(G606="","",E606/G606)</f>
        <v/>
      </c>
      <c r="I606" s="19">
        <f>IF(G606="","",F606/G606)</f>
        <v/>
      </c>
      <c r="J606" s="26">
        <f>IFERROR(IF(OR(E606="",INDEX(E:E,MATCH(DATE(YEAR($A606)-1,MONTH($A606),DAY($A606)),$A:$A,0))=""),"",E606/INDEX(E:E,MATCH(DATE(YEAR($A606)-1,MONTH($A606),DAY($A606)),$A:$A,0))-1),"")</f>
        <v/>
      </c>
      <c r="K606" s="19">
        <f>IFERROR(IF(OR(F606="",INDEX(F:F,MATCH(DATE(YEAR($A606)-1,MONTH($A606),DAY($A606)),$A:$A,0))=""),"",F606/INDEX(F:F,MATCH(DATE(YEAR($A606)-1,MONTH($A606),DAY($A606)),$A:$A,0))-1),"")</f>
        <v/>
      </c>
      <c r="L606" s="19">
        <f>IFERROR(IF(OR(G606="",INDEX(G:G,MATCH(DATE(YEAR($A606)-1,MONTH($A606),DAY($A606)),$A:$A,0))=""),"",G606/INDEX(G:G,MATCH(DATE(YEAR($A606)-1,MONTH($A606),DAY($A606)),$A:$A,0))-1),"")</f>
        <v/>
      </c>
      <c r="M606" s="19">
        <f>IF(OR(E606="",E605=""),"",E606/E605-1)</f>
        <v/>
      </c>
      <c r="N606" s="19">
        <f>IF(OR(F606="",F605=""),"",F606/F605-1)</f>
        <v/>
      </c>
      <c r="O606" s="19">
        <f>IF(OR(G606="",G605=""),"",G606/G605-1)</f>
        <v/>
      </c>
      <c r="P606" s="22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IF(R606="","",P606/R606)</f>
        <v/>
      </c>
      <c r="T606" s="23">
        <f>IF(R606="","",Q606/R606)</f>
        <v/>
      </c>
      <c r="U606" s="24">
        <f>IF(SUMIFS('Daily NSE Equity Options'!$M:$M,'Daily NSE Equity Options'!$A:$A,$A606)=0,"",SUMIFS('Daily NSE Equity Options'!$M:$M,'Daily NSE Equity Options'!$A:$A,$A606))</f>
        <v/>
      </c>
      <c r="V606" s="9">
        <f>IF(SUMIFS('Daily BSE Equity Options'!$M:$M,'Daily BSE Equity Options'!$A:$A,$A606)=0,"",SUMIFS('Daily BSE Equity Options'!$M:$M,'Daily BSE Equity Options'!$A:$A,$A606))</f>
        <v/>
      </c>
      <c r="W606" s="9">
        <f>IF(OR(U606="",V606=""),"",U606+V606)</f>
        <v/>
      </c>
      <c r="X606" s="25">
        <f>IF(W606="","",U606/W606)</f>
        <v/>
      </c>
      <c r="Y606" s="25">
        <f>IF(W606="","",V606/W606)</f>
        <v/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19">
        <f>IF(G607="","",E607/G607)</f>
        <v/>
      </c>
      <c r="I607" s="19">
        <f>IF(G607="","",F607/G607)</f>
        <v/>
      </c>
      <c r="J607" s="26">
        <f>IFERROR(IF(OR(E607="",INDEX(E:E,MATCH(DATE(YEAR($A607)-1,MONTH($A607),DAY($A607)),$A:$A,0))=""),"",E607/INDEX(E:E,MATCH(DATE(YEAR($A607)-1,MONTH($A607),DAY($A607)),$A:$A,0))-1),"")</f>
        <v/>
      </c>
      <c r="K607" s="19">
        <f>IFERROR(IF(OR(F607="",INDEX(F:F,MATCH(DATE(YEAR($A607)-1,MONTH($A607),DAY($A607)),$A:$A,0))=""),"",F607/INDEX(F:F,MATCH(DATE(YEAR($A607)-1,MONTH($A607),DAY($A607)),$A:$A,0))-1),"")</f>
        <v/>
      </c>
      <c r="L607" s="19">
        <f>IFERROR(IF(OR(G607="",INDEX(G:G,MATCH(DATE(YEAR($A607)-1,MONTH($A607),DAY($A607)),$A:$A,0))=""),"",G607/INDEX(G:G,MATCH(DATE(YEAR($A607)-1,MONTH($A607),DAY($A607)),$A:$A,0))-1),"")</f>
        <v/>
      </c>
      <c r="M607" s="19">
        <f>IF(OR(E607="",E606=""),"",E607/E606-1)</f>
        <v/>
      </c>
      <c r="N607" s="19">
        <f>IF(OR(F607="",F606=""),"",F607/F606-1)</f>
        <v/>
      </c>
      <c r="O607" s="19">
        <f>IF(OR(G607="",G606=""),"",G607/G606-1)</f>
        <v/>
      </c>
      <c r="P607" s="22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IF(R607="","",P607/R607)</f>
        <v/>
      </c>
      <c r="T607" s="23">
        <f>IF(R607="","",Q607/R607)</f>
        <v/>
      </c>
      <c r="U607" s="24">
        <f>IF(SUMIFS('Daily NSE Equity Options'!$M:$M,'Daily NSE Equity Options'!$A:$A,$A607)=0,"",SUMIFS('Daily NSE Equity Options'!$M:$M,'Daily NSE Equity Options'!$A:$A,$A607))</f>
        <v/>
      </c>
      <c r="V607" s="9">
        <f>IF(SUMIFS('Daily BSE Equity Options'!$M:$M,'Daily BSE Equity Options'!$A:$A,$A607)=0,"",SUMIFS('Daily BSE Equity Options'!$M:$M,'Daily BSE Equity Options'!$A:$A,$A607))</f>
        <v/>
      </c>
      <c r="W607" s="9">
        <f>IF(OR(U607="",V607=""),"",U607+V607)</f>
        <v/>
      </c>
      <c r="X607" s="25">
        <f>IF(W607="","",U607/W607)</f>
        <v/>
      </c>
      <c r="Y607" s="25">
        <f>IF(W607="","",V607/W607)</f>
        <v/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19">
        <f>IF(G608="","",E608/G608)</f>
        <v/>
      </c>
      <c r="I608" s="19">
        <f>IF(G608="","",F608/G608)</f>
        <v/>
      </c>
      <c r="J608" s="26">
        <f>IFERROR(IF(OR(E608="",INDEX(E:E,MATCH(DATE(YEAR($A608)-1,MONTH($A608),DAY($A608)),$A:$A,0))=""),"",E608/INDEX(E:E,MATCH(DATE(YEAR($A608)-1,MONTH($A608),DAY($A608)),$A:$A,0))-1),"")</f>
        <v/>
      </c>
      <c r="K608" s="19">
        <f>IFERROR(IF(OR(F608="",INDEX(F:F,MATCH(DATE(YEAR($A608)-1,MONTH($A608),DAY($A608)),$A:$A,0))=""),"",F608/INDEX(F:F,MATCH(DATE(YEAR($A608)-1,MONTH($A608),DAY($A608)),$A:$A,0))-1),"")</f>
        <v/>
      </c>
      <c r="L608" s="19">
        <f>IFERROR(IF(OR(G608="",INDEX(G:G,MATCH(DATE(YEAR($A608)-1,MONTH($A608),DAY($A608)),$A:$A,0))=""),"",G608/INDEX(G:G,MATCH(DATE(YEAR($A608)-1,MONTH($A608),DAY($A608)),$A:$A,0))-1),"")</f>
        <v/>
      </c>
      <c r="M608" s="19">
        <f>IF(OR(E608="",E607=""),"",E608/E607-1)</f>
        <v/>
      </c>
      <c r="N608" s="19">
        <f>IF(OR(F608="",F607=""),"",F608/F607-1)</f>
        <v/>
      </c>
      <c r="O608" s="19">
        <f>IF(OR(G608="",G607=""),"",G608/G607-1)</f>
        <v/>
      </c>
      <c r="P608" s="22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IF(R608="","",P608/R608)</f>
        <v/>
      </c>
      <c r="T608" s="23">
        <f>IF(R608="","",Q608/R608)</f>
        <v/>
      </c>
      <c r="U608" s="24">
        <f>IF(SUMIFS('Daily NSE Equity Options'!$M:$M,'Daily NSE Equity Options'!$A:$A,$A608)=0,"",SUMIFS('Daily NSE Equity Options'!$M:$M,'Daily NSE Equity Options'!$A:$A,$A608))</f>
        <v/>
      </c>
      <c r="V608" s="9">
        <f>IF(SUMIFS('Daily BSE Equity Options'!$M:$M,'Daily BSE Equity Options'!$A:$A,$A608)=0,"",SUMIFS('Daily BSE Equity Options'!$M:$M,'Daily BSE Equity Options'!$A:$A,$A608))</f>
        <v/>
      </c>
      <c r="W608" s="9">
        <f>IF(OR(U608="",V608=""),"",U608+V608)</f>
        <v/>
      </c>
      <c r="X608" s="25">
        <f>IF(W608="","",U608/W608)</f>
        <v/>
      </c>
      <c r="Y608" s="25">
        <f>IF(W608="","",V608/W608)</f>
        <v/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19">
        <f>IF(G609="","",E609/G609)</f>
        <v/>
      </c>
      <c r="I609" s="19">
        <f>IF(G609="","",F609/G609)</f>
        <v/>
      </c>
      <c r="J609" s="26">
        <f>IFERROR(IF(OR(E609="",INDEX(E:E,MATCH(DATE(YEAR($A609)-1,MONTH($A609),DAY($A609)),$A:$A,0))=""),"",E609/INDEX(E:E,MATCH(DATE(YEAR($A609)-1,MONTH($A609),DAY($A609)),$A:$A,0))-1),"")</f>
        <v/>
      </c>
      <c r="K609" s="19">
        <f>IFERROR(IF(OR(F609="",INDEX(F:F,MATCH(DATE(YEAR($A609)-1,MONTH($A609),DAY($A609)),$A:$A,0))=""),"",F609/INDEX(F:F,MATCH(DATE(YEAR($A609)-1,MONTH($A609),DAY($A609)),$A:$A,0))-1),"")</f>
        <v/>
      </c>
      <c r="L609" s="19">
        <f>IFERROR(IF(OR(G609="",INDEX(G:G,MATCH(DATE(YEAR($A609)-1,MONTH($A609),DAY($A609)),$A:$A,0))=""),"",G609/INDEX(G:G,MATCH(DATE(YEAR($A609)-1,MONTH($A609),DAY($A609)),$A:$A,0))-1),"")</f>
        <v/>
      </c>
      <c r="M609" s="19">
        <f>IF(OR(E609="",E608=""),"",E609/E608-1)</f>
        <v/>
      </c>
      <c r="N609" s="19">
        <f>IF(OR(F609="",F608=""),"",F609/F608-1)</f>
        <v/>
      </c>
      <c r="O609" s="19">
        <f>IF(OR(G609="",G608=""),"",G609/G608-1)</f>
        <v/>
      </c>
      <c r="P609" s="22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IF(R609="","",P609/R609)</f>
        <v/>
      </c>
      <c r="T609" s="23">
        <f>IF(R609="","",Q609/R609)</f>
        <v/>
      </c>
      <c r="U609" s="24">
        <f>IF(SUMIFS('Daily NSE Equity Options'!$M:$M,'Daily NSE Equity Options'!$A:$A,$A609)=0,"",SUMIFS('Daily NSE Equity Options'!$M:$M,'Daily NSE Equity Options'!$A:$A,$A609))</f>
        <v/>
      </c>
      <c r="V609" s="9">
        <f>IF(SUMIFS('Daily BSE Equity Options'!$M:$M,'Daily BSE Equity Options'!$A:$A,$A609)=0,"",SUMIFS('Daily BSE Equity Options'!$M:$M,'Daily BSE Equity Options'!$A:$A,$A609))</f>
        <v/>
      </c>
      <c r="W609" s="9">
        <f>IF(OR(U609="",V609=""),"",U609+V609)</f>
        <v/>
      </c>
      <c r="X609" s="25">
        <f>IF(W609="","",U609/W609)</f>
        <v/>
      </c>
      <c r="Y609" s="25">
        <f>IF(W609="","",V609/W609)</f>
        <v/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19">
        <f>IF(G610="","",E610/G610)</f>
        <v/>
      </c>
      <c r="I610" s="19">
        <f>IF(G610="","",F610/G610)</f>
        <v/>
      </c>
      <c r="J610" s="26">
        <f>IFERROR(IF(OR(E610="",INDEX(E:E,MATCH(DATE(YEAR($A610)-1,MONTH($A610),DAY($A610)),$A:$A,0))=""),"",E610/INDEX(E:E,MATCH(DATE(YEAR($A610)-1,MONTH($A610),DAY($A610)),$A:$A,0))-1),"")</f>
        <v/>
      </c>
      <c r="K610" s="19">
        <f>IFERROR(IF(OR(F610="",INDEX(F:F,MATCH(DATE(YEAR($A610)-1,MONTH($A610),DAY($A610)),$A:$A,0))=""),"",F610/INDEX(F:F,MATCH(DATE(YEAR($A610)-1,MONTH($A610),DAY($A610)),$A:$A,0))-1),"")</f>
        <v/>
      </c>
      <c r="L610" s="19">
        <f>IFERROR(IF(OR(G610="",INDEX(G:G,MATCH(DATE(YEAR($A610)-1,MONTH($A610),DAY($A610)),$A:$A,0))=""),"",G610/INDEX(G:G,MATCH(DATE(YEAR($A610)-1,MONTH($A610),DAY($A610)),$A:$A,0))-1),"")</f>
        <v/>
      </c>
      <c r="M610" s="19">
        <f>IF(OR(E610="",E609=""),"",E610/E609-1)</f>
        <v/>
      </c>
      <c r="N610" s="19">
        <f>IF(OR(F610="",F609=""),"",F610/F609-1)</f>
        <v/>
      </c>
      <c r="O610" s="19">
        <f>IF(OR(G610="",G609=""),"",G610/G609-1)</f>
        <v/>
      </c>
      <c r="P610" s="22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IF(R610="","",P610/R610)</f>
        <v/>
      </c>
      <c r="T610" s="23">
        <f>IF(R610="","",Q610/R610)</f>
        <v/>
      </c>
      <c r="U610" s="24">
        <f>IF(SUMIFS('Daily NSE Equity Options'!$M:$M,'Daily NSE Equity Options'!$A:$A,$A610)=0,"",SUMIFS('Daily NSE Equity Options'!$M:$M,'Daily NSE Equity Options'!$A:$A,$A610))</f>
        <v/>
      </c>
      <c r="V610" s="9">
        <f>IF(SUMIFS('Daily BSE Equity Options'!$M:$M,'Daily BSE Equity Options'!$A:$A,$A610)=0,"",SUMIFS('Daily BSE Equity Options'!$M:$M,'Daily BSE Equity Options'!$A:$A,$A610))</f>
        <v/>
      </c>
      <c r="W610" s="9">
        <f>IF(OR(U610="",V610=""),"",U610+V610)</f>
        <v/>
      </c>
      <c r="X610" s="25">
        <f>IF(W610="","",U610/W610)</f>
        <v/>
      </c>
      <c r="Y610" s="25">
        <f>IF(W610="","",V610/W610)</f>
        <v/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19">
        <f>IF(G611="","",E611/G611)</f>
        <v/>
      </c>
      <c r="I611" s="19">
        <f>IF(G611="","",F611/G611)</f>
        <v/>
      </c>
      <c r="J611" s="26">
        <f>IFERROR(IF(OR(E611="",INDEX(E:E,MATCH(DATE(YEAR($A611)-1,MONTH($A611),DAY($A611)),$A:$A,0))=""),"",E611/INDEX(E:E,MATCH(DATE(YEAR($A611)-1,MONTH($A611),DAY($A611)),$A:$A,0))-1),"")</f>
        <v/>
      </c>
      <c r="K611" s="19">
        <f>IFERROR(IF(OR(F611="",INDEX(F:F,MATCH(DATE(YEAR($A611)-1,MONTH($A611),DAY($A611)),$A:$A,0))=""),"",F611/INDEX(F:F,MATCH(DATE(YEAR($A611)-1,MONTH($A611),DAY($A611)),$A:$A,0))-1),"")</f>
        <v/>
      </c>
      <c r="L611" s="19">
        <f>IFERROR(IF(OR(G611="",INDEX(G:G,MATCH(DATE(YEAR($A611)-1,MONTH($A611),DAY($A611)),$A:$A,0))=""),"",G611/INDEX(G:G,MATCH(DATE(YEAR($A611)-1,MONTH($A611),DAY($A611)),$A:$A,0))-1),"")</f>
        <v/>
      </c>
      <c r="M611" s="19">
        <f>IF(OR(E611="",E610=""),"",E611/E610-1)</f>
        <v/>
      </c>
      <c r="N611" s="19">
        <f>IF(OR(F611="",F610=""),"",F611/F610-1)</f>
        <v/>
      </c>
      <c r="O611" s="19">
        <f>IF(OR(G611="",G610=""),"",G611/G610-1)</f>
        <v/>
      </c>
      <c r="P611" s="22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IF(R611="","",P611/R611)</f>
        <v/>
      </c>
      <c r="T611" s="23">
        <f>IF(R611="","",Q611/R611)</f>
        <v/>
      </c>
      <c r="U611" s="24">
        <f>IF(SUMIFS('Daily NSE Equity Options'!$M:$M,'Daily NSE Equity Options'!$A:$A,$A611)=0,"",SUMIFS('Daily NSE Equity Options'!$M:$M,'Daily NSE Equity Options'!$A:$A,$A611))</f>
        <v/>
      </c>
      <c r="V611" s="9">
        <f>IF(SUMIFS('Daily BSE Equity Options'!$M:$M,'Daily BSE Equity Options'!$A:$A,$A611)=0,"",SUMIFS('Daily BSE Equity Options'!$M:$M,'Daily BSE Equity Options'!$A:$A,$A611))</f>
        <v/>
      </c>
      <c r="W611" s="9">
        <f>IF(OR(U611="",V611=""),"",U611+V611)</f>
        <v/>
      </c>
      <c r="X611" s="25">
        <f>IF(W611="","",U611/W611)</f>
        <v/>
      </c>
      <c r="Y611" s="25">
        <f>IF(W611="","",V611/W611)</f>
        <v/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19">
        <f>IF(G612="","",E612/G612)</f>
        <v/>
      </c>
      <c r="I612" s="19">
        <f>IF(G612="","",F612/G612)</f>
        <v/>
      </c>
      <c r="J612" s="26">
        <f>IFERROR(IF(OR(E612="",INDEX(E:E,MATCH(DATE(YEAR($A612)-1,MONTH($A612),DAY($A612)),$A:$A,0))=""),"",E612/INDEX(E:E,MATCH(DATE(YEAR($A612)-1,MONTH($A612),DAY($A612)),$A:$A,0))-1),"")</f>
        <v/>
      </c>
      <c r="K612" s="19">
        <f>IFERROR(IF(OR(F612="",INDEX(F:F,MATCH(DATE(YEAR($A612)-1,MONTH($A612),DAY($A612)),$A:$A,0))=""),"",F612/INDEX(F:F,MATCH(DATE(YEAR($A612)-1,MONTH($A612),DAY($A612)),$A:$A,0))-1),"")</f>
        <v/>
      </c>
      <c r="L612" s="19">
        <f>IFERROR(IF(OR(G612="",INDEX(G:G,MATCH(DATE(YEAR($A612)-1,MONTH($A612),DAY($A612)),$A:$A,0))=""),"",G612/INDEX(G:G,MATCH(DATE(YEAR($A612)-1,MONTH($A612),DAY($A612)),$A:$A,0))-1),"")</f>
        <v/>
      </c>
      <c r="M612" s="19">
        <f>IF(OR(E612="",E611=""),"",E612/E611-1)</f>
        <v/>
      </c>
      <c r="N612" s="19">
        <f>IF(OR(F612="",F611=""),"",F612/F611-1)</f>
        <v/>
      </c>
      <c r="O612" s="19">
        <f>IF(OR(G612="",G611=""),"",G612/G611-1)</f>
        <v/>
      </c>
      <c r="P612" s="22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IF(R612="","",P612/R612)</f>
        <v/>
      </c>
      <c r="T612" s="23">
        <f>IF(R612="","",Q612/R612)</f>
        <v/>
      </c>
      <c r="U612" s="24">
        <f>IF(SUMIFS('Daily NSE Equity Options'!$M:$M,'Daily NSE Equity Options'!$A:$A,$A612)=0,"",SUMIFS('Daily NSE Equity Options'!$M:$M,'Daily NSE Equity Options'!$A:$A,$A612))</f>
        <v/>
      </c>
      <c r="V612" s="9">
        <f>IF(SUMIFS('Daily BSE Equity Options'!$M:$M,'Daily BSE Equity Options'!$A:$A,$A612)=0,"",SUMIFS('Daily BSE Equity Options'!$M:$M,'Daily BSE Equity Options'!$A:$A,$A612))</f>
        <v/>
      </c>
      <c r="W612" s="9">
        <f>IF(OR(U612="",V612=""),"",U612+V612)</f>
        <v/>
      </c>
      <c r="X612" s="25">
        <f>IF(W612="","",U612/W612)</f>
        <v/>
      </c>
      <c r="Y612" s="25">
        <f>IF(W612="","",V612/W612)</f>
        <v/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19">
        <f>IF(G613="","",E613/G613)</f>
        <v/>
      </c>
      <c r="I613" s="19">
        <f>IF(G613="","",F613/G613)</f>
        <v/>
      </c>
      <c r="J613" s="26">
        <f>IFERROR(IF(OR(E613="",INDEX(E:E,MATCH(DATE(YEAR($A613)-1,MONTH($A613),DAY($A613)),$A:$A,0))=""),"",E613/INDEX(E:E,MATCH(DATE(YEAR($A613)-1,MONTH($A613),DAY($A613)),$A:$A,0))-1),"")</f>
        <v/>
      </c>
      <c r="K613" s="19">
        <f>IFERROR(IF(OR(F613="",INDEX(F:F,MATCH(DATE(YEAR($A613)-1,MONTH($A613),DAY($A613)),$A:$A,0))=""),"",F613/INDEX(F:F,MATCH(DATE(YEAR($A613)-1,MONTH($A613),DAY($A613)),$A:$A,0))-1),"")</f>
        <v/>
      </c>
      <c r="L613" s="19">
        <f>IFERROR(IF(OR(G613="",INDEX(G:G,MATCH(DATE(YEAR($A613)-1,MONTH($A613),DAY($A613)),$A:$A,0))=""),"",G613/INDEX(G:G,MATCH(DATE(YEAR($A613)-1,MONTH($A613),DAY($A613)),$A:$A,0))-1),"")</f>
        <v/>
      </c>
      <c r="M613" s="19">
        <f>IF(OR(E613="",E612=""),"",E613/E612-1)</f>
        <v/>
      </c>
      <c r="N613" s="19">
        <f>IF(OR(F613="",F612=""),"",F613/F612-1)</f>
        <v/>
      </c>
      <c r="O613" s="19">
        <f>IF(OR(G613="",G612=""),"",G613/G612-1)</f>
        <v/>
      </c>
      <c r="P613" s="22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IF(R613="","",P613/R613)</f>
        <v/>
      </c>
      <c r="T613" s="23">
        <f>IF(R613="","",Q613/R613)</f>
        <v/>
      </c>
      <c r="U613" s="24">
        <f>IF(SUMIFS('Daily NSE Equity Options'!$M:$M,'Daily NSE Equity Options'!$A:$A,$A613)=0,"",SUMIFS('Daily NSE Equity Options'!$M:$M,'Daily NSE Equity Options'!$A:$A,$A613))</f>
        <v/>
      </c>
      <c r="V613" s="9">
        <f>IF(SUMIFS('Daily BSE Equity Options'!$M:$M,'Daily BSE Equity Options'!$A:$A,$A613)=0,"",SUMIFS('Daily BSE Equity Options'!$M:$M,'Daily BSE Equity Options'!$A:$A,$A613))</f>
        <v/>
      </c>
      <c r="W613" s="9">
        <f>IF(OR(U613="",V613=""),"",U613+V613)</f>
        <v/>
      </c>
      <c r="X613" s="25">
        <f>IF(W613="","",U613/W613)</f>
        <v/>
      </c>
      <c r="Y613" s="25">
        <f>IF(W613="","",V613/W613)</f>
        <v/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19">
        <f>IF(G614="","",E614/G614)</f>
        <v/>
      </c>
      <c r="I614" s="19">
        <f>IF(G614="","",F614/G614)</f>
        <v/>
      </c>
      <c r="J614" s="26">
        <f>IFERROR(IF(OR(E614="",INDEX(E:E,MATCH(DATE(YEAR($A614)-1,MONTH($A614),DAY($A614)),$A:$A,0))=""),"",E614/INDEX(E:E,MATCH(DATE(YEAR($A614)-1,MONTH($A614),DAY($A614)),$A:$A,0))-1),"")</f>
        <v/>
      </c>
      <c r="K614" s="19">
        <f>IFERROR(IF(OR(F614="",INDEX(F:F,MATCH(DATE(YEAR($A614)-1,MONTH($A614),DAY($A614)),$A:$A,0))=""),"",F614/INDEX(F:F,MATCH(DATE(YEAR($A614)-1,MONTH($A614),DAY($A614)),$A:$A,0))-1),"")</f>
        <v/>
      </c>
      <c r="L614" s="19">
        <f>IFERROR(IF(OR(G614="",INDEX(G:G,MATCH(DATE(YEAR($A614)-1,MONTH($A614),DAY($A614)),$A:$A,0))=""),"",G614/INDEX(G:G,MATCH(DATE(YEAR($A614)-1,MONTH($A614),DAY($A614)),$A:$A,0))-1),"")</f>
        <v/>
      </c>
      <c r="M614" s="19">
        <f>IF(OR(E614="",E613=""),"",E614/E613-1)</f>
        <v/>
      </c>
      <c r="N614" s="19">
        <f>IF(OR(F614="",F613=""),"",F614/F613-1)</f>
        <v/>
      </c>
      <c r="O614" s="19">
        <f>IF(OR(G614="",G613=""),"",G614/G613-1)</f>
        <v/>
      </c>
      <c r="P614" s="22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IF(R614="","",P614/R614)</f>
        <v/>
      </c>
      <c r="T614" s="23">
        <f>IF(R614="","",Q614/R614)</f>
        <v/>
      </c>
      <c r="U614" s="24">
        <f>IF(SUMIFS('Daily NSE Equity Options'!$M:$M,'Daily NSE Equity Options'!$A:$A,$A614)=0,"",SUMIFS('Daily NSE Equity Options'!$M:$M,'Daily NSE Equity Options'!$A:$A,$A614))</f>
        <v/>
      </c>
      <c r="V614" s="9">
        <f>IF(SUMIFS('Daily BSE Equity Options'!$M:$M,'Daily BSE Equity Options'!$A:$A,$A614)=0,"",SUMIFS('Daily BSE Equity Options'!$M:$M,'Daily BSE Equity Options'!$A:$A,$A614))</f>
        <v/>
      </c>
      <c r="W614" s="9">
        <f>IF(OR(U614="",V614=""),"",U614+V614)</f>
        <v/>
      </c>
      <c r="X614" s="25">
        <f>IF(W614="","",U614/W614)</f>
        <v/>
      </c>
      <c r="Y614" s="25">
        <f>IF(W614="","",V614/W614)</f>
        <v/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19">
        <f>IF(G615="","",E615/G615)</f>
        <v/>
      </c>
      <c r="I615" s="19">
        <f>IF(G615="","",F615/G615)</f>
        <v/>
      </c>
      <c r="J615" s="26">
        <f>IFERROR(IF(OR(E615="",INDEX(E:E,MATCH(DATE(YEAR($A615)-1,MONTH($A615),DAY($A615)),$A:$A,0))=""),"",E615/INDEX(E:E,MATCH(DATE(YEAR($A615)-1,MONTH($A615),DAY($A615)),$A:$A,0))-1),"")</f>
        <v/>
      </c>
      <c r="K615" s="19">
        <f>IFERROR(IF(OR(F615="",INDEX(F:F,MATCH(DATE(YEAR($A615)-1,MONTH($A615),DAY($A615)),$A:$A,0))=""),"",F615/INDEX(F:F,MATCH(DATE(YEAR($A615)-1,MONTH($A615),DAY($A615)),$A:$A,0))-1),"")</f>
        <v/>
      </c>
      <c r="L615" s="19">
        <f>IFERROR(IF(OR(G615="",INDEX(G:G,MATCH(DATE(YEAR($A615)-1,MONTH($A615),DAY($A615)),$A:$A,0))=""),"",G615/INDEX(G:G,MATCH(DATE(YEAR($A615)-1,MONTH($A615),DAY($A615)),$A:$A,0))-1),"")</f>
        <v/>
      </c>
      <c r="M615" s="19">
        <f>IF(OR(E615="",E614=""),"",E615/E614-1)</f>
        <v/>
      </c>
      <c r="N615" s="19">
        <f>IF(OR(F615="",F614=""),"",F615/F614-1)</f>
        <v/>
      </c>
      <c r="O615" s="19">
        <f>IF(OR(G615="",G614=""),"",G615/G614-1)</f>
        <v/>
      </c>
      <c r="P615" s="22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IF(R615="","",P615/R615)</f>
        <v/>
      </c>
      <c r="T615" s="23">
        <f>IF(R615="","",Q615/R615)</f>
        <v/>
      </c>
      <c r="U615" s="24">
        <f>IF(SUMIFS('Daily NSE Equity Options'!$M:$M,'Daily NSE Equity Options'!$A:$A,$A615)=0,"",SUMIFS('Daily NSE Equity Options'!$M:$M,'Daily NSE Equity Options'!$A:$A,$A615))</f>
        <v/>
      </c>
      <c r="V615" s="9">
        <f>IF(SUMIFS('Daily BSE Equity Options'!$M:$M,'Daily BSE Equity Options'!$A:$A,$A615)=0,"",SUMIFS('Daily BSE Equity Options'!$M:$M,'Daily BSE Equity Options'!$A:$A,$A615))</f>
        <v/>
      </c>
      <c r="W615" s="9">
        <f>IF(OR(U615="",V615=""),"",U615+V615)</f>
        <v/>
      </c>
      <c r="X615" s="25">
        <f>IF(W615="","",U615/W615)</f>
        <v/>
      </c>
      <c r="Y615" s="25">
        <f>IF(W615="","",V615/W615)</f>
        <v/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19">
        <f>IF(G616="","",E616/G616)</f>
        <v/>
      </c>
      <c r="I616" s="19">
        <f>IF(G616="","",F616/G616)</f>
        <v/>
      </c>
      <c r="J616" s="26">
        <f>IFERROR(IF(OR(E616="",INDEX(E:E,MATCH(DATE(YEAR($A616)-1,MONTH($A616),DAY($A616)),$A:$A,0))=""),"",E616/INDEX(E:E,MATCH(DATE(YEAR($A616)-1,MONTH($A616),DAY($A616)),$A:$A,0))-1),"")</f>
        <v/>
      </c>
      <c r="K616" s="19">
        <f>IFERROR(IF(OR(F616="",INDEX(F:F,MATCH(DATE(YEAR($A616)-1,MONTH($A616),DAY($A616)),$A:$A,0))=""),"",F616/INDEX(F:F,MATCH(DATE(YEAR($A616)-1,MONTH($A616),DAY($A616)),$A:$A,0))-1),"")</f>
        <v/>
      </c>
      <c r="L616" s="19">
        <f>IFERROR(IF(OR(G616="",INDEX(G:G,MATCH(DATE(YEAR($A616)-1,MONTH($A616),DAY($A616)),$A:$A,0))=""),"",G616/INDEX(G:G,MATCH(DATE(YEAR($A616)-1,MONTH($A616),DAY($A616)),$A:$A,0))-1),"")</f>
        <v/>
      </c>
      <c r="M616" s="19">
        <f>IF(OR(E616="",E615=""),"",E616/E615-1)</f>
        <v/>
      </c>
      <c r="N616" s="19">
        <f>IF(OR(F616="",F615=""),"",F616/F615-1)</f>
        <v/>
      </c>
      <c r="O616" s="19">
        <f>IF(OR(G616="",G615=""),"",G616/G615-1)</f>
        <v/>
      </c>
      <c r="P616" s="22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IF(R616="","",P616/R616)</f>
        <v/>
      </c>
      <c r="T616" s="23">
        <f>IF(R616="","",Q616/R616)</f>
        <v/>
      </c>
      <c r="U616" s="24">
        <f>IF(SUMIFS('Daily NSE Equity Options'!$M:$M,'Daily NSE Equity Options'!$A:$A,$A616)=0,"",SUMIFS('Daily NSE Equity Options'!$M:$M,'Daily NSE Equity Options'!$A:$A,$A616))</f>
        <v/>
      </c>
      <c r="V616" s="9">
        <f>IF(SUMIFS('Daily BSE Equity Options'!$M:$M,'Daily BSE Equity Options'!$A:$A,$A616)=0,"",SUMIFS('Daily BSE Equity Options'!$M:$M,'Daily BSE Equity Options'!$A:$A,$A616))</f>
        <v/>
      </c>
      <c r="W616" s="9">
        <f>IF(OR(U616="",V616=""),"",U616+V616)</f>
        <v/>
      </c>
      <c r="X616" s="25">
        <f>IF(W616="","",U616/W616)</f>
        <v/>
      </c>
      <c r="Y616" s="25">
        <f>IF(W616="","",V616/W616)</f>
        <v/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19">
        <f>IF(G617="","",E617/G617)</f>
        <v/>
      </c>
      <c r="I617" s="19">
        <f>IF(G617="","",F617/G617)</f>
        <v/>
      </c>
      <c r="J617" s="26">
        <f>IFERROR(IF(OR(E617="",INDEX(E:E,MATCH(DATE(YEAR($A617)-1,MONTH($A617),DAY($A617)),$A:$A,0))=""),"",E617/INDEX(E:E,MATCH(DATE(YEAR($A617)-1,MONTH($A617),DAY($A617)),$A:$A,0))-1),"")</f>
        <v/>
      </c>
      <c r="K617" s="19">
        <f>IFERROR(IF(OR(F617="",INDEX(F:F,MATCH(DATE(YEAR($A617)-1,MONTH($A617),DAY($A617)),$A:$A,0))=""),"",F617/INDEX(F:F,MATCH(DATE(YEAR($A617)-1,MONTH($A617),DAY($A617)),$A:$A,0))-1),"")</f>
        <v/>
      </c>
      <c r="L617" s="19">
        <f>IFERROR(IF(OR(G617="",INDEX(G:G,MATCH(DATE(YEAR($A617)-1,MONTH($A617),DAY($A617)),$A:$A,0))=""),"",G617/INDEX(G:G,MATCH(DATE(YEAR($A617)-1,MONTH($A617),DAY($A617)),$A:$A,0))-1),"")</f>
        <v/>
      </c>
      <c r="M617" s="19">
        <f>IF(OR(E617="",E616=""),"",E617/E616-1)</f>
        <v/>
      </c>
      <c r="N617" s="19">
        <f>IF(OR(F617="",F616=""),"",F617/F616-1)</f>
        <v/>
      </c>
      <c r="O617" s="19">
        <f>IF(OR(G617="",G616=""),"",G617/G616-1)</f>
        <v/>
      </c>
      <c r="P617" s="22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IF(R617="","",P617/R617)</f>
        <v/>
      </c>
      <c r="T617" s="23">
        <f>IF(R617="","",Q617/R617)</f>
        <v/>
      </c>
      <c r="U617" s="24">
        <f>IF(SUMIFS('Daily NSE Equity Options'!$M:$M,'Daily NSE Equity Options'!$A:$A,$A617)=0,"",SUMIFS('Daily NSE Equity Options'!$M:$M,'Daily NSE Equity Options'!$A:$A,$A617))</f>
        <v/>
      </c>
      <c r="V617" s="9">
        <f>IF(SUMIFS('Daily BSE Equity Options'!$M:$M,'Daily BSE Equity Options'!$A:$A,$A617)=0,"",SUMIFS('Daily BSE Equity Options'!$M:$M,'Daily BSE Equity Options'!$A:$A,$A617))</f>
        <v/>
      </c>
      <c r="W617" s="9">
        <f>IF(OR(U617="",V617=""),"",U617+V617)</f>
        <v/>
      </c>
      <c r="X617" s="25">
        <f>IF(W617="","",U617/W617)</f>
        <v/>
      </c>
      <c r="Y617" s="25">
        <f>IF(W617="","",V617/W617)</f>
        <v/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19">
        <f>IF(G618="","",E618/G618)</f>
        <v/>
      </c>
      <c r="I618" s="19">
        <f>IF(G618="","",F618/G618)</f>
        <v/>
      </c>
      <c r="J618" s="26">
        <f>IFERROR(IF(OR(E618="",INDEX(E:E,MATCH(DATE(YEAR($A618)-1,MONTH($A618),DAY($A618)),$A:$A,0))=""),"",E618/INDEX(E:E,MATCH(DATE(YEAR($A618)-1,MONTH($A618),DAY($A618)),$A:$A,0))-1),"")</f>
        <v/>
      </c>
      <c r="K618" s="19">
        <f>IFERROR(IF(OR(F618="",INDEX(F:F,MATCH(DATE(YEAR($A618)-1,MONTH($A618),DAY($A618)),$A:$A,0))=""),"",F618/INDEX(F:F,MATCH(DATE(YEAR($A618)-1,MONTH($A618),DAY($A618)),$A:$A,0))-1),"")</f>
        <v/>
      </c>
      <c r="L618" s="19">
        <f>IFERROR(IF(OR(G618="",INDEX(G:G,MATCH(DATE(YEAR($A618)-1,MONTH($A618),DAY($A618)),$A:$A,0))=""),"",G618/INDEX(G:G,MATCH(DATE(YEAR($A618)-1,MONTH($A618),DAY($A618)),$A:$A,0))-1),"")</f>
        <v/>
      </c>
      <c r="M618" s="19">
        <f>IF(OR(E618="",E617=""),"",E618/E617-1)</f>
        <v/>
      </c>
      <c r="N618" s="19">
        <f>IF(OR(F618="",F617=""),"",F618/F617-1)</f>
        <v/>
      </c>
      <c r="O618" s="19">
        <f>IF(OR(G618="",G617=""),"",G618/G617-1)</f>
        <v/>
      </c>
      <c r="P618" s="22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IF(R618="","",P618/R618)</f>
        <v/>
      </c>
      <c r="T618" s="23">
        <f>IF(R618="","",Q618/R618)</f>
        <v/>
      </c>
      <c r="U618" s="24">
        <f>IF(SUMIFS('Daily NSE Equity Options'!$M:$M,'Daily NSE Equity Options'!$A:$A,$A618)=0,"",SUMIFS('Daily NSE Equity Options'!$M:$M,'Daily NSE Equity Options'!$A:$A,$A618))</f>
        <v/>
      </c>
      <c r="V618" s="9">
        <f>IF(SUMIFS('Daily BSE Equity Options'!$M:$M,'Daily BSE Equity Options'!$A:$A,$A618)=0,"",SUMIFS('Daily BSE Equity Options'!$M:$M,'Daily BSE Equity Options'!$A:$A,$A618))</f>
        <v/>
      </c>
      <c r="W618" s="9">
        <f>IF(OR(U618="",V618=""),"",U618+V618)</f>
        <v/>
      </c>
      <c r="X618" s="25">
        <f>IF(W618="","",U618/W618)</f>
        <v/>
      </c>
      <c r="Y618" s="25">
        <f>IF(W618="","",V618/W618)</f>
        <v/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19">
        <f>IF(G619="","",E619/G619)</f>
        <v/>
      </c>
      <c r="I619" s="19">
        <f>IF(G619="","",F619/G619)</f>
        <v/>
      </c>
      <c r="J619" s="26">
        <f>IFERROR(IF(OR(E619="",INDEX(E:E,MATCH(DATE(YEAR($A619)-1,MONTH($A619),DAY($A619)),$A:$A,0))=""),"",E619/INDEX(E:E,MATCH(DATE(YEAR($A619)-1,MONTH($A619),DAY($A619)),$A:$A,0))-1),"")</f>
        <v/>
      </c>
      <c r="K619" s="19">
        <f>IFERROR(IF(OR(F619="",INDEX(F:F,MATCH(DATE(YEAR($A619)-1,MONTH($A619),DAY($A619)),$A:$A,0))=""),"",F619/INDEX(F:F,MATCH(DATE(YEAR($A619)-1,MONTH($A619),DAY($A619)),$A:$A,0))-1),"")</f>
        <v/>
      </c>
      <c r="L619" s="19">
        <f>IFERROR(IF(OR(G619="",INDEX(G:G,MATCH(DATE(YEAR($A619)-1,MONTH($A619),DAY($A619)),$A:$A,0))=""),"",G619/INDEX(G:G,MATCH(DATE(YEAR($A619)-1,MONTH($A619),DAY($A619)),$A:$A,0))-1),"")</f>
        <v/>
      </c>
      <c r="M619" s="19">
        <f>IF(OR(E619="",E618=""),"",E619/E618-1)</f>
        <v/>
      </c>
      <c r="N619" s="19">
        <f>IF(OR(F619="",F618=""),"",F619/F618-1)</f>
        <v/>
      </c>
      <c r="O619" s="19">
        <f>IF(OR(G619="",G618=""),"",G619/G618-1)</f>
        <v/>
      </c>
      <c r="P619" s="22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IF(R619="","",P619/R619)</f>
        <v/>
      </c>
      <c r="T619" s="23">
        <f>IF(R619="","",Q619/R619)</f>
        <v/>
      </c>
      <c r="U619" s="24">
        <f>IF(SUMIFS('Daily NSE Equity Options'!$M:$M,'Daily NSE Equity Options'!$A:$A,$A619)=0,"",SUMIFS('Daily NSE Equity Options'!$M:$M,'Daily NSE Equity Options'!$A:$A,$A619))</f>
        <v/>
      </c>
      <c r="V619" s="9">
        <f>IF(SUMIFS('Daily BSE Equity Options'!$M:$M,'Daily BSE Equity Options'!$A:$A,$A619)=0,"",SUMIFS('Daily BSE Equity Options'!$M:$M,'Daily BSE Equity Options'!$A:$A,$A619))</f>
        <v/>
      </c>
      <c r="W619" s="9">
        <f>IF(OR(U619="",V619=""),"",U619+V619)</f>
        <v/>
      </c>
      <c r="X619" s="25">
        <f>IF(W619="","",U619/W619)</f>
        <v/>
      </c>
      <c r="Y619" s="25">
        <f>IF(W619="","",V619/W619)</f>
        <v/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19">
        <f>IF(G620="","",E620/G620)</f>
        <v/>
      </c>
      <c r="I620" s="19">
        <f>IF(G620="","",F620/G620)</f>
        <v/>
      </c>
      <c r="J620" s="26">
        <f>IFERROR(IF(OR(E620="",INDEX(E:E,MATCH(DATE(YEAR($A620)-1,MONTH($A620),DAY($A620)),$A:$A,0))=""),"",E620/INDEX(E:E,MATCH(DATE(YEAR($A620)-1,MONTH($A620),DAY($A620)),$A:$A,0))-1),"")</f>
        <v/>
      </c>
      <c r="K620" s="19">
        <f>IFERROR(IF(OR(F620="",INDEX(F:F,MATCH(DATE(YEAR($A620)-1,MONTH($A620),DAY($A620)),$A:$A,0))=""),"",F620/INDEX(F:F,MATCH(DATE(YEAR($A620)-1,MONTH($A620),DAY($A620)),$A:$A,0))-1),"")</f>
        <v/>
      </c>
      <c r="L620" s="19">
        <f>IFERROR(IF(OR(G620="",INDEX(G:G,MATCH(DATE(YEAR($A620)-1,MONTH($A620),DAY($A620)),$A:$A,0))=""),"",G620/INDEX(G:G,MATCH(DATE(YEAR($A620)-1,MONTH($A620),DAY($A620)),$A:$A,0))-1),"")</f>
        <v/>
      </c>
      <c r="M620" s="19">
        <f>IF(OR(E620="",E619=""),"",E620/E619-1)</f>
        <v/>
      </c>
      <c r="N620" s="19">
        <f>IF(OR(F620="",F619=""),"",F620/F619-1)</f>
        <v/>
      </c>
      <c r="O620" s="19">
        <f>IF(OR(G620="",G619=""),"",G620/G619-1)</f>
        <v/>
      </c>
      <c r="P620" s="22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IF(R620="","",P620/R620)</f>
        <v/>
      </c>
      <c r="T620" s="23">
        <f>IF(R620="","",Q620/R620)</f>
        <v/>
      </c>
      <c r="U620" s="24">
        <f>IF(SUMIFS('Daily NSE Equity Options'!$M:$M,'Daily NSE Equity Options'!$A:$A,$A620)=0,"",SUMIFS('Daily NSE Equity Options'!$M:$M,'Daily NSE Equity Options'!$A:$A,$A620))</f>
        <v/>
      </c>
      <c r="V620" s="9">
        <f>IF(SUMIFS('Daily BSE Equity Options'!$M:$M,'Daily BSE Equity Options'!$A:$A,$A620)=0,"",SUMIFS('Daily BSE Equity Options'!$M:$M,'Daily BSE Equity Options'!$A:$A,$A620))</f>
        <v/>
      </c>
      <c r="W620" s="9">
        <f>IF(OR(U620="",V620=""),"",U620+V620)</f>
        <v/>
      </c>
      <c r="X620" s="25">
        <f>IF(W620="","",U620/W620)</f>
        <v/>
      </c>
      <c r="Y620" s="25">
        <f>IF(W620="","",V620/W620)</f>
        <v/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19">
        <f>IF(G621="","",E621/G621)</f>
        <v/>
      </c>
      <c r="I621" s="19">
        <f>IF(G621="","",F621/G621)</f>
        <v/>
      </c>
      <c r="J621" s="26">
        <f>IFERROR(IF(OR(E621="",INDEX(E:E,MATCH(DATE(YEAR($A621)-1,MONTH($A621),DAY($A621)),$A:$A,0))=""),"",E621/INDEX(E:E,MATCH(DATE(YEAR($A621)-1,MONTH($A621),DAY($A621)),$A:$A,0))-1),"")</f>
        <v/>
      </c>
      <c r="K621" s="19">
        <f>IFERROR(IF(OR(F621="",INDEX(F:F,MATCH(DATE(YEAR($A621)-1,MONTH($A621),DAY($A621)),$A:$A,0))=""),"",F621/INDEX(F:F,MATCH(DATE(YEAR($A621)-1,MONTH($A621),DAY($A621)),$A:$A,0))-1),"")</f>
        <v/>
      </c>
      <c r="L621" s="19">
        <f>IFERROR(IF(OR(G621="",INDEX(G:G,MATCH(DATE(YEAR($A621)-1,MONTH($A621),DAY($A621)),$A:$A,0))=""),"",G621/INDEX(G:G,MATCH(DATE(YEAR($A621)-1,MONTH($A621),DAY($A621)),$A:$A,0))-1),"")</f>
        <v/>
      </c>
      <c r="M621" s="19">
        <f>IF(OR(E621="",E620=""),"",E621/E620-1)</f>
        <v/>
      </c>
      <c r="N621" s="19">
        <f>IF(OR(F621="",F620=""),"",F621/F620-1)</f>
        <v/>
      </c>
      <c r="O621" s="19">
        <f>IF(OR(G621="",G620=""),"",G621/G620-1)</f>
        <v/>
      </c>
      <c r="P621" s="22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IF(R621="","",P621/R621)</f>
        <v/>
      </c>
      <c r="T621" s="23">
        <f>IF(R621="","",Q621/R621)</f>
        <v/>
      </c>
      <c r="U621" s="24">
        <f>IF(SUMIFS('Daily NSE Equity Options'!$M:$M,'Daily NSE Equity Options'!$A:$A,$A621)=0,"",SUMIFS('Daily NSE Equity Options'!$M:$M,'Daily NSE Equity Options'!$A:$A,$A621))</f>
        <v/>
      </c>
      <c r="V621" s="9">
        <f>IF(SUMIFS('Daily BSE Equity Options'!$M:$M,'Daily BSE Equity Options'!$A:$A,$A621)=0,"",SUMIFS('Daily BSE Equity Options'!$M:$M,'Daily BSE Equity Options'!$A:$A,$A621))</f>
        <v/>
      </c>
      <c r="W621" s="9">
        <f>IF(OR(U621="",V621=""),"",U621+V621)</f>
        <v/>
      </c>
      <c r="X621" s="25">
        <f>IF(W621="","",U621/W621)</f>
        <v/>
      </c>
      <c r="Y621" s="25">
        <f>IF(W621="","",V621/W621)</f>
        <v/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19">
        <f>IF(G622="","",E622/G622)</f>
        <v/>
      </c>
      <c r="I622" s="19">
        <f>IF(G622="","",F622/G622)</f>
        <v/>
      </c>
      <c r="J622" s="26">
        <f>IFERROR(IF(OR(E622="",INDEX(E:E,MATCH(DATE(YEAR($A622)-1,MONTH($A622),DAY($A622)),$A:$A,0))=""),"",E622/INDEX(E:E,MATCH(DATE(YEAR($A622)-1,MONTH($A622),DAY($A622)),$A:$A,0))-1),"")</f>
        <v/>
      </c>
      <c r="K622" s="19">
        <f>IFERROR(IF(OR(F622="",INDEX(F:F,MATCH(DATE(YEAR($A622)-1,MONTH($A622),DAY($A622)),$A:$A,0))=""),"",F622/INDEX(F:F,MATCH(DATE(YEAR($A622)-1,MONTH($A622),DAY($A622)),$A:$A,0))-1),"")</f>
        <v/>
      </c>
      <c r="L622" s="19">
        <f>IFERROR(IF(OR(G622="",INDEX(G:G,MATCH(DATE(YEAR($A622)-1,MONTH($A622),DAY($A622)),$A:$A,0))=""),"",G622/INDEX(G:G,MATCH(DATE(YEAR($A622)-1,MONTH($A622),DAY($A622)),$A:$A,0))-1),"")</f>
        <v/>
      </c>
      <c r="M622" s="19">
        <f>IF(OR(E622="",E621=""),"",E622/E621-1)</f>
        <v/>
      </c>
      <c r="N622" s="19">
        <f>IF(OR(F622="",F621=""),"",F622/F621-1)</f>
        <v/>
      </c>
      <c r="O622" s="19">
        <f>IF(OR(G622="",G621=""),"",G622/G621-1)</f>
        <v/>
      </c>
      <c r="P622" s="22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IF(R622="","",P622/R622)</f>
        <v/>
      </c>
      <c r="T622" s="23">
        <f>IF(R622="","",Q622/R622)</f>
        <v/>
      </c>
      <c r="U622" s="24">
        <f>IF(SUMIFS('Daily NSE Equity Options'!$M:$M,'Daily NSE Equity Options'!$A:$A,$A622)=0,"",SUMIFS('Daily NSE Equity Options'!$M:$M,'Daily NSE Equity Options'!$A:$A,$A622))</f>
        <v/>
      </c>
      <c r="V622" s="9">
        <f>IF(SUMIFS('Daily BSE Equity Options'!$M:$M,'Daily BSE Equity Options'!$A:$A,$A622)=0,"",SUMIFS('Daily BSE Equity Options'!$M:$M,'Daily BSE Equity Options'!$A:$A,$A622))</f>
        <v/>
      </c>
      <c r="W622" s="9">
        <f>IF(OR(U622="",V622=""),"",U622+V622)</f>
        <v/>
      </c>
      <c r="X622" s="25">
        <f>IF(W622="","",U622/W622)</f>
        <v/>
      </c>
      <c r="Y622" s="25">
        <f>IF(W622="","",V622/W622)</f>
        <v/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19">
        <f>IF(G623="","",E623/G623)</f>
        <v/>
      </c>
      <c r="I623" s="19">
        <f>IF(G623="","",F623/G623)</f>
        <v/>
      </c>
      <c r="J623" s="26">
        <f>IFERROR(IF(OR(E623="",INDEX(E:E,MATCH(DATE(YEAR($A623)-1,MONTH($A623),DAY($A623)),$A:$A,0))=""),"",E623/INDEX(E:E,MATCH(DATE(YEAR($A623)-1,MONTH($A623),DAY($A623)),$A:$A,0))-1),"")</f>
        <v/>
      </c>
      <c r="K623" s="19">
        <f>IFERROR(IF(OR(F623="",INDEX(F:F,MATCH(DATE(YEAR($A623)-1,MONTH($A623),DAY($A623)),$A:$A,0))=""),"",F623/INDEX(F:F,MATCH(DATE(YEAR($A623)-1,MONTH($A623),DAY($A623)),$A:$A,0))-1),"")</f>
        <v/>
      </c>
      <c r="L623" s="19">
        <f>IFERROR(IF(OR(G623="",INDEX(G:G,MATCH(DATE(YEAR($A623)-1,MONTH($A623),DAY($A623)),$A:$A,0))=""),"",G623/INDEX(G:G,MATCH(DATE(YEAR($A623)-1,MONTH($A623),DAY($A623)),$A:$A,0))-1),"")</f>
        <v/>
      </c>
      <c r="M623" s="19">
        <f>IF(OR(E623="",E622=""),"",E623/E622-1)</f>
        <v/>
      </c>
      <c r="N623" s="19">
        <f>IF(OR(F623="",F622=""),"",F623/F622-1)</f>
        <v/>
      </c>
      <c r="O623" s="19">
        <f>IF(OR(G623="",G622=""),"",G623/G622-1)</f>
        <v/>
      </c>
      <c r="P623" s="22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IF(R623="","",P623/R623)</f>
        <v/>
      </c>
      <c r="T623" s="23">
        <f>IF(R623="","",Q623/R623)</f>
        <v/>
      </c>
      <c r="U623" s="24">
        <f>IF(SUMIFS('Daily NSE Equity Options'!$M:$M,'Daily NSE Equity Options'!$A:$A,$A623)=0,"",SUMIFS('Daily NSE Equity Options'!$M:$M,'Daily NSE Equity Options'!$A:$A,$A623))</f>
        <v/>
      </c>
      <c r="V623" s="9">
        <f>IF(SUMIFS('Daily BSE Equity Options'!$M:$M,'Daily BSE Equity Options'!$A:$A,$A623)=0,"",SUMIFS('Daily BSE Equity Options'!$M:$M,'Daily BSE Equity Options'!$A:$A,$A623))</f>
        <v/>
      </c>
      <c r="W623" s="9">
        <f>IF(OR(U623="",V623=""),"",U623+V623)</f>
        <v/>
      </c>
      <c r="X623" s="25">
        <f>IF(W623="","",U623/W623)</f>
        <v/>
      </c>
      <c r="Y623" s="25">
        <f>IF(W623="","",V623/W623)</f>
        <v/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19">
        <f>IF(G624="","",E624/G624)</f>
        <v/>
      </c>
      <c r="I624" s="19">
        <f>IF(G624="","",F624/G624)</f>
        <v/>
      </c>
      <c r="J624" s="26">
        <f>IFERROR(IF(OR(E624="",INDEX(E:E,MATCH(DATE(YEAR($A624)-1,MONTH($A624),DAY($A624)),$A:$A,0))=""),"",E624/INDEX(E:E,MATCH(DATE(YEAR($A624)-1,MONTH($A624),DAY($A624)),$A:$A,0))-1),"")</f>
        <v/>
      </c>
      <c r="K624" s="19">
        <f>IFERROR(IF(OR(F624="",INDEX(F:F,MATCH(DATE(YEAR($A624)-1,MONTH($A624),DAY($A624)),$A:$A,0))=""),"",F624/INDEX(F:F,MATCH(DATE(YEAR($A624)-1,MONTH($A624),DAY($A624)),$A:$A,0))-1),"")</f>
        <v/>
      </c>
      <c r="L624" s="19">
        <f>IFERROR(IF(OR(G624="",INDEX(G:G,MATCH(DATE(YEAR($A624)-1,MONTH($A624),DAY($A624)),$A:$A,0))=""),"",G624/INDEX(G:G,MATCH(DATE(YEAR($A624)-1,MONTH($A624),DAY($A624)),$A:$A,0))-1),"")</f>
        <v/>
      </c>
      <c r="M624" s="19">
        <f>IF(OR(E624="",E623=""),"",E624/E623-1)</f>
        <v/>
      </c>
      <c r="N624" s="19">
        <f>IF(OR(F624="",F623=""),"",F624/F623-1)</f>
        <v/>
      </c>
      <c r="O624" s="19">
        <f>IF(OR(G624="",G623=""),"",G624/G623-1)</f>
        <v/>
      </c>
      <c r="P624" s="22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IF(R624="","",P624/R624)</f>
        <v/>
      </c>
      <c r="T624" s="23">
        <f>IF(R624="","",Q624/R624)</f>
        <v/>
      </c>
      <c r="U624" s="24">
        <f>IF(SUMIFS('Daily NSE Equity Options'!$M:$M,'Daily NSE Equity Options'!$A:$A,$A624)=0,"",SUMIFS('Daily NSE Equity Options'!$M:$M,'Daily NSE Equity Options'!$A:$A,$A624))</f>
        <v/>
      </c>
      <c r="V624" s="9">
        <f>IF(SUMIFS('Daily BSE Equity Options'!$M:$M,'Daily BSE Equity Options'!$A:$A,$A624)=0,"",SUMIFS('Daily BSE Equity Options'!$M:$M,'Daily BSE Equity Options'!$A:$A,$A624))</f>
        <v/>
      </c>
      <c r="W624" s="9">
        <f>IF(OR(U624="",V624=""),"",U624+V624)</f>
        <v/>
      </c>
      <c r="X624" s="25">
        <f>IF(W624="","",U624/W624)</f>
        <v/>
      </c>
      <c r="Y624" s="25">
        <f>IF(W624="","",V624/W624)</f>
        <v/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19">
        <f>IF(G625="","",E625/G625)</f>
        <v/>
      </c>
      <c r="I625" s="19">
        <f>IF(G625="","",F625/G625)</f>
        <v/>
      </c>
      <c r="J625" s="26">
        <f>IFERROR(IF(OR(E625="",INDEX(E:E,MATCH(DATE(YEAR($A625)-1,MONTH($A625),DAY($A625)),$A:$A,0))=""),"",E625/INDEX(E:E,MATCH(DATE(YEAR($A625)-1,MONTH($A625),DAY($A625)),$A:$A,0))-1),"")</f>
        <v/>
      </c>
      <c r="K625" s="19">
        <f>IFERROR(IF(OR(F625="",INDEX(F:F,MATCH(DATE(YEAR($A625)-1,MONTH($A625),DAY($A625)),$A:$A,0))=""),"",F625/INDEX(F:F,MATCH(DATE(YEAR($A625)-1,MONTH($A625),DAY($A625)),$A:$A,0))-1),"")</f>
        <v/>
      </c>
      <c r="L625" s="19">
        <f>IFERROR(IF(OR(G625="",INDEX(G:G,MATCH(DATE(YEAR($A625)-1,MONTH($A625),DAY($A625)),$A:$A,0))=""),"",G625/INDEX(G:G,MATCH(DATE(YEAR($A625)-1,MONTH($A625),DAY($A625)),$A:$A,0))-1),"")</f>
        <v/>
      </c>
      <c r="M625" s="19">
        <f>IF(OR(E625="",E624=""),"",E625/E624-1)</f>
        <v/>
      </c>
      <c r="N625" s="19">
        <f>IF(OR(F625="",F624=""),"",F625/F624-1)</f>
        <v/>
      </c>
      <c r="O625" s="19">
        <f>IF(OR(G625="",G624=""),"",G625/G624-1)</f>
        <v/>
      </c>
      <c r="P625" s="22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IF(R625="","",P625/R625)</f>
        <v/>
      </c>
      <c r="T625" s="23">
        <f>IF(R625="","",Q625/R625)</f>
        <v/>
      </c>
      <c r="U625" s="24">
        <f>IF(SUMIFS('Daily NSE Equity Options'!$M:$M,'Daily NSE Equity Options'!$A:$A,$A625)=0,"",SUMIFS('Daily NSE Equity Options'!$M:$M,'Daily NSE Equity Options'!$A:$A,$A625))</f>
        <v/>
      </c>
      <c r="V625" s="9">
        <f>IF(SUMIFS('Daily BSE Equity Options'!$M:$M,'Daily BSE Equity Options'!$A:$A,$A625)=0,"",SUMIFS('Daily BSE Equity Options'!$M:$M,'Daily BSE Equity Options'!$A:$A,$A625))</f>
        <v/>
      </c>
      <c r="W625" s="9">
        <f>IF(OR(U625="",V625=""),"",U625+V625)</f>
        <v/>
      </c>
      <c r="X625" s="25">
        <f>IF(W625="","",U625/W625)</f>
        <v/>
      </c>
      <c r="Y625" s="25">
        <f>IF(W625="","",V625/W625)</f>
        <v/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19">
        <f>IF(G626="","",E626/G626)</f>
        <v/>
      </c>
      <c r="I626" s="19">
        <f>IF(G626="","",F626/G626)</f>
        <v/>
      </c>
      <c r="J626" s="26">
        <f>IFERROR(IF(OR(E626="",INDEX(E:E,MATCH(DATE(YEAR($A626)-1,MONTH($A626),DAY($A626)),$A:$A,0))=""),"",E626/INDEX(E:E,MATCH(DATE(YEAR($A626)-1,MONTH($A626),DAY($A626)),$A:$A,0))-1),"")</f>
        <v/>
      </c>
      <c r="K626" s="19">
        <f>IFERROR(IF(OR(F626="",INDEX(F:F,MATCH(DATE(YEAR($A626)-1,MONTH($A626),DAY($A626)),$A:$A,0))=""),"",F626/INDEX(F:F,MATCH(DATE(YEAR($A626)-1,MONTH($A626),DAY($A626)),$A:$A,0))-1),"")</f>
        <v/>
      </c>
      <c r="L626" s="19">
        <f>IFERROR(IF(OR(G626="",INDEX(G:G,MATCH(DATE(YEAR($A626)-1,MONTH($A626),DAY($A626)),$A:$A,0))=""),"",G626/INDEX(G:G,MATCH(DATE(YEAR($A626)-1,MONTH($A626),DAY($A626)),$A:$A,0))-1),"")</f>
        <v/>
      </c>
      <c r="M626" s="19">
        <f>IF(OR(E626="",E625=""),"",E626/E625-1)</f>
        <v/>
      </c>
      <c r="N626" s="19">
        <f>IF(OR(F626="",F625=""),"",F626/F625-1)</f>
        <v/>
      </c>
      <c r="O626" s="19">
        <f>IF(OR(G626="",G625=""),"",G626/G625-1)</f>
        <v/>
      </c>
      <c r="P626" s="22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IF(R626="","",P626/R626)</f>
        <v/>
      </c>
      <c r="T626" s="23">
        <f>IF(R626="","",Q626/R626)</f>
        <v/>
      </c>
      <c r="U626" s="24">
        <f>IF(SUMIFS('Daily NSE Equity Options'!$M:$M,'Daily NSE Equity Options'!$A:$A,$A626)=0,"",SUMIFS('Daily NSE Equity Options'!$M:$M,'Daily NSE Equity Options'!$A:$A,$A626))</f>
        <v/>
      </c>
      <c r="V626" s="9">
        <f>IF(SUMIFS('Daily BSE Equity Options'!$M:$M,'Daily BSE Equity Options'!$A:$A,$A626)=0,"",SUMIFS('Daily BSE Equity Options'!$M:$M,'Daily BSE Equity Options'!$A:$A,$A626))</f>
        <v/>
      </c>
      <c r="W626" s="9">
        <f>IF(OR(U626="",V626=""),"",U626+V626)</f>
        <v/>
      </c>
      <c r="X626" s="25">
        <f>IF(W626="","",U626/W626)</f>
        <v/>
      </c>
      <c r="Y626" s="25">
        <f>IF(W626="","",V626/W626)</f>
        <v/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19">
        <f>IF(G627="","",E627/G627)</f>
        <v/>
      </c>
      <c r="I627" s="19">
        <f>IF(G627="","",F627/G627)</f>
        <v/>
      </c>
      <c r="J627" s="26">
        <f>IFERROR(IF(OR(E627="",INDEX(E:E,MATCH(DATE(YEAR($A627)-1,MONTH($A627),DAY($A627)),$A:$A,0))=""),"",E627/INDEX(E:E,MATCH(DATE(YEAR($A627)-1,MONTH($A627),DAY($A627)),$A:$A,0))-1),"")</f>
        <v/>
      </c>
      <c r="K627" s="19">
        <f>IFERROR(IF(OR(F627="",INDEX(F:F,MATCH(DATE(YEAR($A627)-1,MONTH($A627),DAY($A627)),$A:$A,0))=""),"",F627/INDEX(F:F,MATCH(DATE(YEAR($A627)-1,MONTH($A627),DAY($A627)),$A:$A,0))-1),"")</f>
        <v/>
      </c>
      <c r="L627" s="19">
        <f>IFERROR(IF(OR(G627="",INDEX(G:G,MATCH(DATE(YEAR($A627)-1,MONTH($A627),DAY($A627)),$A:$A,0))=""),"",G627/INDEX(G:G,MATCH(DATE(YEAR($A627)-1,MONTH($A627),DAY($A627)),$A:$A,0))-1),"")</f>
        <v/>
      </c>
      <c r="M627" s="19">
        <f>IF(OR(E627="",E626=""),"",E627/E626-1)</f>
        <v/>
      </c>
      <c r="N627" s="19">
        <f>IF(OR(F627="",F626=""),"",F627/F626-1)</f>
        <v/>
      </c>
      <c r="O627" s="19">
        <f>IF(OR(G627="",G626=""),"",G627/G626-1)</f>
        <v/>
      </c>
      <c r="P627" s="22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IF(R627="","",P627/R627)</f>
        <v/>
      </c>
      <c r="T627" s="23">
        <f>IF(R627="","",Q627/R627)</f>
        <v/>
      </c>
      <c r="U627" s="24">
        <f>IF(SUMIFS('Daily NSE Equity Options'!$M:$M,'Daily NSE Equity Options'!$A:$A,$A627)=0,"",SUMIFS('Daily NSE Equity Options'!$M:$M,'Daily NSE Equity Options'!$A:$A,$A627))</f>
        <v/>
      </c>
      <c r="V627" s="9">
        <f>IF(SUMIFS('Daily BSE Equity Options'!$M:$M,'Daily BSE Equity Options'!$A:$A,$A627)=0,"",SUMIFS('Daily BSE Equity Options'!$M:$M,'Daily BSE Equity Options'!$A:$A,$A627))</f>
        <v/>
      </c>
      <c r="W627" s="9">
        <f>IF(OR(U627="",V627=""),"",U627+V627)</f>
        <v/>
      </c>
      <c r="X627" s="25">
        <f>IF(W627="","",U627/W627)</f>
        <v/>
      </c>
      <c r="Y627" s="25">
        <f>IF(W627="","",V627/W627)</f>
        <v/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19">
        <f>IF(G628="","",E628/G628)</f>
        <v/>
      </c>
      <c r="I628" s="19">
        <f>IF(G628="","",F628/G628)</f>
        <v/>
      </c>
      <c r="J628" s="26">
        <f>IFERROR(IF(OR(E628="",INDEX(E:E,MATCH(DATE(YEAR($A628)-1,MONTH($A628),DAY($A628)),$A:$A,0))=""),"",E628/INDEX(E:E,MATCH(DATE(YEAR($A628)-1,MONTH($A628),DAY($A628)),$A:$A,0))-1),"")</f>
        <v/>
      </c>
      <c r="K628" s="19">
        <f>IFERROR(IF(OR(F628="",INDEX(F:F,MATCH(DATE(YEAR($A628)-1,MONTH($A628),DAY($A628)),$A:$A,0))=""),"",F628/INDEX(F:F,MATCH(DATE(YEAR($A628)-1,MONTH($A628),DAY($A628)),$A:$A,0))-1),"")</f>
        <v/>
      </c>
      <c r="L628" s="19">
        <f>IFERROR(IF(OR(G628="",INDEX(G:G,MATCH(DATE(YEAR($A628)-1,MONTH($A628),DAY($A628)),$A:$A,0))=""),"",G628/INDEX(G:G,MATCH(DATE(YEAR($A628)-1,MONTH($A628),DAY($A628)),$A:$A,0))-1),"")</f>
        <v/>
      </c>
      <c r="M628" s="19">
        <f>IF(OR(E628="",E627=""),"",E628/E627-1)</f>
        <v/>
      </c>
      <c r="N628" s="19">
        <f>IF(OR(F628="",F627=""),"",F628/F627-1)</f>
        <v/>
      </c>
      <c r="O628" s="19">
        <f>IF(OR(G628="",G627=""),"",G628/G627-1)</f>
        <v/>
      </c>
      <c r="P628" s="22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IF(R628="","",P628/R628)</f>
        <v/>
      </c>
      <c r="T628" s="23">
        <f>IF(R628="","",Q628/R628)</f>
        <v/>
      </c>
      <c r="U628" s="24">
        <f>IF(SUMIFS('Daily NSE Equity Options'!$M:$M,'Daily NSE Equity Options'!$A:$A,$A628)=0,"",SUMIFS('Daily NSE Equity Options'!$M:$M,'Daily NSE Equity Options'!$A:$A,$A628))</f>
        <v/>
      </c>
      <c r="V628" s="9">
        <f>IF(SUMIFS('Daily BSE Equity Options'!$M:$M,'Daily BSE Equity Options'!$A:$A,$A628)=0,"",SUMIFS('Daily BSE Equity Options'!$M:$M,'Daily BSE Equity Options'!$A:$A,$A628))</f>
        <v/>
      </c>
      <c r="W628" s="9">
        <f>IF(OR(U628="",V628=""),"",U628+V628)</f>
        <v/>
      </c>
      <c r="X628" s="25">
        <f>IF(W628="","",U628/W628)</f>
        <v/>
      </c>
      <c r="Y628" s="25">
        <f>IF(W628="","",V628/W628)</f>
        <v/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19">
        <f>IF(G629="","",E629/G629)</f>
        <v/>
      </c>
      <c r="I629" s="19">
        <f>IF(G629="","",F629/G629)</f>
        <v/>
      </c>
      <c r="J629" s="26">
        <f>IFERROR(IF(OR(E629="",INDEX(E:E,MATCH(DATE(YEAR($A629)-1,MONTH($A629),DAY($A629)),$A:$A,0))=""),"",E629/INDEX(E:E,MATCH(DATE(YEAR($A629)-1,MONTH($A629),DAY($A629)),$A:$A,0))-1),"")</f>
        <v/>
      </c>
      <c r="K629" s="19">
        <f>IFERROR(IF(OR(F629="",INDEX(F:F,MATCH(DATE(YEAR($A629)-1,MONTH($A629),DAY($A629)),$A:$A,0))=""),"",F629/INDEX(F:F,MATCH(DATE(YEAR($A629)-1,MONTH($A629),DAY($A629)),$A:$A,0))-1),"")</f>
        <v/>
      </c>
      <c r="L629" s="19">
        <f>IFERROR(IF(OR(G629="",INDEX(G:G,MATCH(DATE(YEAR($A629)-1,MONTH($A629),DAY($A629)),$A:$A,0))=""),"",G629/INDEX(G:G,MATCH(DATE(YEAR($A629)-1,MONTH($A629),DAY($A629)),$A:$A,0))-1),"")</f>
        <v/>
      </c>
      <c r="M629" s="19">
        <f>IF(OR(E629="",E628=""),"",E629/E628-1)</f>
        <v/>
      </c>
      <c r="N629" s="19">
        <f>IF(OR(F629="",F628=""),"",F629/F628-1)</f>
        <v/>
      </c>
      <c r="O629" s="19">
        <f>IF(OR(G629="",G628=""),"",G629/G628-1)</f>
        <v/>
      </c>
      <c r="P629" s="22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IF(R629="","",P629/R629)</f>
        <v/>
      </c>
      <c r="T629" s="23">
        <f>IF(R629="","",Q629/R629)</f>
        <v/>
      </c>
      <c r="U629" s="24">
        <f>IF(SUMIFS('Daily NSE Equity Options'!$M:$M,'Daily NSE Equity Options'!$A:$A,$A629)=0,"",SUMIFS('Daily NSE Equity Options'!$M:$M,'Daily NSE Equity Options'!$A:$A,$A629))</f>
        <v/>
      </c>
      <c r="V629" s="9">
        <f>IF(SUMIFS('Daily BSE Equity Options'!$M:$M,'Daily BSE Equity Options'!$A:$A,$A629)=0,"",SUMIFS('Daily BSE Equity Options'!$M:$M,'Daily BSE Equity Options'!$A:$A,$A629))</f>
        <v/>
      </c>
      <c r="W629" s="9">
        <f>IF(OR(U629="",V629=""),"",U629+V629)</f>
        <v/>
      </c>
      <c r="X629" s="25">
        <f>IF(W629="","",U629/W629)</f>
        <v/>
      </c>
      <c r="Y629" s="25">
        <f>IF(W629="","",V629/W629)</f>
        <v/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19">
        <f>IF(G630="","",E630/G630)</f>
        <v/>
      </c>
      <c r="I630" s="19">
        <f>IF(G630="","",F630/G630)</f>
        <v/>
      </c>
      <c r="J630" s="26">
        <f>IFERROR(IF(OR(E630="",INDEX(E:E,MATCH(DATE(YEAR($A630)-1,MONTH($A630),DAY($A630)),$A:$A,0))=""),"",E630/INDEX(E:E,MATCH(DATE(YEAR($A630)-1,MONTH($A630),DAY($A630)),$A:$A,0))-1),"")</f>
        <v/>
      </c>
      <c r="K630" s="19">
        <f>IFERROR(IF(OR(F630="",INDEX(F:F,MATCH(DATE(YEAR($A630)-1,MONTH($A630),DAY($A630)),$A:$A,0))=""),"",F630/INDEX(F:F,MATCH(DATE(YEAR($A630)-1,MONTH($A630),DAY($A630)),$A:$A,0))-1),"")</f>
        <v/>
      </c>
      <c r="L630" s="19">
        <f>IFERROR(IF(OR(G630="",INDEX(G:G,MATCH(DATE(YEAR($A630)-1,MONTH($A630),DAY($A630)),$A:$A,0))=""),"",G630/INDEX(G:G,MATCH(DATE(YEAR($A630)-1,MONTH($A630),DAY($A630)),$A:$A,0))-1),"")</f>
        <v/>
      </c>
      <c r="M630" s="19">
        <f>IF(OR(E630="",E629=""),"",E630/E629-1)</f>
        <v/>
      </c>
      <c r="N630" s="19">
        <f>IF(OR(F630="",F629=""),"",F630/F629-1)</f>
        <v/>
      </c>
      <c r="O630" s="19">
        <f>IF(OR(G630="",G629=""),"",G630/G629-1)</f>
        <v/>
      </c>
      <c r="P630" s="22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IF(R630="","",P630/R630)</f>
        <v/>
      </c>
      <c r="T630" s="23">
        <f>IF(R630="","",Q630/R630)</f>
        <v/>
      </c>
      <c r="U630" s="24">
        <f>IF(SUMIFS('Daily NSE Equity Options'!$M:$M,'Daily NSE Equity Options'!$A:$A,$A630)=0,"",SUMIFS('Daily NSE Equity Options'!$M:$M,'Daily NSE Equity Options'!$A:$A,$A630))</f>
        <v/>
      </c>
      <c r="V630" s="9">
        <f>IF(SUMIFS('Daily BSE Equity Options'!$M:$M,'Daily BSE Equity Options'!$A:$A,$A630)=0,"",SUMIFS('Daily BSE Equity Options'!$M:$M,'Daily BSE Equity Options'!$A:$A,$A630))</f>
        <v/>
      </c>
      <c r="W630" s="9">
        <f>IF(OR(U630="",V630=""),"",U630+V630)</f>
        <v/>
      </c>
      <c r="X630" s="25">
        <f>IF(W630="","",U630/W630)</f>
        <v/>
      </c>
      <c r="Y630" s="25">
        <f>IF(W630="","",V630/W630)</f>
        <v/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19">
        <f>IF(G631="","",E631/G631)</f>
        <v/>
      </c>
      <c r="I631" s="19">
        <f>IF(G631="","",F631/G631)</f>
        <v/>
      </c>
      <c r="J631" s="26">
        <f>IFERROR(IF(OR(E631="",INDEX(E:E,MATCH(DATE(YEAR($A631)-1,MONTH($A631),DAY($A631)),$A:$A,0))=""),"",E631/INDEX(E:E,MATCH(DATE(YEAR($A631)-1,MONTH($A631),DAY($A631)),$A:$A,0))-1),"")</f>
        <v/>
      </c>
      <c r="K631" s="19">
        <f>IFERROR(IF(OR(F631="",INDEX(F:F,MATCH(DATE(YEAR($A631)-1,MONTH($A631),DAY($A631)),$A:$A,0))=""),"",F631/INDEX(F:F,MATCH(DATE(YEAR($A631)-1,MONTH($A631),DAY($A631)),$A:$A,0))-1),"")</f>
        <v/>
      </c>
      <c r="L631" s="19">
        <f>IFERROR(IF(OR(G631="",INDEX(G:G,MATCH(DATE(YEAR($A631)-1,MONTH($A631),DAY($A631)),$A:$A,0))=""),"",G631/INDEX(G:G,MATCH(DATE(YEAR($A631)-1,MONTH($A631),DAY($A631)),$A:$A,0))-1),"")</f>
        <v/>
      </c>
      <c r="M631" s="19">
        <f>IF(OR(E631="",E630=""),"",E631/E630-1)</f>
        <v/>
      </c>
      <c r="N631" s="19">
        <f>IF(OR(F631="",F630=""),"",F631/F630-1)</f>
        <v/>
      </c>
      <c r="O631" s="19">
        <f>IF(OR(G631="",G630=""),"",G631/G630-1)</f>
        <v/>
      </c>
      <c r="P631" s="22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IF(R631="","",P631/R631)</f>
        <v/>
      </c>
      <c r="T631" s="23">
        <f>IF(R631="","",Q631/R631)</f>
        <v/>
      </c>
      <c r="U631" s="24">
        <f>IF(SUMIFS('Daily NSE Equity Options'!$M:$M,'Daily NSE Equity Options'!$A:$A,$A631)=0,"",SUMIFS('Daily NSE Equity Options'!$M:$M,'Daily NSE Equity Options'!$A:$A,$A631))</f>
        <v/>
      </c>
      <c r="V631" s="9">
        <f>IF(SUMIFS('Daily BSE Equity Options'!$M:$M,'Daily BSE Equity Options'!$A:$A,$A631)=0,"",SUMIFS('Daily BSE Equity Options'!$M:$M,'Daily BSE Equity Options'!$A:$A,$A631))</f>
        <v/>
      </c>
      <c r="W631" s="9">
        <f>IF(OR(U631="",V631=""),"",U631+V631)</f>
        <v/>
      </c>
      <c r="X631" s="25">
        <f>IF(W631="","",U631/W631)</f>
        <v/>
      </c>
      <c r="Y631" s="25">
        <f>IF(W631="","",V631/W631)</f>
        <v/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19">
        <f>IF(G632="","",E632/G632)</f>
        <v/>
      </c>
      <c r="I632" s="19">
        <f>IF(G632="","",F632/G632)</f>
        <v/>
      </c>
      <c r="J632" s="26">
        <f>IFERROR(IF(OR(E632="",INDEX(E:E,MATCH(DATE(YEAR($A632)-1,MONTH($A632),DAY($A632)),$A:$A,0))=""),"",E632/INDEX(E:E,MATCH(DATE(YEAR($A632)-1,MONTH($A632),DAY($A632)),$A:$A,0))-1),"")</f>
        <v/>
      </c>
      <c r="K632" s="19">
        <f>IFERROR(IF(OR(F632="",INDEX(F:F,MATCH(DATE(YEAR($A632)-1,MONTH($A632),DAY($A632)),$A:$A,0))=""),"",F632/INDEX(F:F,MATCH(DATE(YEAR($A632)-1,MONTH($A632),DAY($A632)),$A:$A,0))-1),"")</f>
        <v/>
      </c>
      <c r="L632" s="19">
        <f>IFERROR(IF(OR(G632="",INDEX(G:G,MATCH(DATE(YEAR($A632)-1,MONTH($A632),DAY($A632)),$A:$A,0))=""),"",G632/INDEX(G:G,MATCH(DATE(YEAR($A632)-1,MONTH($A632),DAY($A632)),$A:$A,0))-1),"")</f>
        <v/>
      </c>
      <c r="M632" s="19">
        <f>IF(OR(E632="",E631=""),"",E632/E631-1)</f>
        <v/>
      </c>
      <c r="N632" s="19">
        <f>IF(OR(F632="",F631=""),"",F632/F631-1)</f>
        <v/>
      </c>
      <c r="O632" s="19">
        <f>IF(OR(G632="",G631=""),"",G632/G631-1)</f>
        <v/>
      </c>
      <c r="P632" s="22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IF(R632="","",P632/R632)</f>
        <v/>
      </c>
      <c r="T632" s="23">
        <f>IF(R632="","",Q632/R632)</f>
        <v/>
      </c>
      <c r="U632" s="24">
        <f>IF(SUMIFS('Daily NSE Equity Options'!$M:$M,'Daily NSE Equity Options'!$A:$A,$A632)=0,"",SUMIFS('Daily NSE Equity Options'!$M:$M,'Daily NSE Equity Options'!$A:$A,$A632))</f>
        <v/>
      </c>
      <c r="V632" s="9">
        <f>IF(SUMIFS('Daily BSE Equity Options'!$M:$M,'Daily BSE Equity Options'!$A:$A,$A632)=0,"",SUMIFS('Daily BSE Equity Options'!$M:$M,'Daily BSE Equity Options'!$A:$A,$A632))</f>
        <v/>
      </c>
      <c r="W632" s="9">
        <f>IF(OR(U632="",V632=""),"",U632+V632)</f>
        <v/>
      </c>
      <c r="X632" s="25">
        <f>IF(W632="","",U632/W632)</f>
        <v/>
      </c>
      <c r="Y632" s="25">
        <f>IF(W632="","",V632/W632)</f>
        <v/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19">
        <f>IF(G633="","",E633/G633)</f>
        <v/>
      </c>
      <c r="I633" s="19">
        <f>IF(G633="","",F633/G633)</f>
        <v/>
      </c>
      <c r="J633" s="26">
        <f>IFERROR(IF(OR(E633="",INDEX(E:E,MATCH(DATE(YEAR($A633)-1,MONTH($A633),DAY($A633)),$A:$A,0))=""),"",E633/INDEX(E:E,MATCH(DATE(YEAR($A633)-1,MONTH($A633),DAY($A633)),$A:$A,0))-1),"")</f>
        <v/>
      </c>
      <c r="K633" s="19">
        <f>IFERROR(IF(OR(F633="",INDEX(F:F,MATCH(DATE(YEAR($A633)-1,MONTH($A633),DAY($A633)),$A:$A,0))=""),"",F633/INDEX(F:F,MATCH(DATE(YEAR($A633)-1,MONTH($A633),DAY($A633)),$A:$A,0))-1),"")</f>
        <v/>
      </c>
      <c r="L633" s="19">
        <f>IFERROR(IF(OR(G633="",INDEX(G:G,MATCH(DATE(YEAR($A633)-1,MONTH($A633),DAY($A633)),$A:$A,0))=""),"",G633/INDEX(G:G,MATCH(DATE(YEAR($A633)-1,MONTH($A633),DAY($A633)),$A:$A,0))-1),"")</f>
        <v/>
      </c>
      <c r="M633" s="19">
        <f>IF(OR(E633="",E632=""),"",E633/E632-1)</f>
        <v/>
      </c>
      <c r="N633" s="19">
        <f>IF(OR(F633="",F632=""),"",F633/F632-1)</f>
        <v/>
      </c>
      <c r="O633" s="19">
        <f>IF(OR(G633="",G632=""),"",G633/G632-1)</f>
        <v/>
      </c>
      <c r="P633" s="22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IF(R633="","",P633/R633)</f>
        <v/>
      </c>
      <c r="T633" s="23">
        <f>IF(R633="","",Q633/R633)</f>
        <v/>
      </c>
      <c r="U633" s="24">
        <f>IF(SUMIFS('Daily NSE Equity Options'!$M:$M,'Daily NSE Equity Options'!$A:$A,$A633)=0,"",SUMIFS('Daily NSE Equity Options'!$M:$M,'Daily NSE Equity Options'!$A:$A,$A633))</f>
        <v/>
      </c>
      <c r="V633" s="9">
        <f>IF(SUMIFS('Daily BSE Equity Options'!$M:$M,'Daily BSE Equity Options'!$A:$A,$A633)=0,"",SUMIFS('Daily BSE Equity Options'!$M:$M,'Daily BSE Equity Options'!$A:$A,$A633))</f>
        <v/>
      </c>
      <c r="W633" s="9">
        <f>IF(OR(U633="",V633=""),"",U633+V633)</f>
        <v/>
      </c>
      <c r="X633" s="25">
        <f>IF(W633="","",U633/W633)</f>
        <v/>
      </c>
      <c r="Y633" s="25">
        <f>IF(W633="","",V633/W633)</f>
        <v/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19">
        <f>IF(G634="","",E634/G634)</f>
        <v/>
      </c>
      <c r="I634" s="19">
        <f>IF(G634="","",F634/G634)</f>
        <v/>
      </c>
      <c r="J634" s="26">
        <f>IFERROR(IF(OR(E634="",INDEX(E:E,MATCH(DATE(YEAR($A634)-1,MONTH($A634),DAY($A634)),$A:$A,0))=""),"",E634/INDEX(E:E,MATCH(DATE(YEAR($A634)-1,MONTH($A634),DAY($A634)),$A:$A,0))-1),"")</f>
        <v/>
      </c>
      <c r="K634" s="19">
        <f>IFERROR(IF(OR(F634="",INDEX(F:F,MATCH(DATE(YEAR($A634)-1,MONTH($A634),DAY($A634)),$A:$A,0))=""),"",F634/INDEX(F:F,MATCH(DATE(YEAR($A634)-1,MONTH($A634),DAY($A634)),$A:$A,0))-1),"")</f>
        <v/>
      </c>
      <c r="L634" s="19">
        <f>IFERROR(IF(OR(G634="",INDEX(G:G,MATCH(DATE(YEAR($A634)-1,MONTH($A634),DAY($A634)),$A:$A,0))=""),"",G634/INDEX(G:G,MATCH(DATE(YEAR($A634)-1,MONTH($A634),DAY($A634)),$A:$A,0))-1),"")</f>
        <v/>
      </c>
      <c r="M634" s="19">
        <f>IF(OR(E634="",E633=""),"",E634/E633-1)</f>
        <v/>
      </c>
      <c r="N634" s="19">
        <f>IF(OR(F634="",F633=""),"",F634/F633-1)</f>
        <v/>
      </c>
      <c r="O634" s="19">
        <f>IF(OR(G634="",G633=""),"",G634/G633-1)</f>
        <v/>
      </c>
      <c r="P634" s="22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IF(R634="","",P634/R634)</f>
        <v/>
      </c>
      <c r="T634" s="23">
        <f>IF(R634="","",Q634/R634)</f>
        <v/>
      </c>
      <c r="U634" s="24">
        <f>IF(SUMIFS('Daily NSE Equity Options'!$M:$M,'Daily NSE Equity Options'!$A:$A,$A634)=0,"",SUMIFS('Daily NSE Equity Options'!$M:$M,'Daily NSE Equity Options'!$A:$A,$A634))</f>
        <v/>
      </c>
      <c r="V634" s="9">
        <f>IF(SUMIFS('Daily BSE Equity Options'!$M:$M,'Daily BSE Equity Options'!$A:$A,$A634)=0,"",SUMIFS('Daily BSE Equity Options'!$M:$M,'Daily BSE Equity Options'!$A:$A,$A634))</f>
        <v/>
      </c>
      <c r="W634" s="9">
        <f>IF(OR(U634="",V634=""),"",U634+V634)</f>
        <v/>
      </c>
      <c r="X634" s="25">
        <f>IF(W634="","",U634/W634)</f>
        <v/>
      </c>
      <c r="Y634" s="25">
        <f>IF(W634="","",V634/W634)</f>
        <v/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19">
        <f>IF(G635="","",E635/G635)</f>
        <v/>
      </c>
      <c r="I635" s="19">
        <f>IF(G635="","",F635/G635)</f>
        <v/>
      </c>
      <c r="J635" s="26">
        <f>IFERROR(IF(OR(E635="",INDEX(E:E,MATCH(DATE(YEAR($A635)-1,MONTH($A635),DAY($A635)),$A:$A,0))=""),"",E635/INDEX(E:E,MATCH(DATE(YEAR($A635)-1,MONTH($A635),DAY($A635)),$A:$A,0))-1),"")</f>
        <v/>
      </c>
      <c r="K635" s="19">
        <f>IFERROR(IF(OR(F635="",INDEX(F:F,MATCH(DATE(YEAR($A635)-1,MONTH($A635),DAY($A635)),$A:$A,0))=""),"",F635/INDEX(F:F,MATCH(DATE(YEAR($A635)-1,MONTH($A635),DAY($A635)),$A:$A,0))-1),"")</f>
        <v/>
      </c>
      <c r="L635" s="19">
        <f>IFERROR(IF(OR(G635="",INDEX(G:G,MATCH(DATE(YEAR($A635)-1,MONTH($A635),DAY($A635)),$A:$A,0))=""),"",G635/INDEX(G:G,MATCH(DATE(YEAR($A635)-1,MONTH($A635),DAY($A635)),$A:$A,0))-1),"")</f>
        <v/>
      </c>
      <c r="M635" s="19">
        <f>IF(OR(E635="",E634=""),"",E635/E634-1)</f>
        <v/>
      </c>
      <c r="N635" s="19">
        <f>IF(OR(F635="",F634=""),"",F635/F634-1)</f>
        <v/>
      </c>
      <c r="O635" s="19">
        <f>IF(OR(G635="",G634=""),"",G635/G634-1)</f>
        <v/>
      </c>
      <c r="P635" s="22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IF(R635="","",P635/R635)</f>
        <v/>
      </c>
      <c r="T635" s="23">
        <f>IF(R635="","",Q635/R635)</f>
        <v/>
      </c>
      <c r="U635" s="24">
        <f>IF(SUMIFS('Daily NSE Equity Options'!$M:$M,'Daily NSE Equity Options'!$A:$A,$A635)=0,"",SUMIFS('Daily NSE Equity Options'!$M:$M,'Daily NSE Equity Options'!$A:$A,$A635))</f>
        <v/>
      </c>
      <c r="V635" s="9">
        <f>IF(SUMIFS('Daily BSE Equity Options'!$M:$M,'Daily BSE Equity Options'!$A:$A,$A635)=0,"",SUMIFS('Daily BSE Equity Options'!$M:$M,'Daily BSE Equity Options'!$A:$A,$A635))</f>
        <v/>
      </c>
      <c r="W635" s="9">
        <f>IF(OR(U635="",V635=""),"",U635+V635)</f>
        <v/>
      </c>
      <c r="X635" s="25">
        <f>IF(W635="","",U635/W635)</f>
        <v/>
      </c>
      <c r="Y635" s="25">
        <f>IF(W635="","",V635/W635)</f>
        <v/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19">
        <f>IF(G636="","",E636/G636)</f>
        <v/>
      </c>
      <c r="I636" s="19">
        <f>IF(G636="","",F636/G636)</f>
        <v/>
      </c>
      <c r="J636" s="26">
        <f>IFERROR(IF(OR(E636="",INDEX(E:E,MATCH(DATE(YEAR($A636)-1,MONTH($A636),DAY($A636)),$A:$A,0))=""),"",E636/INDEX(E:E,MATCH(DATE(YEAR($A636)-1,MONTH($A636),DAY($A636)),$A:$A,0))-1),"")</f>
        <v/>
      </c>
      <c r="K636" s="19">
        <f>IFERROR(IF(OR(F636="",INDEX(F:F,MATCH(DATE(YEAR($A636)-1,MONTH($A636),DAY($A636)),$A:$A,0))=""),"",F636/INDEX(F:F,MATCH(DATE(YEAR($A636)-1,MONTH($A636),DAY($A636)),$A:$A,0))-1),"")</f>
        <v/>
      </c>
      <c r="L636" s="19">
        <f>IFERROR(IF(OR(G636="",INDEX(G:G,MATCH(DATE(YEAR($A636)-1,MONTH($A636),DAY($A636)),$A:$A,0))=""),"",G636/INDEX(G:G,MATCH(DATE(YEAR($A636)-1,MONTH($A636),DAY($A636)),$A:$A,0))-1),"")</f>
        <v/>
      </c>
      <c r="M636" s="19">
        <f>IF(OR(E636="",E635=""),"",E636/E635-1)</f>
        <v/>
      </c>
      <c r="N636" s="19">
        <f>IF(OR(F636="",F635=""),"",F636/F635-1)</f>
        <v/>
      </c>
      <c r="O636" s="19">
        <f>IF(OR(G636="",G635=""),"",G636/G635-1)</f>
        <v/>
      </c>
      <c r="P636" s="22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IF(R636="","",P636/R636)</f>
        <v/>
      </c>
      <c r="T636" s="23">
        <f>IF(R636="","",Q636/R636)</f>
        <v/>
      </c>
      <c r="U636" s="24">
        <f>IF(SUMIFS('Daily NSE Equity Options'!$M:$M,'Daily NSE Equity Options'!$A:$A,$A636)=0,"",SUMIFS('Daily NSE Equity Options'!$M:$M,'Daily NSE Equity Options'!$A:$A,$A636))</f>
        <v/>
      </c>
      <c r="V636" s="9">
        <f>IF(SUMIFS('Daily BSE Equity Options'!$M:$M,'Daily BSE Equity Options'!$A:$A,$A636)=0,"",SUMIFS('Daily BSE Equity Options'!$M:$M,'Daily BSE Equity Options'!$A:$A,$A636))</f>
        <v/>
      </c>
      <c r="W636" s="9">
        <f>IF(OR(U636="",V636=""),"",U636+V636)</f>
        <v/>
      </c>
      <c r="X636" s="25">
        <f>IF(W636="","",U636/W636)</f>
        <v/>
      </c>
      <c r="Y636" s="25">
        <f>IF(W636="","",V636/W636)</f>
        <v/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19">
        <f>IF(G637="","",E637/G637)</f>
        <v/>
      </c>
      <c r="I637" s="19">
        <f>IF(G637="","",F637/G637)</f>
        <v/>
      </c>
      <c r="J637" s="26">
        <f>IFERROR(IF(OR(E637="",INDEX(E:E,MATCH(DATE(YEAR($A637)-1,MONTH($A637),DAY($A637)),$A:$A,0))=""),"",E637/INDEX(E:E,MATCH(DATE(YEAR($A637)-1,MONTH($A637),DAY($A637)),$A:$A,0))-1),"")</f>
        <v/>
      </c>
      <c r="K637" s="19">
        <f>IFERROR(IF(OR(F637="",INDEX(F:F,MATCH(DATE(YEAR($A637)-1,MONTH($A637),DAY($A637)),$A:$A,0))=""),"",F637/INDEX(F:F,MATCH(DATE(YEAR($A637)-1,MONTH($A637),DAY($A637)),$A:$A,0))-1),"")</f>
        <v/>
      </c>
      <c r="L637" s="19">
        <f>IFERROR(IF(OR(G637="",INDEX(G:G,MATCH(DATE(YEAR($A637)-1,MONTH($A637),DAY($A637)),$A:$A,0))=""),"",G637/INDEX(G:G,MATCH(DATE(YEAR($A637)-1,MONTH($A637),DAY($A637)),$A:$A,0))-1),"")</f>
        <v/>
      </c>
      <c r="M637" s="19">
        <f>IF(OR(E637="",E636=""),"",E637/E636-1)</f>
        <v/>
      </c>
      <c r="N637" s="19">
        <f>IF(OR(F637="",F636=""),"",F637/F636-1)</f>
        <v/>
      </c>
      <c r="O637" s="19">
        <f>IF(OR(G637="",G636=""),"",G637/G636-1)</f>
        <v/>
      </c>
      <c r="P637" s="22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IF(R637="","",P637/R637)</f>
        <v/>
      </c>
      <c r="T637" s="23">
        <f>IF(R637="","",Q637/R637)</f>
        <v/>
      </c>
      <c r="U637" s="24">
        <f>IF(SUMIFS('Daily NSE Equity Options'!$M:$M,'Daily NSE Equity Options'!$A:$A,$A637)=0,"",SUMIFS('Daily NSE Equity Options'!$M:$M,'Daily NSE Equity Options'!$A:$A,$A637))</f>
        <v/>
      </c>
      <c r="V637" s="9">
        <f>IF(SUMIFS('Daily BSE Equity Options'!$M:$M,'Daily BSE Equity Options'!$A:$A,$A637)=0,"",SUMIFS('Daily BSE Equity Options'!$M:$M,'Daily BSE Equity Options'!$A:$A,$A637))</f>
        <v/>
      </c>
      <c r="W637" s="9">
        <f>IF(OR(U637="",V637=""),"",U637+V637)</f>
        <v/>
      </c>
      <c r="X637" s="25">
        <f>IF(W637="","",U637/W637)</f>
        <v/>
      </c>
      <c r="Y637" s="25">
        <f>IF(W637="","",V637/W637)</f>
        <v/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19">
        <f>IF(G638="","",E638/G638)</f>
        <v/>
      </c>
      <c r="I638" s="19">
        <f>IF(G638="","",F638/G638)</f>
        <v/>
      </c>
      <c r="J638" s="26">
        <f>IFERROR(IF(OR(E638="",INDEX(E:E,MATCH(DATE(YEAR($A638)-1,MONTH($A638),DAY($A638)),$A:$A,0))=""),"",E638/INDEX(E:E,MATCH(DATE(YEAR($A638)-1,MONTH($A638),DAY($A638)),$A:$A,0))-1),"")</f>
        <v/>
      </c>
      <c r="K638" s="19">
        <f>IFERROR(IF(OR(F638="",INDEX(F:F,MATCH(DATE(YEAR($A638)-1,MONTH($A638),DAY($A638)),$A:$A,0))=""),"",F638/INDEX(F:F,MATCH(DATE(YEAR($A638)-1,MONTH($A638),DAY($A638)),$A:$A,0))-1),"")</f>
        <v/>
      </c>
      <c r="L638" s="19">
        <f>IFERROR(IF(OR(G638="",INDEX(G:G,MATCH(DATE(YEAR($A638)-1,MONTH($A638),DAY($A638)),$A:$A,0))=""),"",G638/INDEX(G:G,MATCH(DATE(YEAR($A638)-1,MONTH($A638),DAY($A638)),$A:$A,0))-1),"")</f>
        <v/>
      </c>
      <c r="M638" s="19">
        <f>IF(OR(E638="",E637=""),"",E638/E637-1)</f>
        <v/>
      </c>
      <c r="N638" s="19">
        <f>IF(OR(F638="",F637=""),"",F638/F637-1)</f>
        <v/>
      </c>
      <c r="O638" s="19">
        <f>IF(OR(G638="",G637=""),"",G638/G637-1)</f>
        <v/>
      </c>
      <c r="P638" s="22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IF(R638="","",P638/R638)</f>
        <v/>
      </c>
      <c r="T638" s="23">
        <f>IF(R638="","",Q638/R638)</f>
        <v/>
      </c>
      <c r="U638" s="24">
        <f>IF(SUMIFS('Daily NSE Equity Options'!$M:$M,'Daily NSE Equity Options'!$A:$A,$A638)=0,"",SUMIFS('Daily NSE Equity Options'!$M:$M,'Daily NSE Equity Options'!$A:$A,$A638))</f>
        <v/>
      </c>
      <c r="V638" s="9">
        <f>IF(SUMIFS('Daily BSE Equity Options'!$M:$M,'Daily BSE Equity Options'!$A:$A,$A638)=0,"",SUMIFS('Daily BSE Equity Options'!$M:$M,'Daily BSE Equity Options'!$A:$A,$A638))</f>
        <v/>
      </c>
      <c r="W638" s="9">
        <f>IF(OR(U638="",V638=""),"",U638+V638)</f>
        <v/>
      </c>
      <c r="X638" s="25">
        <f>IF(W638="","",U638/W638)</f>
        <v/>
      </c>
      <c r="Y638" s="25">
        <f>IF(W638="","",V638/W638)</f>
        <v/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19">
        <f>IF(G639="","",E639/G639)</f>
        <v/>
      </c>
      <c r="I639" s="19">
        <f>IF(G639="","",F639/G639)</f>
        <v/>
      </c>
      <c r="J639" s="26">
        <f>IFERROR(IF(OR(E639="",INDEX(E:E,MATCH(DATE(YEAR($A639)-1,MONTH($A639),DAY($A639)),$A:$A,0))=""),"",E639/INDEX(E:E,MATCH(DATE(YEAR($A639)-1,MONTH($A639),DAY($A639)),$A:$A,0))-1),"")</f>
        <v/>
      </c>
      <c r="K639" s="19">
        <f>IFERROR(IF(OR(F639="",INDEX(F:F,MATCH(DATE(YEAR($A639)-1,MONTH($A639),DAY($A639)),$A:$A,0))=""),"",F639/INDEX(F:F,MATCH(DATE(YEAR($A639)-1,MONTH($A639),DAY($A639)),$A:$A,0))-1),"")</f>
        <v/>
      </c>
      <c r="L639" s="19">
        <f>IFERROR(IF(OR(G639="",INDEX(G:G,MATCH(DATE(YEAR($A639)-1,MONTH($A639),DAY($A639)),$A:$A,0))=""),"",G639/INDEX(G:G,MATCH(DATE(YEAR($A639)-1,MONTH($A639),DAY($A639)),$A:$A,0))-1),"")</f>
        <v/>
      </c>
      <c r="M639" s="19">
        <f>IF(OR(E639="",E638=""),"",E639/E638-1)</f>
        <v/>
      </c>
      <c r="N639" s="19">
        <f>IF(OR(F639="",F638=""),"",F639/F638-1)</f>
        <v/>
      </c>
      <c r="O639" s="19">
        <f>IF(OR(G639="",G638=""),"",G639/G638-1)</f>
        <v/>
      </c>
      <c r="P639" s="22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IF(R639="","",P639/R639)</f>
        <v/>
      </c>
      <c r="T639" s="23">
        <f>IF(R639="","",Q639/R639)</f>
        <v/>
      </c>
      <c r="U639" s="24">
        <f>IF(SUMIFS('Daily NSE Equity Options'!$M:$M,'Daily NSE Equity Options'!$A:$A,$A639)=0,"",SUMIFS('Daily NSE Equity Options'!$M:$M,'Daily NSE Equity Options'!$A:$A,$A639))</f>
        <v/>
      </c>
      <c r="V639" s="9">
        <f>IF(SUMIFS('Daily BSE Equity Options'!$M:$M,'Daily BSE Equity Options'!$A:$A,$A639)=0,"",SUMIFS('Daily BSE Equity Options'!$M:$M,'Daily BSE Equity Options'!$A:$A,$A639))</f>
        <v/>
      </c>
      <c r="W639" s="9">
        <f>IF(OR(U639="",V639=""),"",U639+V639)</f>
        <v/>
      </c>
      <c r="X639" s="25">
        <f>IF(W639="","",U639/W639)</f>
        <v/>
      </c>
      <c r="Y639" s="25">
        <f>IF(W639="","",V639/W639)</f>
        <v/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19">
        <f>IF(G640="","",E640/G640)</f>
        <v/>
      </c>
      <c r="I640" s="19">
        <f>IF(G640="","",F640/G640)</f>
        <v/>
      </c>
      <c r="J640" s="26">
        <f>IFERROR(IF(OR(E640="",INDEX(E:E,MATCH(DATE(YEAR($A640)-1,MONTH($A640),DAY($A640)),$A:$A,0))=""),"",E640/INDEX(E:E,MATCH(DATE(YEAR($A640)-1,MONTH($A640),DAY($A640)),$A:$A,0))-1),"")</f>
        <v/>
      </c>
      <c r="K640" s="19">
        <f>IFERROR(IF(OR(F640="",INDEX(F:F,MATCH(DATE(YEAR($A640)-1,MONTH($A640),DAY($A640)),$A:$A,0))=""),"",F640/INDEX(F:F,MATCH(DATE(YEAR($A640)-1,MONTH($A640),DAY($A640)),$A:$A,0))-1),"")</f>
        <v/>
      </c>
      <c r="L640" s="19">
        <f>IFERROR(IF(OR(G640="",INDEX(G:G,MATCH(DATE(YEAR($A640)-1,MONTH($A640),DAY($A640)),$A:$A,0))=""),"",G640/INDEX(G:G,MATCH(DATE(YEAR($A640)-1,MONTH($A640),DAY($A640)),$A:$A,0))-1),"")</f>
        <v/>
      </c>
      <c r="M640" s="19">
        <f>IF(OR(E640="",E639=""),"",E640/E639-1)</f>
        <v/>
      </c>
      <c r="N640" s="19">
        <f>IF(OR(F640="",F639=""),"",F640/F639-1)</f>
        <v/>
      </c>
      <c r="O640" s="19">
        <f>IF(OR(G640="",G639=""),"",G640/G639-1)</f>
        <v/>
      </c>
      <c r="P640" s="22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IF(R640="","",P640/R640)</f>
        <v/>
      </c>
      <c r="T640" s="23">
        <f>IF(R640="","",Q640/R640)</f>
        <v/>
      </c>
      <c r="U640" s="24">
        <f>IF(SUMIFS('Daily NSE Equity Options'!$M:$M,'Daily NSE Equity Options'!$A:$A,$A640)=0,"",SUMIFS('Daily NSE Equity Options'!$M:$M,'Daily NSE Equity Options'!$A:$A,$A640))</f>
        <v/>
      </c>
      <c r="V640" s="9">
        <f>IF(SUMIFS('Daily BSE Equity Options'!$M:$M,'Daily BSE Equity Options'!$A:$A,$A640)=0,"",SUMIFS('Daily BSE Equity Options'!$M:$M,'Daily BSE Equity Options'!$A:$A,$A640))</f>
        <v/>
      </c>
      <c r="W640" s="9">
        <f>IF(OR(U640="",V640=""),"",U640+V640)</f>
        <v/>
      </c>
      <c r="X640" s="25">
        <f>IF(W640="","",U640/W640)</f>
        <v/>
      </c>
      <c r="Y640" s="25">
        <f>IF(W640="","",V640/W640)</f>
        <v/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19">
        <f>IF(G641="","",E641/G641)</f>
        <v/>
      </c>
      <c r="I641" s="19">
        <f>IF(G641="","",F641/G641)</f>
        <v/>
      </c>
      <c r="J641" s="26">
        <f>IFERROR(IF(OR(E641="",INDEX(E:E,MATCH(DATE(YEAR($A641)-1,MONTH($A641),DAY($A641)),$A:$A,0))=""),"",E641/INDEX(E:E,MATCH(DATE(YEAR($A641)-1,MONTH($A641),DAY($A641)),$A:$A,0))-1),"")</f>
        <v/>
      </c>
      <c r="K641" s="19">
        <f>IFERROR(IF(OR(F641="",INDEX(F:F,MATCH(DATE(YEAR($A641)-1,MONTH($A641),DAY($A641)),$A:$A,0))=""),"",F641/INDEX(F:F,MATCH(DATE(YEAR($A641)-1,MONTH($A641),DAY($A641)),$A:$A,0))-1),"")</f>
        <v/>
      </c>
      <c r="L641" s="19">
        <f>IFERROR(IF(OR(G641="",INDEX(G:G,MATCH(DATE(YEAR($A641)-1,MONTH($A641),DAY($A641)),$A:$A,0))=""),"",G641/INDEX(G:G,MATCH(DATE(YEAR($A641)-1,MONTH($A641),DAY($A641)),$A:$A,0))-1),"")</f>
        <v/>
      </c>
      <c r="M641" s="19">
        <f>IF(OR(E641="",E640=""),"",E641/E640-1)</f>
        <v/>
      </c>
      <c r="N641" s="19">
        <f>IF(OR(F641="",F640=""),"",F641/F640-1)</f>
        <v/>
      </c>
      <c r="O641" s="19">
        <f>IF(OR(G641="",G640=""),"",G641/G640-1)</f>
        <v/>
      </c>
      <c r="P641" s="22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IF(R641="","",P641/R641)</f>
        <v/>
      </c>
      <c r="T641" s="23">
        <f>IF(R641="","",Q641/R641)</f>
        <v/>
      </c>
      <c r="U641" s="24">
        <f>IF(SUMIFS('Daily NSE Equity Options'!$M:$M,'Daily NSE Equity Options'!$A:$A,$A641)=0,"",SUMIFS('Daily NSE Equity Options'!$M:$M,'Daily NSE Equity Options'!$A:$A,$A641))</f>
        <v/>
      </c>
      <c r="V641" s="9">
        <f>IF(SUMIFS('Daily BSE Equity Options'!$M:$M,'Daily BSE Equity Options'!$A:$A,$A641)=0,"",SUMIFS('Daily BSE Equity Options'!$M:$M,'Daily BSE Equity Options'!$A:$A,$A641))</f>
        <v/>
      </c>
      <c r="W641" s="9">
        <f>IF(OR(U641="",V641=""),"",U641+V641)</f>
        <v/>
      </c>
      <c r="X641" s="25">
        <f>IF(W641="","",U641/W641)</f>
        <v/>
      </c>
      <c r="Y641" s="25">
        <f>IF(W641="","",V641/W641)</f>
        <v/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19">
        <f>IF(G642="","",E642/G642)</f>
        <v/>
      </c>
      <c r="I642" s="19">
        <f>IF(G642="","",F642/G642)</f>
        <v/>
      </c>
      <c r="J642" s="26">
        <f>IFERROR(IF(OR(E642="",INDEX(E:E,MATCH(DATE(YEAR($A642)-1,MONTH($A642),DAY($A642)),$A:$A,0))=""),"",E642/INDEX(E:E,MATCH(DATE(YEAR($A642)-1,MONTH($A642),DAY($A642)),$A:$A,0))-1),"")</f>
        <v/>
      </c>
      <c r="K642" s="19">
        <f>IFERROR(IF(OR(F642="",INDEX(F:F,MATCH(DATE(YEAR($A642)-1,MONTH($A642),DAY($A642)),$A:$A,0))=""),"",F642/INDEX(F:F,MATCH(DATE(YEAR($A642)-1,MONTH($A642),DAY($A642)),$A:$A,0))-1),"")</f>
        <v/>
      </c>
      <c r="L642" s="19">
        <f>IFERROR(IF(OR(G642="",INDEX(G:G,MATCH(DATE(YEAR($A642)-1,MONTH($A642),DAY($A642)),$A:$A,0))=""),"",G642/INDEX(G:G,MATCH(DATE(YEAR($A642)-1,MONTH($A642),DAY($A642)),$A:$A,0))-1),"")</f>
        <v/>
      </c>
      <c r="M642" s="19">
        <f>IF(OR(E642="",E641=""),"",E642/E641-1)</f>
        <v/>
      </c>
      <c r="N642" s="19">
        <f>IF(OR(F642="",F641=""),"",F642/F641-1)</f>
        <v/>
      </c>
      <c r="O642" s="19">
        <f>IF(OR(G642="",G641=""),"",G642/G641-1)</f>
        <v/>
      </c>
      <c r="P642" s="22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IF(R642="","",P642/R642)</f>
        <v/>
      </c>
      <c r="T642" s="23">
        <f>IF(R642="","",Q642/R642)</f>
        <v/>
      </c>
      <c r="U642" s="24">
        <f>IF(SUMIFS('Daily NSE Equity Options'!$M:$M,'Daily NSE Equity Options'!$A:$A,$A642)=0,"",SUMIFS('Daily NSE Equity Options'!$M:$M,'Daily NSE Equity Options'!$A:$A,$A642))</f>
        <v/>
      </c>
      <c r="V642" s="9">
        <f>IF(SUMIFS('Daily BSE Equity Options'!$M:$M,'Daily BSE Equity Options'!$A:$A,$A642)=0,"",SUMIFS('Daily BSE Equity Options'!$M:$M,'Daily BSE Equity Options'!$A:$A,$A642))</f>
        <v/>
      </c>
      <c r="W642" s="9">
        <f>IF(OR(U642="",V642=""),"",U642+V642)</f>
        <v/>
      </c>
      <c r="X642" s="25">
        <f>IF(W642="","",U642/W642)</f>
        <v/>
      </c>
      <c r="Y642" s="25">
        <f>IF(W642="","",V642/W642)</f>
        <v/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19">
        <f>IF(G643="","",E643/G643)</f>
        <v/>
      </c>
      <c r="I643" s="19">
        <f>IF(G643="","",F643/G643)</f>
        <v/>
      </c>
      <c r="J643" s="26">
        <f>IFERROR(IF(OR(E643="",INDEX(E:E,MATCH(DATE(YEAR($A643)-1,MONTH($A643),DAY($A643)),$A:$A,0))=""),"",E643/INDEX(E:E,MATCH(DATE(YEAR($A643)-1,MONTH($A643),DAY($A643)),$A:$A,0))-1),"")</f>
        <v/>
      </c>
      <c r="K643" s="19">
        <f>IFERROR(IF(OR(F643="",INDEX(F:F,MATCH(DATE(YEAR($A643)-1,MONTH($A643),DAY($A643)),$A:$A,0))=""),"",F643/INDEX(F:F,MATCH(DATE(YEAR($A643)-1,MONTH($A643),DAY($A643)),$A:$A,0))-1),"")</f>
        <v/>
      </c>
      <c r="L643" s="19">
        <f>IFERROR(IF(OR(G643="",INDEX(G:G,MATCH(DATE(YEAR($A643)-1,MONTH($A643),DAY($A643)),$A:$A,0))=""),"",G643/INDEX(G:G,MATCH(DATE(YEAR($A643)-1,MONTH($A643),DAY($A643)),$A:$A,0))-1),"")</f>
        <v/>
      </c>
      <c r="M643" s="19">
        <f>IF(OR(E643="",E642=""),"",E643/E642-1)</f>
        <v/>
      </c>
      <c r="N643" s="19">
        <f>IF(OR(F643="",F642=""),"",F643/F642-1)</f>
        <v/>
      </c>
      <c r="O643" s="19">
        <f>IF(OR(G643="",G642=""),"",G643/G642-1)</f>
        <v/>
      </c>
      <c r="P643" s="22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IF(R643="","",P643/R643)</f>
        <v/>
      </c>
      <c r="T643" s="23">
        <f>IF(R643="","",Q643/R643)</f>
        <v/>
      </c>
      <c r="U643" s="24">
        <f>IF(SUMIFS('Daily NSE Equity Options'!$M:$M,'Daily NSE Equity Options'!$A:$A,$A643)=0,"",SUMIFS('Daily NSE Equity Options'!$M:$M,'Daily NSE Equity Options'!$A:$A,$A643))</f>
        <v/>
      </c>
      <c r="V643" s="9">
        <f>IF(SUMIFS('Daily BSE Equity Options'!$M:$M,'Daily BSE Equity Options'!$A:$A,$A643)=0,"",SUMIFS('Daily BSE Equity Options'!$M:$M,'Daily BSE Equity Options'!$A:$A,$A643))</f>
        <v/>
      </c>
      <c r="W643" s="9">
        <f>IF(OR(U643="",V643=""),"",U643+V643)</f>
        <v/>
      </c>
      <c r="X643" s="25">
        <f>IF(W643="","",U643/W643)</f>
        <v/>
      </c>
      <c r="Y643" s="25">
        <f>IF(W643="","",V643/W643)</f>
        <v/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19">
        <f>IF(G644="","",E644/G644)</f>
        <v/>
      </c>
      <c r="I644" s="19">
        <f>IF(G644="","",F644/G644)</f>
        <v/>
      </c>
      <c r="J644" s="26">
        <f>IFERROR(IF(OR(E644="",INDEX(E:E,MATCH(DATE(YEAR($A644)-1,MONTH($A644),DAY($A644)),$A:$A,0))=""),"",E644/INDEX(E:E,MATCH(DATE(YEAR($A644)-1,MONTH($A644),DAY($A644)),$A:$A,0))-1),"")</f>
        <v/>
      </c>
      <c r="K644" s="19">
        <f>IFERROR(IF(OR(F644="",INDEX(F:F,MATCH(DATE(YEAR($A644)-1,MONTH($A644),DAY($A644)),$A:$A,0))=""),"",F644/INDEX(F:F,MATCH(DATE(YEAR($A644)-1,MONTH($A644),DAY($A644)),$A:$A,0))-1),"")</f>
        <v/>
      </c>
      <c r="L644" s="19">
        <f>IFERROR(IF(OR(G644="",INDEX(G:G,MATCH(DATE(YEAR($A644)-1,MONTH($A644),DAY($A644)),$A:$A,0))=""),"",G644/INDEX(G:G,MATCH(DATE(YEAR($A644)-1,MONTH($A644),DAY($A644)),$A:$A,0))-1),"")</f>
        <v/>
      </c>
      <c r="M644" s="19">
        <f>IF(OR(E644="",E643=""),"",E644/E643-1)</f>
        <v/>
      </c>
      <c r="N644" s="19">
        <f>IF(OR(F644="",F643=""),"",F644/F643-1)</f>
        <v/>
      </c>
      <c r="O644" s="19">
        <f>IF(OR(G644="",G643=""),"",G644/G643-1)</f>
        <v/>
      </c>
      <c r="P644" s="22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IF(R644="","",P644/R644)</f>
        <v/>
      </c>
      <c r="T644" s="23">
        <f>IF(R644="","",Q644/R644)</f>
        <v/>
      </c>
      <c r="U644" s="24">
        <f>IF(SUMIFS('Daily NSE Equity Options'!$M:$M,'Daily NSE Equity Options'!$A:$A,$A644)=0,"",SUMIFS('Daily NSE Equity Options'!$M:$M,'Daily NSE Equity Options'!$A:$A,$A644))</f>
        <v/>
      </c>
      <c r="V644" s="9">
        <f>IF(SUMIFS('Daily BSE Equity Options'!$M:$M,'Daily BSE Equity Options'!$A:$A,$A644)=0,"",SUMIFS('Daily BSE Equity Options'!$M:$M,'Daily BSE Equity Options'!$A:$A,$A644))</f>
        <v/>
      </c>
      <c r="W644" s="9">
        <f>IF(OR(U644="",V644=""),"",U644+V644)</f>
        <v/>
      </c>
      <c r="X644" s="25">
        <f>IF(W644="","",U644/W644)</f>
        <v/>
      </c>
      <c r="Y644" s="25">
        <f>IF(W644="","",V644/W644)</f>
        <v/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19">
        <f>IF(G645="","",E645/G645)</f>
        <v/>
      </c>
      <c r="I645" s="19">
        <f>IF(G645="","",F645/G645)</f>
        <v/>
      </c>
      <c r="J645" s="26">
        <f>IFERROR(IF(OR(E645="",INDEX(E:E,MATCH(DATE(YEAR($A645)-1,MONTH($A645),DAY($A645)),$A:$A,0))=""),"",E645/INDEX(E:E,MATCH(DATE(YEAR($A645)-1,MONTH($A645),DAY($A645)),$A:$A,0))-1),"")</f>
        <v/>
      </c>
      <c r="K645" s="19">
        <f>IFERROR(IF(OR(F645="",INDEX(F:F,MATCH(DATE(YEAR($A645)-1,MONTH($A645),DAY($A645)),$A:$A,0))=""),"",F645/INDEX(F:F,MATCH(DATE(YEAR($A645)-1,MONTH($A645),DAY($A645)),$A:$A,0))-1),"")</f>
        <v/>
      </c>
      <c r="L645" s="19">
        <f>IFERROR(IF(OR(G645="",INDEX(G:G,MATCH(DATE(YEAR($A645)-1,MONTH($A645),DAY($A645)),$A:$A,0))=""),"",G645/INDEX(G:G,MATCH(DATE(YEAR($A645)-1,MONTH($A645),DAY($A645)),$A:$A,0))-1),"")</f>
        <v/>
      </c>
      <c r="M645" s="19">
        <f>IF(OR(E645="",E644=""),"",E645/E644-1)</f>
        <v/>
      </c>
      <c r="N645" s="19">
        <f>IF(OR(F645="",F644=""),"",F645/F644-1)</f>
        <v/>
      </c>
      <c r="O645" s="19">
        <f>IF(OR(G645="",G644=""),"",G645/G644-1)</f>
        <v/>
      </c>
      <c r="P645" s="22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IF(R645="","",P645/R645)</f>
        <v/>
      </c>
      <c r="T645" s="23">
        <f>IF(R645="","",Q645/R645)</f>
        <v/>
      </c>
      <c r="U645" s="24">
        <f>IF(SUMIFS('Daily NSE Equity Options'!$M:$M,'Daily NSE Equity Options'!$A:$A,$A645)=0,"",SUMIFS('Daily NSE Equity Options'!$M:$M,'Daily NSE Equity Options'!$A:$A,$A645))</f>
        <v/>
      </c>
      <c r="V645" s="9">
        <f>IF(SUMIFS('Daily BSE Equity Options'!$M:$M,'Daily BSE Equity Options'!$A:$A,$A645)=0,"",SUMIFS('Daily BSE Equity Options'!$M:$M,'Daily BSE Equity Options'!$A:$A,$A645))</f>
        <v/>
      </c>
      <c r="W645" s="9">
        <f>IF(OR(U645="",V645=""),"",U645+V645)</f>
        <v/>
      </c>
      <c r="X645" s="25">
        <f>IF(W645="","",U645/W645)</f>
        <v/>
      </c>
      <c r="Y645" s="25">
        <f>IF(W645="","",V645/W645)</f>
        <v/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19">
        <f>IF(G646="","",E646/G646)</f>
        <v/>
      </c>
      <c r="I646" s="19">
        <f>IF(G646="","",F646/G646)</f>
        <v/>
      </c>
      <c r="J646" s="26">
        <f>IFERROR(IF(OR(E646="",INDEX(E:E,MATCH(DATE(YEAR($A646)-1,MONTH($A646),DAY($A646)),$A:$A,0))=""),"",E646/INDEX(E:E,MATCH(DATE(YEAR($A646)-1,MONTH($A646),DAY($A646)),$A:$A,0))-1),"")</f>
        <v/>
      </c>
      <c r="K646" s="19">
        <f>IFERROR(IF(OR(F646="",INDEX(F:F,MATCH(DATE(YEAR($A646)-1,MONTH($A646),DAY($A646)),$A:$A,0))=""),"",F646/INDEX(F:F,MATCH(DATE(YEAR($A646)-1,MONTH($A646),DAY($A646)),$A:$A,0))-1),"")</f>
        <v/>
      </c>
      <c r="L646" s="19">
        <f>IFERROR(IF(OR(G646="",INDEX(G:G,MATCH(DATE(YEAR($A646)-1,MONTH($A646),DAY($A646)),$A:$A,0))=""),"",G646/INDEX(G:G,MATCH(DATE(YEAR($A646)-1,MONTH($A646),DAY($A646)),$A:$A,0))-1),"")</f>
        <v/>
      </c>
      <c r="M646" s="19">
        <f>IF(OR(E646="",E645=""),"",E646/E645-1)</f>
        <v/>
      </c>
      <c r="N646" s="19">
        <f>IF(OR(F646="",F645=""),"",F646/F645-1)</f>
        <v/>
      </c>
      <c r="O646" s="19">
        <f>IF(OR(G646="",G645=""),"",G646/G645-1)</f>
        <v/>
      </c>
      <c r="P646" s="22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IF(R646="","",P646/R646)</f>
        <v/>
      </c>
      <c r="T646" s="23">
        <f>IF(R646="","",Q646/R646)</f>
        <v/>
      </c>
      <c r="U646" s="24">
        <f>IF(SUMIFS('Daily NSE Equity Options'!$M:$M,'Daily NSE Equity Options'!$A:$A,$A646)=0,"",SUMIFS('Daily NSE Equity Options'!$M:$M,'Daily NSE Equity Options'!$A:$A,$A646))</f>
        <v/>
      </c>
      <c r="V646" s="9">
        <f>IF(SUMIFS('Daily BSE Equity Options'!$M:$M,'Daily BSE Equity Options'!$A:$A,$A646)=0,"",SUMIFS('Daily BSE Equity Options'!$M:$M,'Daily BSE Equity Options'!$A:$A,$A646))</f>
        <v/>
      </c>
      <c r="W646" s="9">
        <f>IF(OR(U646="",V646=""),"",U646+V646)</f>
        <v/>
      </c>
      <c r="X646" s="25">
        <f>IF(W646="","",U646/W646)</f>
        <v/>
      </c>
      <c r="Y646" s="25">
        <f>IF(W646="","",V646/W646)</f>
        <v/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19">
        <f>IF(G647="","",E647/G647)</f>
        <v/>
      </c>
      <c r="I647" s="19">
        <f>IF(G647="","",F647/G647)</f>
        <v/>
      </c>
      <c r="J647" s="26">
        <f>IFERROR(IF(OR(E647="",INDEX(E:E,MATCH(DATE(YEAR($A647)-1,MONTH($A647),DAY($A647)),$A:$A,0))=""),"",E647/INDEX(E:E,MATCH(DATE(YEAR($A647)-1,MONTH($A647),DAY($A647)),$A:$A,0))-1),"")</f>
        <v/>
      </c>
      <c r="K647" s="19">
        <f>IFERROR(IF(OR(F647="",INDEX(F:F,MATCH(DATE(YEAR($A647)-1,MONTH($A647),DAY($A647)),$A:$A,0))=""),"",F647/INDEX(F:F,MATCH(DATE(YEAR($A647)-1,MONTH($A647),DAY($A647)),$A:$A,0))-1),"")</f>
        <v/>
      </c>
      <c r="L647" s="19">
        <f>IFERROR(IF(OR(G647="",INDEX(G:G,MATCH(DATE(YEAR($A647)-1,MONTH($A647),DAY($A647)),$A:$A,0))=""),"",G647/INDEX(G:G,MATCH(DATE(YEAR($A647)-1,MONTH($A647),DAY($A647)),$A:$A,0))-1),"")</f>
        <v/>
      </c>
      <c r="M647" s="19">
        <f>IF(OR(E647="",E646=""),"",E647/E646-1)</f>
        <v/>
      </c>
      <c r="N647" s="19">
        <f>IF(OR(F647="",F646=""),"",F647/F646-1)</f>
        <v/>
      </c>
      <c r="O647" s="19">
        <f>IF(OR(G647="",G646=""),"",G647/G646-1)</f>
        <v/>
      </c>
      <c r="P647" s="22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IF(R647="","",P647/R647)</f>
        <v/>
      </c>
      <c r="T647" s="23">
        <f>IF(R647="","",Q647/R647)</f>
        <v/>
      </c>
      <c r="U647" s="24">
        <f>IF(SUMIFS('Daily NSE Equity Options'!$M:$M,'Daily NSE Equity Options'!$A:$A,$A647)=0,"",SUMIFS('Daily NSE Equity Options'!$M:$M,'Daily NSE Equity Options'!$A:$A,$A647))</f>
        <v/>
      </c>
      <c r="V647" s="9">
        <f>IF(SUMIFS('Daily BSE Equity Options'!$M:$M,'Daily BSE Equity Options'!$A:$A,$A647)=0,"",SUMIFS('Daily BSE Equity Options'!$M:$M,'Daily BSE Equity Options'!$A:$A,$A647))</f>
        <v/>
      </c>
      <c r="W647" s="9">
        <f>IF(OR(U647="",V647=""),"",U647+V647)</f>
        <v/>
      </c>
      <c r="X647" s="25">
        <f>IF(W647="","",U647/W647)</f>
        <v/>
      </c>
      <c r="Y647" s="25">
        <f>IF(W647="","",V647/W647)</f>
        <v/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19">
        <f>IF(G648="","",E648/G648)</f>
        <v/>
      </c>
      <c r="I648" s="19">
        <f>IF(G648="","",F648/G648)</f>
        <v/>
      </c>
      <c r="J648" s="26">
        <f>IFERROR(IF(OR(E648="",INDEX(E:E,MATCH(DATE(YEAR($A648)-1,MONTH($A648),DAY($A648)),$A:$A,0))=""),"",E648/INDEX(E:E,MATCH(DATE(YEAR($A648)-1,MONTH($A648),DAY($A648)),$A:$A,0))-1),"")</f>
        <v/>
      </c>
      <c r="K648" s="19">
        <f>IFERROR(IF(OR(F648="",INDEX(F:F,MATCH(DATE(YEAR($A648)-1,MONTH($A648),DAY($A648)),$A:$A,0))=""),"",F648/INDEX(F:F,MATCH(DATE(YEAR($A648)-1,MONTH($A648),DAY($A648)),$A:$A,0))-1),"")</f>
        <v/>
      </c>
      <c r="L648" s="19">
        <f>IFERROR(IF(OR(G648="",INDEX(G:G,MATCH(DATE(YEAR($A648)-1,MONTH($A648),DAY($A648)),$A:$A,0))=""),"",G648/INDEX(G:G,MATCH(DATE(YEAR($A648)-1,MONTH($A648),DAY($A648)),$A:$A,0))-1),"")</f>
        <v/>
      </c>
      <c r="M648" s="19">
        <f>IF(OR(E648="",E647=""),"",E648/E647-1)</f>
        <v/>
      </c>
      <c r="N648" s="19">
        <f>IF(OR(F648="",F647=""),"",F648/F647-1)</f>
        <v/>
      </c>
      <c r="O648" s="19">
        <f>IF(OR(G648="",G647=""),"",G648/G647-1)</f>
        <v/>
      </c>
      <c r="P648" s="22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IF(R648="","",P648/R648)</f>
        <v/>
      </c>
      <c r="T648" s="23">
        <f>IF(R648="","",Q648/R648)</f>
        <v/>
      </c>
      <c r="U648" s="24">
        <f>IF(SUMIFS('Daily NSE Equity Options'!$M:$M,'Daily NSE Equity Options'!$A:$A,$A648)=0,"",SUMIFS('Daily NSE Equity Options'!$M:$M,'Daily NSE Equity Options'!$A:$A,$A648))</f>
        <v/>
      </c>
      <c r="V648" s="9">
        <f>IF(SUMIFS('Daily BSE Equity Options'!$M:$M,'Daily BSE Equity Options'!$A:$A,$A648)=0,"",SUMIFS('Daily BSE Equity Options'!$M:$M,'Daily BSE Equity Options'!$A:$A,$A648))</f>
        <v/>
      </c>
      <c r="W648" s="9">
        <f>IF(OR(U648="",V648=""),"",U648+V648)</f>
        <v/>
      </c>
      <c r="X648" s="25">
        <f>IF(W648="","",U648/W648)</f>
        <v/>
      </c>
      <c r="Y648" s="25">
        <f>IF(W648="","",V648/W648)</f>
        <v/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19">
        <f>IF(G649="","",E649/G649)</f>
        <v/>
      </c>
      <c r="I649" s="19">
        <f>IF(G649="","",F649/G649)</f>
        <v/>
      </c>
      <c r="J649" s="26">
        <f>IFERROR(IF(OR(E649="",INDEX(E:E,MATCH(DATE(YEAR($A649)-1,MONTH($A649),DAY($A649)),$A:$A,0))=""),"",E649/INDEX(E:E,MATCH(DATE(YEAR($A649)-1,MONTH($A649),DAY($A649)),$A:$A,0))-1),"")</f>
        <v/>
      </c>
      <c r="K649" s="19">
        <f>IFERROR(IF(OR(F649="",INDEX(F:F,MATCH(DATE(YEAR($A649)-1,MONTH($A649),DAY($A649)),$A:$A,0))=""),"",F649/INDEX(F:F,MATCH(DATE(YEAR($A649)-1,MONTH($A649),DAY($A649)),$A:$A,0))-1),"")</f>
        <v/>
      </c>
      <c r="L649" s="19">
        <f>IFERROR(IF(OR(G649="",INDEX(G:G,MATCH(DATE(YEAR($A649)-1,MONTH($A649),DAY($A649)),$A:$A,0))=""),"",G649/INDEX(G:G,MATCH(DATE(YEAR($A649)-1,MONTH($A649),DAY($A649)),$A:$A,0))-1),"")</f>
        <v/>
      </c>
      <c r="M649" s="19">
        <f>IF(OR(E649="",E648=""),"",E649/E648-1)</f>
        <v/>
      </c>
      <c r="N649" s="19">
        <f>IF(OR(F649="",F648=""),"",F649/F648-1)</f>
        <v/>
      </c>
      <c r="O649" s="19">
        <f>IF(OR(G649="",G648=""),"",G649/G648-1)</f>
        <v/>
      </c>
      <c r="P649" s="22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IF(R649="","",P649/R649)</f>
        <v/>
      </c>
      <c r="T649" s="23">
        <f>IF(R649="","",Q649/R649)</f>
        <v/>
      </c>
      <c r="U649" s="24">
        <f>IF(SUMIFS('Daily NSE Equity Options'!$M:$M,'Daily NSE Equity Options'!$A:$A,$A649)=0,"",SUMIFS('Daily NSE Equity Options'!$M:$M,'Daily NSE Equity Options'!$A:$A,$A649))</f>
        <v/>
      </c>
      <c r="V649" s="9">
        <f>IF(SUMIFS('Daily BSE Equity Options'!$M:$M,'Daily BSE Equity Options'!$A:$A,$A649)=0,"",SUMIFS('Daily BSE Equity Options'!$M:$M,'Daily BSE Equity Options'!$A:$A,$A649))</f>
        <v/>
      </c>
      <c r="W649" s="9">
        <f>IF(OR(U649="",V649=""),"",U649+V649)</f>
        <v/>
      </c>
      <c r="X649" s="25">
        <f>IF(W649="","",U649/W649)</f>
        <v/>
      </c>
      <c r="Y649" s="25">
        <f>IF(W649="","",V649/W649)</f>
        <v/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19">
        <f>IF(G650="","",E650/G650)</f>
        <v/>
      </c>
      <c r="I650" s="19">
        <f>IF(G650="","",F650/G650)</f>
        <v/>
      </c>
      <c r="J650" s="26">
        <f>IFERROR(IF(OR(E650="",INDEX(E:E,MATCH(DATE(YEAR($A650)-1,MONTH($A650),DAY($A650)),$A:$A,0))=""),"",E650/INDEX(E:E,MATCH(DATE(YEAR($A650)-1,MONTH($A650),DAY($A650)),$A:$A,0))-1),"")</f>
        <v/>
      </c>
      <c r="K650" s="19">
        <f>IFERROR(IF(OR(F650="",INDEX(F:F,MATCH(DATE(YEAR($A650)-1,MONTH($A650),DAY($A650)),$A:$A,0))=""),"",F650/INDEX(F:F,MATCH(DATE(YEAR($A650)-1,MONTH($A650),DAY($A650)),$A:$A,0))-1),"")</f>
        <v/>
      </c>
      <c r="L650" s="19">
        <f>IFERROR(IF(OR(G650="",INDEX(G:G,MATCH(DATE(YEAR($A650)-1,MONTH($A650),DAY($A650)),$A:$A,0))=""),"",G650/INDEX(G:G,MATCH(DATE(YEAR($A650)-1,MONTH($A650),DAY($A650)),$A:$A,0))-1),"")</f>
        <v/>
      </c>
      <c r="M650" s="19">
        <f>IF(OR(E650="",E649=""),"",E650/E649-1)</f>
        <v/>
      </c>
      <c r="N650" s="19">
        <f>IF(OR(F650="",F649=""),"",F650/F649-1)</f>
        <v/>
      </c>
      <c r="O650" s="19">
        <f>IF(OR(G650="",G649=""),"",G650/G649-1)</f>
        <v/>
      </c>
      <c r="P650" s="22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IF(R650="","",P650/R650)</f>
        <v/>
      </c>
      <c r="T650" s="23">
        <f>IF(R650="","",Q650/R650)</f>
        <v/>
      </c>
      <c r="U650" s="24">
        <f>IF(SUMIFS('Daily NSE Equity Options'!$M:$M,'Daily NSE Equity Options'!$A:$A,$A650)=0,"",SUMIFS('Daily NSE Equity Options'!$M:$M,'Daily NSE Equity Options'!$A:$A,$A650))</f>
        <v/>
      </c>
      <c r="V650" s="9">
        <f>IF(SUMIFS('Daily BSE Equity Options'!$M:$M,'Daily BSE Equity Options'!$A:$A,$A650)=0,"",SUMIFS('Daily BSE Equity Options'!$M:$M,'Daily BSE Equity Options'!$A:$A,$A650))</f>
        <v/>
      </c>
      <c r="W650" s="9">
        <f>IF(OR(U650="",V650=""),"",U650+V650)</f>
        <v/>
      </c>
      <c r="X650" s="25">
        <f>IF(W650="","",U650/W650)</f>
        <v/>
      </c>
      <c r="Y650" s="25">
        <f>IF(W650="","",V650/W650)</f>
        <v/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19">
        <f>IF(G651="","",E651/G651)</f>
        <v/>
      </c>
      <c r="I651" s="19">
        <f>IF(G651="","",F651/G651)</f>
        <v/>
      </c>
      <c r="J651" s="26">
        <f>IFERROR(IF(OR(E651="",INDEX(E:E,MATCH(DATE(YEAR($A651)-1,MONTH($A651),DAY($A651)),$A:$A,0))=""),"",E651/INDEX(E:E,MATCH(DATE(YEAR($A651)-1,MONTH($A651),DAY($A651)),$A:$A,0))-1),"")</f>
        <v/>
      </c>
      <c r="K651" s="19">
        <f>IFERROR(IF(OR(F651="",INDEX(F:F,MATCH(DATE(YEAR($A651)-1,MONTH($A651),DAY($A651)),$A:$A,0))=""),"",F651/INDEX(F:F,MATCH(DATE(YEAR($A651)-1,MONTH($A651),DAY($A651)),$A:$A,0))-1),"")</f>
        <v/>
      </c>
      <c r="L651" s="19">
        <f>IFERROR(IF(OR(G651="",INDEX(G:G,MATCH(DATE(YEAR($A651)-1,MONTH($A651),DAY($A651)),$A:$A,0))=""),"",G651/INDEX(G:G,MATCH(DATE(YEAR($A651)-1,MONTH($A651),DAY($A651)),$A:$A,0))-1),"")</f>
        <v/>
      </c>
      <c r="M651" s="19">
        <f>IF(OR(E651="",E650=""),"",E651/E650-1)</f>
        <v/>
      </c>
      <c r="N651" s="19">
        <f>IF(OR(F651="",F650=""),"",F651/F650-1)</f>
        <v/>
      </c>
      <c r="O651" s="19">
        <f>IF(OR(G651="",G650=""),"",G651/G650-1)</f>
        <v/>
      </c>
      <c r="P651" s="22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IF(R651="","",P651/R651)</f>
        <v/>
      </c>
      <c r="T651" s="23">
        <f>IF(R651="","",Q651/R651)</f>
        <v/>
      </c>
      <c r="U651" s="24">
        <f>IF(SUMIFS('Daily NSE Equity Options'!$M:$M,'Daily NSE Equity Options'!$A:$A,$A651)=0,"",SUMIFS('Daily NSE Equity Options'!$M:$M,'Daily NSE Equity Options'!$A:$A,$A651))</f>
        <v/>
      </c>
      <c r="V651" s="9">
        <f>IF(SUMIFS('Daily BSE Equity Options'!$M:$M,'Daily BSE Equity Options'!$A:$A,$A651)=0,"",SUMIFS('Daily BSE Equity Options'!$M:$M,'Daily BSE Equity Options'!$A:$A,$A651))</f>
        <v/>
      </c>
      <c r="W651" s="9">
        <f>IF(OR(U651="",V651=""),"",U651+V651)</f>
        <v/>
      </c>
      <c r="X651" s="25">
        <f>IF(W651="","",U651/W651)</f>
        <v/>
      </c>
      <c r="Y651" s="25">
        <f>IF(W651="","",V651/W651)</f>
        <v/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19">
        <f>IF(G652="","",E652/G652)</f>
        <v/>
      </c>
      <c r="I652" s="19">
        <f>IF(G652="","",F652/G652)</f>
        <v/>
      </c>
      <c r="J652" s="26">
        <f>IFERROR(IF(OR(E652="",INDEX(E:E,MATCH(DATE(YEAR($A652)-1,MONTH($A652),DAY($A652)),$A:$A,0))=""),"",E652/INDEX(E:E,MATCH(DATE(YEAR($A652)-1,MONTH($A652),DAY($A652)),$A:$A,0))-1),"")</f>
        <v/>
      </c>
      <c r="K652" s="19">
        <f>IFERROR(IF(OR(F652="",INDEX(F:F,MATCH(DATE(YEAR($A652)-1,MONTH($A652),DAY($A652)),$A:$A,0))=""),"",F652/INDEX(F:F,MATCH(DATE(YEAR($A652)-1,MONTH($A652),DAY($A652)),$A:$A,0))-1),"")</f>
        <v/>
      </c>
      <c r="L652" s="19">
        <f>IFERROR(IF(OR(G652="",INDEX(G:G,MATCH(DATE(YEAR($A652)-1,MONTH($A652),DAY($A652)),$A:$A,0))=""),"",G652/INDEX(G:G,MATCH(DATE(YEAR($A652)-1,MONTH($A652),DAY($A652)),$A:$A,0))-1),"")</f>
        <v/>
      </c>
      <c r="M652" s="19">
        <f>IF(OR(E652="",E651=""),"",E652/E651-1)</f>
        <v/>
      </c>
      <c r="N652" s="19">
        <f>IF(OR(F652="",F651=""),"",F652/F651-1)</f>
        <v/>
      </c>
      <c r="O652" s="19">
        <f>IF(OR(G652="",G651=""),"",G652/G651-1)</f>
        <v/>
      </c>
      <c r="P652" s="22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IF(R652="","",P652/R652)</f>
        <v/>
      </c>
      <c r="T652" s="23">
        <f>IF(R652="","",Q652/R652)</f>
        <v/>
      </c>
      <c r="U652" s="24">
        <f>IF(SUMIFS('Daily NSE Equity Options'!$M:$M,'Daily NSE Equity Options'!$A:$A,$A652)=0,"",SUMIFS('Daily NSE Equity Options'!$M:$M,'Daily NSE Equity Options'!$A:$A,$A652))</f>
        <v/>
      </c>
      <c r="V652" s="9">
        <f>IF(SUMIFS('Daily BSE Equity Options'!$M:$M,'Daily BSE Equity Options'!$A:$A,$A652)=0,"",SUMIFS('Daily BSE Equity Options'!$M:$M,'Daily BSE Equity Options'!$A:$A,$A652))</f>
        <v/>
      </c>
      <c r="W652" s="9">
        <f>IF(OR(U652="",V652=""),"",U652+V652)</f>
        <v/>
      </c>
      <c r="X652" s="25">
        <f>IF(W652="","",U652/W652)</f>
        <v/>
      </c>
      <c r="Y652" s="25">
        <f>IF(W652="","",V652/W652)</f>
        <v/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19">
        <f>IF(G653="","",E653/G653)</f>
        <v/>
      </c>
      <c r="I653" s="19">
        <f>IF(G653="","",F653/G653)</f>
        <v/>
      </c>
      <c r="J653" s="26">
        <f>IFERROR(IF(OR(E653="",INDEX(E:E,MATCH(DATE(YEAR($A653)-1,MONTH($A653),DAY($A653)),$A:$A,0))=""),"",E653/INDEX(E:E,MATCH(DATE(YEAR($A653)-1,MONTH($A653),DAY($A653)),$A:$A,0))-1),"")</f>
        <v/>
      </c>
      <c r="K653" s="19">
        <f>IFERROR(IF(OR(F653="",INDEX(F:F,MATCH(DATE(YEAR($A653)-1,MONTH($A653),DAY($A653)),$A:$A,0))=""),"",F653/INDEX(F:F,MATCH(DATE(YEAR($A653)-1,MONTH($A653),DAY($A653)),$A:$A,0))-1),"")</f>
        <v/>
      </c>
      <c r="L653" s="19">
        <f>IFERROR(IF(OR(G653="",INDEX(G:G,MATCH(DATE(YEAR($A653)-1,MONTH($A653),DAY($A653)),$A:$A,0))=""),"",G653/INDEX(G:G,MATCH(DATE(YEAR($A653)-1,MONTH($A653),DAY($A653)),$A:$A,0))-1),"")</f>
        <v/>
      </c>
      <c r="M653" s="19">
        <f>IF(OR(E653="",E652=""),"",E653/E652-1)</f>
        <v/>
      </c>
      <c r="N653" s="19">
        <f>IF(OR(F653="",F652=""),"",F653/F652-1)</f>
        <v/>
      </c>
      <c r="O653" s="19">
        <f>IF(OR(G653="",G652=""),"",G653/G652-1)</f>
        <v/>
      </c>
      <c r="P653" s="22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IF(R653="","",P653/R653)</f>
        <v/>
      </c>
      <c r="T653" s="23">
        <f>IF(R653="","",Q653/R653)</f>
        <v/>
      </c>
      <c r="U653" s="24">
        <f>IF(SUMIFS('Daily NSE Equity Options'!$M:$M,'Daily NSE Equity Options'!$A:$A,$A653)=0,"",SUMIFS('Daily NSE Equity Options'!$M:$M,'Daily NSE Equity Options'!$A:$A,$A653))</f>
        <v/>
      </c>
      <c r="V653" s="9">
        <f>IF(SUMIFS('Daily BSE Equity Options'!$M:$M,'Daily BSE Equity Options'!$A:$A,$A653)=0,"",SUMIFS('Daily BSE Equity Options'!$M:$M,'Daily BSE Equity Options'!$A:$A,$A653))</f>
        <v/>
      </c>
      <c r="W653" s="9">
        <f>IF(OR(U653="",V653=""),"",U653+V653)</f>
        <v/>
      </c>
      <c r="X653" s="25">
        <f>IF(W653="","",U653/W653)</f>
        <v/>
      </c>
      <c r="Y653" s="25">
        <f>IF(W653="","",V653/W653)</f>
        <v/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19">
        <f>IF(G654="","",E654/G654)</f>
        <v/>
      </c>
      <c r="I654" s="19">
        <f>IF(G654="","",F654/G654)</f>
        <v/>
      </c>
      <c r="J654" s="26">
        <f>IFERROR(IF(OR(E654="",INDEX(E:E,MATCH(DATE(YEAR($A654)-1,MONTH($A654),DAY($A654)),$A:$A,0))=""),"",E654/INDEX(E:E,MATCH(DATE(YEAR($A654)-1,MONTH($A654),DAY($A654)),$A:$A,0))-1),"")</f>
        <v/>
      </c>
      <c r="K654" s="19">
        <f>IFERROR(IF(OR(F654="",INDEX(F:F,MATCH(DATE(YEAR($A654)-1,MONTH($A654),DAY($A654)),$A:$A,0))=""),"",F654/INDEX(F:F,MATCH(DATE(YEAR($A654)-1,MONTH($A654),DAY($A654)),$A:$A,0))-1),"")</f>
        <v/>
      </c>
      <c r="L654" s="19">
        <f>IFERROR(IF(OR(G654="",INDEX(G:G,MATCH(DATE(YEAR($A654)-1,MONTH($A654),DAY($A654)),$A:$A,0))=""),"",G654/INDEX(G:G,MATCH(DATE(YEAR($A654)-1,MONTH($A654),DAY($A654)),$A:$A,0))-1),"")</f>
        <v/>
      </c>
      <c r="M654" s="19">
        <f>IF(OR(E654="",E653=""),"",E654/E653-1)</f>
        <v/>
      </c>
      <c r="N654" s="19">
        <f>IF(OR(F654="",F653=""),"",F654/F653-1)</f>
        <v/>
      </c>
      <c r="O654" s="19">
        <f>IF(OR(G654="",G653=""),"",G654/G653-1)</f>
        <v/>
      </c>
      <c r="P654" s="22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IF(R654="","",P654/R654)</f>
        <v/>
      </c>
      <c r="T654" s="23">
        <f>IF(R654="","",Q654/R654)</f>
        <v/>
      </c>
      <c r="U654" s="24">
        <f>IF(SUMIFS('Daily NSE Equity Options'!$M:$M,'Daily NSE Equity Options'!$A:$A,$A654)=0,"",SUMIFS('Daily NSE Equity Options'!$M:$M,'Daily NSE Equity Options'!$A:$A,$A654))</f>
        <v/>
      </c>
      <c r="V654" s="9">
        <f>IF(SUMIFS('Daily BSE Equity Options'!$M:$M,'Daily BSE Equity Options'!$A:$A,$A654)=0,"",SUMIFS('Daily BSE Equity Options'!$M:$M,'Daily BSE Equity Options'!$A:$A,$A654))</f>
        <v/>
      </c>
      <c r="W654" s="9">
        <f>IF(OR(U654="",V654=""),"",U654+V654)</f>
        <v/>
      </c>
      <c r="X654" s="25">
        <f>IF(W654="","",U654/W654)</f>
        <v/>
      </c>
      <c r="Y654" s="25">
        <f>IF(W654="","",V654/W654)</f>
        <v/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19">
        <f>IF(G655="","",E655/G655)</f>
        <v/>
      </c>
      <c r="I655" s="19">
        <f>IF(G655="","",F655/G655)</f>
        <v/>
      </c>
      <c r="J655" s="26">
        <f>IFERROR(IF(OR(E655="",INDEX(E:E,MATCH(DATE(YEAR($A655)-1,MONTH($A655),DAY($A655)),$A:$A,0))=""),"",E655/INDEX(E:E,MATCH(DATE(YEAR($A655)-1,MONTH($A655),DAY($A655)),$A:$A,0))-1),"")</f>
        <v/>
      </c>
      <c r="K655" s="19">
        <f>IFERROR(IF(OR(F655="",INDEX(F:F,MATCH(DATE(YEAR($A655)-1,MONTH($A655),DAY($A655)),$A:$A,0))=""),"",F655/INDEX(F:F,MATCH(DATE(YEAR($A655)-1,MONTH($A655),DAY($A655)),$A:$A,0))-1),"")</f>
        <v/>
      </c>
      <c r="L655" s="19">
        <f>IFERROR(IF(OR(G655="",INDEX(G:G,MATCH(DATE(YEAR($A655)-1,MONTH($A655),DAY($A655)),$A:$A,0))=""),"",G655/INDEX(G:G,MATCH(DATE(YEAR($A655)-1,MONTH($A655),DAY($A655)),$A:$A,0))-1),"")</f>
        <v/>
      </c>
      <c r="M655" s="19">
        <f>IF(OR(E655="",E654=""),"",E655/E654-1)</f>
        <v/>
      </c>
      <c r="N655" s="19">
        <f>IF(OR(F655="",F654=""),"",F655/F654-1)</f>
        <v/>
      </c>
      <c r="O655" s="19">
        <f>IF(OR(G655="",G654=""),"",G655/G654-1)</f>
        <v/>
      </c>
      <c r="P655" s="22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IF(R655="","",P655/R655)</f>
        <v/>
      </c>
      <c r="T655" s="23">
        <f>IF(R655="","",Q655/R655)</f>
        <v/>
      </c>
      <c r="U655" s="24">
        <f>IF(SUMIFS('Daily NSE Equity Options'!$M:$M,'Daily NSE Equity Options'!$A:$A,$A655)=0,"",SUMIFS('Daily NSE Equity Options'!$M:$M,'Daily NSE Equity Options'!$A:$A,$A655))</f>
        <v/>
      </c>
      <c r="V655" s="9">
        <f>IF(SUMIFS('Daily BSE Equity Options'!$M:$M,'Daily BSE Equity Options'!$A:$A,$A655)=0,"",SUMIFS('Daily BSE Equity Options'!$M:$M,'Daily BSE Equity Options'!$A:$A,$A655))</f>
        <v/>
      </c>
      <c r="W655" s="9">
        <f>IF(OR(U655="",V655=""),"",U655+V655)</f>
        <v/>
      </c>
      <c r="X655" s="25">
        <f>IF(W655="","",U655/W655)</f>
        <v/>
      </c>
      <c r="Y655" s="25">
        <f>IF(W655="","",V655/W655)</f>
        <v/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19">
        <f>IF(G656="","",E656/G656)</f>
        <v/>
      </c>
      <c r="I656" s="19">
        <f>IF(G656="","",F656/G656)</f>
        <v/>
      </c>
      <c r="J656" s="26">
        <f>IFERROR(IF(OR(E656="",INDEX(E:E,MATCH(DATE(YEAR($A656)-1,MONTH($A656),DAY($A656)),$A:$A,0))=""),"",E656/INDEX(E:E,MATCH(DATE(YEAR($A656)-1,MONTH($A656),DAY($A656)),$A:$A,0))-1),"")</f>
        <v/>
      </c>
      <c r="K656" s="19">
        <f>IFERROR(IF(OR(F656="",INDEX(F:F,MATCH(DATE(YEAR($A656)-1,MONTH($A656),DAY($A656)),$A:$A,0))=""),"",F656/INDEX(F:F,MATCH(DATE(YEAR($A656)-1,MONTH($A656),DAY($A656)),$A:$A,0))-1),"")</f>
        <v/>
      </c>
      <c r="L656" s="19">
        <f>IFERROR(IF(OR(G656="",INDEX(G:G,MATCH(DATE(YEAR($A656)-1,MONTH($A656),DAY($A656)),$A:$A,0))=""),"",G656/INDEX(G:G,MATCH(DATE(YEAR($A656)-1,MONTH($A656),DAY($A656)),$A:$A,0))-1),"")</f>
        <v/>
      </c>
      <c r="M656" s="19">
        <f>IF(OR(E656="",E655=""),"",E656/E655-1)</f>
        <v/>
      </c>
      <c r="N656" s="19">
        <f>IF(OR(F656="",F655=""),"",F656/F655-1)</f>
        <v/>
      </c>
      <c r="O656" s="19">
        <f>IF(OR(G656="",G655=""),"",G656/G655-1)</f>
        <v/>
      </c>
      <c r="P656" s="22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IF(R656="","",P656/R656)</f>
        <v/>
      </c>
      <c r="T656" s="23">
        <f>IF(R656="","",Q656/R656)</f>
        <v/>
      </c>
      <c r="U656" s="24">
        <f>IF(SUMIFS('Daily NSE Equity Options'!$M:$M,'Daily NSE Equity Options'!$A:$A,$A656)=0,"",SUMIFS('Daily NSE Equity Options'!$M:$M,'Daily NSE Equity Options'!$A:$A,$A656))</f>
        <v/>
      </c>
      <c r="V656" s="9">
        <f>IF(SUMIFS('Daily BSE Equity Options'!$M:$M,'Daily BSE Equity Options'!$A:$A,$A656)=0,"",SUMIFS('Daily BSE Equity Options'!$M:$M,'Daily BSE Equity Options'!$A:$A,$A656))</f>
        <v/>
      </c>
      <c r="W656" s="9">
        <f>IF(OR(U656="",V656=""),"",U656+V656)</f>
        <v/>
      </c>
      <c r="X656" s="25">
        <f>IF(W656="","",U656/W656)</f>
        <v/>
      </c>
      <c r="Y656" s="25">
        <f>IF(W656="","",V656/W656)</f>
        <v/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19">
        <f>IF(G657="","",E657/G657)</f>
        <v/>
      </c>
      <c r="I657" s="19">
        <f>IF(G657="","",F657/G657)</f>
        <v/>
      </c>
      <c r="J657" s="26">
        <f>IFERROR(IF(OR(E657="",INDEX(E:E,MATCH(DATE(YEAR($A657)-1,MONTH($A657),DAY($A657)),$A:$A,0))=""),"",E657/INDEX(E:E,MATCH(DATE(YEAR($A657)-1,MONTH($A657),DAY($A657)),$A:$A,0))-1),"")</f>
        <v/>
      </c>
      <c r="K657" s="19">
        <f>IFERROR(IF(OR(F657="",INDEX(F:F,MATCH(DATE(YEAR($A657)-1,MONTH($A657),DAY($A657)),$A:$A,0))=""),"",F657/INDEX(F:F,MATCH(DATE(YEAR($A657)-1,MONTH($A657),DAY($A657)),$A:$A,0))-1),"")</f>
        <v/>
      </c>
      <c r="L657" s="19">
        <f>IFERROR(IF(OR(G657="",INDEX(G:G,MATCH(DATE(YEAR($A657)-1,MONTH($A657),DAY($A657)),$A:$A,0))=""),"",G657/INDEX(G:G,MATCH(DATE(YEAR($A657)-1,MONTH($A657),DAY($A657)),$A:$A,0))-1),"")</f>
        <v/>
      </c>
      <c r="M657" s="19">
        <f>IF(OR(E657="",E656=""),"",E657/E656-1)</f>
        <v/>
      </c>
      <c r="N657" s="19">
        <f>IF(OR(F657="",F656=""),"",F657/F656-1)</f>
        <v/>
      </c>
      <c r="O657" s="19">
        <f>IF(OR(G657="",G656=""),"",G657/G656-1)</f>
        <v/>
      </c>
      <c r="P657" s="22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IF(R657="","",P657/R657)</f>
        <v/>
      </c>
      <c r="T657" s="23">
        <f>IF(R657="","",Q657/R657)</f>
        <v/>
      </c>
      <c r="U657" s="24">
        <f>IF(SUMIFS('Daily NSE Equity Options'!$M:$M,'Daily NSE Equity Options'!$A:$A,$A657)=0,"",SUMIFS('Daily NSE Equity Options'!$M:$M,'Daily NSE Equity Options'!$A:$A,$A657))</f>
        <v/>
      </c>
      <c r="V657" s="9">
        <f>IF(SUMIFS('Daily BSE Equity Options'!$M:$M,'Daily BSE Equity Options'!$A:$A,$A657)=0,"",SUMIFS('Daily BSE Equity Options'!$M:$M,'Daily BSE Equity Options'!$A:$A,$A657))</f>
        <v/>
      </c>
      <c r="W657" s="9">
        <f>IF(OR(U657="",V657=""),"",U657+V657)</f>
        <v/>
      </c>
      <c r="X657" s="25">
        <f>IF(W657="","",U657/W657)</f>
        <v/>
      </c>
      <c r="Y657" s="25">
        <f>IF(W657="","",V657/W657)</f>
        <v/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19">
        <f>IF(G658="","",E658/G658)</f>
        <v/>
      </c>
      <c r="I658" s="19">
        <f>IF(G658="","",F658/G658)</f>
        <v/>
      </c>
      <c r="J658" s="26">
        <f>IFERROR(IF(OR(E658="",INDEX(E:E,MATCH(DATE(YEAR($A658)-1,MONTH($A658),DAY($A658)),$A:$A,0))=""),"",E658/INDEX(E:E,MATCH(DATE(YEAR($A658)-1,MONTH($A658),DAY($A658)),$A:$A,0))-1),"")</f>
        <v/>
      </c>
      <c r="K658" s="19">
        <f>IFERROR(IF(OR(F658="",INDEX(F:F,MATCH(DATE(YEAR($A658)-1,MONTH($A658),DAY($A658)),$A:$A,0))=""),"",F658/INDEX(F:F,MATCH(DATE(YEAR($A658)-1,MONTH($A658),DAY($A658)),$A:$A,0))-1),"")</f>
        <v/>
      </c>
      <c r="L658" s="19">
        <f>IFERROR(IF(OR(G658="",INDEX(G:G,MATCH(DATE(YEAR($A658)-1,MONTH($A658),DAY($A658)),$A:$A,0))=""),"",G658/INDEX(G:G,MATCH(DATE(YEAR($A658)-1,MONTH($A658),DAY($A658)),$A:$A,0))-1),"")</f>
        <v/>
      </c>
      <c r="M658" s="19">
        <f>IF(OR(E658="",E657=""),"",E658/E657-1)</f>
        <v/>
      </c>
      <c r="N658" s="19">
        <f>IF(OR(F658="",F657=""),"",F658/F657-1)</f>
        <v/>
      </c>
      <c r="O658" s="19">
        <f>IF(OR(G658="",G657=""),"",G658/G657-1)</f>
        <v/>
      </c>
      <c r="P658" s="22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IF(R658="","",P658/R658)</f>
        <v/>
      </c>
      <c r="T658" s="23">
        <f>IF(R658="","",Q658/R658)</f>
        <v/>
      </c>
      <c r="U658" s="24">
        <f>IF(SUMIFS('Daily NSE Equity Options'!$M:$M,'Daily NSE Equity Options'!$A:$A,$A658)=0,"",SUMIFS('Daily NSE Equity Options'!$M:$M,'Daily NSE Equity Options'!$A:$A,$A658))</f>
        <v/>
      </c>
      <c r="V658" s="9">
        <f>IF(SUMIFS('Daily BSE Equity Options'!$M:$M,'Daily BSE Equity Options'!$A:$A,$A658)=0,"",SUMIFS('Daily BSE Equity Options'!$M:$M,'Daily BSE Equity Options'!$A:$A,$A658))</f>
        <v/>
      </c>
      <c r="W658" s="9">
        <f>IF(OR(U658="",V658=""),"",U658+V658)</f>
        <v/>
      </c>
      <c r="X658" s="25">
        <f>IF(W658="","",U658/W658)</f>
        <v/>
      </c>
      <c r="Y658" s="25">
        <f>IF(W658="","",V658/W658)</f>
        <v/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19">
        <f>IF(G659="","",E659/G659)</f>
        <v/>
      </c>
      <c r="I659" s="19">
        <f>IF(G659="","",F659/G659)</f>
        <v/>
      </c>
      <c r="J659" s="26">
        <f>IFERROR(IF(OR(E659="",INDEX(E:E,MATCH(DATE(YEAR($A659)-1,MONTH($A659),DAY($A659)),$A:$A,0))=""),"",E659/INDEX(E:E,MATCH(DATE(YEAR($A659)-1,MONTH($A659),DAY($A659)),$A:$A,0))-1),"")</f>
        <v/>
      </c>
      <c r="K659" s="19">
        <f>IFERROR(IF(OR(F659="",INDEX(F:F,MATCH(DATE(YEAR($A659)-1,MONTH($A659),DAY($A659)),$A:$A,0))=""),"",F659/INDEX(F:F,MATCH(DATE(YEAR($A659)-1,MONTH($A659),DAY($A659)),$A:$A,0))-1),"")</f>
        <v/>
      </c>
      <c r="L659" s="19">
        <f>IFERROR(IF(OR(G659="",INDEX(G:G,MATCH(DATE(YEAR($A659)-1,MONTH($A659),DAY($A659)),$A:$A,0))=""),"",G659/INDEX(G:G,MATCH(DATE(YEAR($A659)-1,MONTH($A659),DAY($A659)),$A:$A,0))-1),"")</f>
        <v/>
      </c>
      <c r="M659" s="19">
        <f>IF(OR(E659="",E658=""),"",E659/E658-1)</f>
        <v/>
      </c>
      <c r="N659" s="19">
        <f>IF(OR(F659="",F658=""),"",F659/F658-1)</f>
        <v/>
      </c>
      <c r="O659" s="19">
        <f>IF(OR(G659="",G658=""),"",G659/G658-1)</f>
        <v/>
      </c>
      <c r="P659" s="22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IF(R659="","",P659/R659)</f>
        <v/>
      </c>
      <c r="T659" s="23">
        <f>IF(R659="","",Q659/R659)</f>
        <v/>
      </c>
      <c r="U659" s="24">
        <f>IF(SUMIFS('Daily NSE Equity Options'!$M:$M,'Daily NSE Equity Options'!$A:$A,$A659)=0,"",SUMIFS('Daily NSE Equity Options'!$M:$M,'Daily NSE Equity Options'!$A:$A,$A659))</f>
        <v/>
      </c>
      <c r="V659" s="9">
        <f>IF(SUMIFS('Daily BSE Equity Options'!$M:$M,'Daily BSE Equity Options'!$A:$A,$A659)=0,"",SUMIFS('Daily BSE Equity Options'!$M:$M,'Daily BSE Equity Options'!$A:$A,$A659))</f>
        <v/>
      </c>
      <c r="W659" s="9">
        <f>IF(OR(U659="",V659=""),"",U659+V659)</f>
        <v/>
      </c>
      <c r="X659" s="25">
        <f>IF(W659="","",U659/W659)</f>
        <v/>
      </c>
      <c r="Y659" s="25">
        <f>IF(W659="","",V659/W659)</f>
        <v/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19">
        <f>IF(G660="","",E660/G660)</f>
        <v/>
      </c>
      <c r="I660" s="19">
        <f>IF(G660="","",F660/G660)</f>
        <v/>
      </c>
      <c r="J660" s="26">
        <f>IFERROR(IF(OR(E660="",INDEX(E:E,MATCH(DATE(YEAR($A660)-1,MONTH($A660),DAY($A660)),$A:$A,0))=""),"",E660/INDEX(E:E,MATCH(DATE(YEAR($A660)-1,MONTH($A660),DAY($A660)),$A:$A,0))-1),"")</f>
        <v/>
      </c>
      <c r="K660" s="19">
        <f>IFERROR(IF(OR(F660="",INDEX(F:F,MATCH(DATE(YEAR($A660)-1,MONTH($A660),DAY($A660)),$A:$A,0))=""),"",F660/INDEX(F:F,MATCH(DATE(YEAR($A660)-1,MONTH($A660),DAY($A660)),$A:$A,0))-1),"")</f>
        <v/>
      </c>
      <c r="L660" s="19">
        <f>IFERROR(IF(OR(G660="",INDEX(G:G,MATCH(DATE(YEAR($A660)-1,MONTH($A660),DAY($A660)),$A:$A,0))=""),"",G660/INDEX(G:G,MATCH(DATE(YEAR($A660)-1,MONTH($A660),DAY($A660)),$A:$A,0))-1),"")</f>
        <v/>
      </c>
      <c r="M660" s="19">
        <f>IF(OR(E660="",E659=""),"",E660/E659-1)</f>
        <v/>
      </c>
      <c r="N660" s="19">
        <f>IF(OR(F660="",F659=""),"",F660/F659-1)</f>
        <v/>
      </c>
      <c r="O660" s="19">
        <f>IF(OR(G660="",G659=""),"",G660/G659-1)</f>
        <v/>
      </c>
      <c r="P660" s="22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IF(R660="","",P660/R660)</f>
        <v/>
      </c>
      <c r="T660" s="23">
        <f>IF(R660="","",Q660/R660)</f>
        <v/>
      </c>
      <c r="U660" s="24">
        <f>IF(SUMIFS('Daily NSE Equity Options'!$M:$M,'Daily NSE Equity Options'!$A:$A,$A660)=0,"",SUMIFS('Daily NSE Equity Options'!$M:$M,'Daily NSE Equity Options'!$A:$A,$A660))</f>
        <v/>
      </c>
      <c r="V660" s="9">
        <f>IF(SUMIFS('Daily BSE Equity Options'!$M:$M,'Daily BSE Equity Options'!$A:$A,$A660)=0,"",SUMIFS('Daily BSE Equity Options'!$M:$M,'Daily BSE Equity Options'!$A:$A,$A660))</f>
        <v/>
      </c>
      <c r="W660" s="9">
        <f>IF(OR(U660="",V660=""),"",U660+V660)</f>
        <v/>
      </c>
      <c r="X660" s="25">
        <f>IF(W660="","",U660/W660)</f>
        <v/>
      </c>
      <c r="Y660" s="25">
        <f>IF(W660="","",V660/W660)</f>
        <v/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19">
        <f>IF(G661="","",E661/G661)</f>
        <v/>
      </c>
      <c r="I661" s="19">
        <f>IF(G661="","",F661/G661)</f>
        <v/>
      </c>
      <c r="J661" s="26">
        <f>IFERROR(IF(OR(E661="",INDEX(E:E,MATCH(DATE(YEAR($A661)-1,MONTH($A661),DAY($A661)),$A:$A,0))=""),"",E661/INDEX(E:E,MATCH(DATE(YEAR($A661)-1,MONTH($A661),DAY($A661)),$A:$A,0))-1),"")</f>
        <v/>
      </c>
      <c r="K661" s="19">
        <f>IFERROR(IF(OR(F661="",INDEX(F:F,MATCH(DATE(YEAR($A661)-1,MONTH($A661),DAY($A661)),$A:$A,0))=""),"",F661/INDEX(F:F,MATCH(DATE(YEAR($A661)-1,MONTH($A661),DAY($A661)),$A:$A,0))-1),"")</f>
        <v/>
      </c>
      <c r="L661" s="19">
        <f>IFERROR(IF(OR(G661="",INDEX(G:G,MATCH(DATE(YEAR($A661)-1,MONTH($A661),DAY($A661)),$A:$A,0))=""),"",G661/INDEX(G:G,MATCH(DATE(YEAR($A661)-1,MONTH($A661),DAY($A661)),$A:$A,0))-1),"")</f>
        <v/>
      </c>
      <c r="M661" s="19">
        <f>IF(OR(E661="",E660=""),"",E661/E660-1)</f>
        <v/>
      </c>
      <c r="N661" s="19">
        <f>IF(OR(F661="",F660=""),"",F661/F660-1)</f>
        <v/>
      </c>
      <c r="O661" s="19">
        <f>IF(OR(G661="",G660=""),"",G661/G660-1)</f>
        <v/>
      </c>
      <c r="P661" s="22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IF(R661="","",P661/R661)</f>
        <v/>
      </c>
      <c r="T661" s="23">
        <f>IF(R661="","",Q661/R661)</f>
        <v/>
      </c>
      <c r="U661" s="24">
        <f>IF(SUMIFS('Daily NSE Equity Options'!$M:$M,'Daily NSE Equity Options'!$A:$A,$A661)=0,"",SUMIFS('Daily NSE Equity Options'!$M:$M,'Daily NSE Equity Options'!$A:$A,$A661))</f>
        <v/>
      </c>
      <c r="V661" s="9">
        <f>IF(SUMIFS('Daily BSE Equity Options'!$M:$M,'Daily BSE Equity Options'!$A:$A,$A661)=0,"",SUMIFS('Daily BSE Equity Options'!$M:$M,'Daily BSE Equity Options'!$A:$A,$A661))</f>
        <v/>
      </c>
      <c r="W661" s="9">
        <f>IF(OR(U661="",V661=""),"",U661+V661)</f>
        <v/>
      </c>
      <c r="X661" s="25">
        <f>IF(W661="","",U661/W661)</f>
        <v/>
      </c>
      <c r="Y661" s="25">
        <f>IF(W661="","",V661/W661)</f>
        <v/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19">
        <f>IF(G662="","",E662/G662)</f>
        <v/>
      </c>
      <c r="I662" s="19">
        <f>IF(G662="","",F662/G662)</f>
        <v/>
      </c>
      <c r="J662" s="26">
        <f>IFERROR(IF(OR(E662="",INDEX(E:E,MATCH(DATE(YEAR($A662)-1,MONTH($A662),DAY($A662)),$A:$A,0))=""),"",E662/INDEX(E:E,MATCH(DATE(YEAR($A662)-1,MONTH($A662),DAY($A662)),$A:$A,0))-1),"")</f>
        <v/>
      </c>
      <c r="K662" s="19">
        <f>IFERROR(IF(OR(F662="",INDEX(F:F,MATCH(DATE(YEAR($A662)-1,MONTH($A662),DAY($A662)),$A:$A,0))=""),"",F662/INDEX(F:F,MATCH(DATE(YEAR($A662)-1,MONTH($A662),DAY($A662)),$A:$A,0))-1),"")</f>
        <v/>
      </c>
      <c r="L662" s="19">
        <f>IFERROR(IF(OR(G662="",INDEX(G:G,MATCH(DATE(YEAR($A662)-1,MONTH($A662),DAY($A662)),$A:$A,0))=""),"",G662/INDEX(G:G,MATCH(DATE(YEAR($A662)-1,MONTH($A662),DAY($A662)),$A:$A,0))-1),"")</f>
        <v/>
      </c>
      <c r="M662" s="19">
        <f>IF(OR(E662="",E661=""),"",E662/E661-1)</f>
        <v/>
      </c>
      <c r="N662" s="19">
        <f>IF(OR(F662="",F661=""),"",F662/F661-1)</f>
        <v/>
      </c>
      <c r="O662" s="19">
        <f>IF(OR(G662="",G661=""),"",G662/G661-1)</f>
        <v/>
      </c>
      <c r="P662" s="22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IF(R662="","",P662/R662)</f>
        <v/>
      </c>
      <c r="T662" s="23">
        <f>IF(R662="","",Q662/R662)</f>
        <v/>
      </c>
      <c r="U662" s="24">
        <f>IF(SUMIFS('Daily NSE Equity Options'!$M:$M,'Daily NSE Equity Options'!$A:$A,$A662)=0,"",SUMIFS('Daily NSE Equity Options'!$M:$M,'Daily NSE Equity Options'!$A:$A,$A662))</f>
        <v/>
      </c>
      <c r="V662" s="9">
        <f>IF(SUMIFS('Daily BSE Equity Options'!$M:$M,'Daily BSE Equity Options'!$A:$A,$A662)=0,"",SUMIFS('Daily BSE Equity Options'!$M:$M,'Daily BSE Equity Options'!$A:$A,$A662))</f>
        <v/>
      </c>
      <c r="W662" s="9">
        <f>IF(OR(U662="",V662=""),"",U662+V662)</f>
        <v/>
      </c>
      <c r="X662" s="25">
        <f>IF(W662="","",U662/W662)</f>
        <v/>
      </c>
      <c r="Y662" s="25">
        <f>IF(W662="","",V662/W662)</f>
        <v/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19">
        <f>IF(G663="","",E663/G663)</f>
        <v/>
      </c>
      <c r="I663" s="19">
        <f>IF(G663="","",F663/G663)</f>
        <v/>
      </c>
      <c r="J663" s="26">
        <f>IFERROR(IF(OR(E663="",INDEX(E:E,MATCH(DATE(YEAR($A663)-1,MONTH($A663),DAY($A663)),$A:$A,0))=""),"",E663/INDEX(E:E,MATCH(DATE(YEAR($A663)-1,MONTH($A663),DAY($A663)),$A:$A,0))-1),"")</f>
        <v/>
      </c>
      <c r="K663" s="19">
        <f>IFERROR(IF(OR(F663="",INDEX(F:F,MATCH(DATE(YEAR($A663)-1,MONTH($A663),DAY($A663)),$A:$A,0))=""),"",F663/INDEX(F:F,MATCH(DATE(YEAR($A663)-1,MONTH($A663),DAY($A663)),$A:$A,0))-1),"")</f>
        <v/>
      </c>
      <c r="L663" s="19">
        <f>IFERROR(IF(OR(G663="",INDEX(G:G,MATCH(DATE(YEAR($A663)-1,MONTH($A663),DAY($A663)),$A:$A,0))=""),"",G663/INDEX(G:G,MATCH(DATE(YEAR($A663)-1,MONTH($A663),DAY($A663)),$A:$A,0))-1),"")</f>
        <v/>
      </c>
      <c r="M663" s="19">
        <f>IF(OR(E663="",E662=""),"",E663/E662-1)</f>
        <v/>
      </c>
      <c r="N663" s="19">
        <f>IF(OR(F663="",F662=""),"",F663/F662-1)</f>
        <v/>
      </c>
      <c r="O663" s="19">
        <f>IF(OR(G663="",G662=""),"",G663/G662-1)</f>
        <v/>
      </c>
      <c r="P663" s="22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IF(R663="","",P663/R663)</f>
        <v/>
      </c>
      <c r="T663" s="23">
        <f>IF(R663="","",Q663/R663)</f>
        <v/>
      </c>
      <c r="U663" s="24">
        <f>IF(SUMIFS('Daily NSE Equity Options'!$M:$M,'Daily NSE Equity Options'!$A:$A,$A663)=0,"",SUMIFS('Daily NSE Equity Options'!$M:$M,'Daily NSE Equity Options'!$A:$A,$A663))</f>
        <v/>
      </c>
      <c r="V663" s="9">
        <f>IF(SUMIFS('Daily BSE Equity Options'!$M:$M,'Daily BSE Equity Options'!$A:$A,$A663)=0,"",SUMIFS('Daily BSE Equity Options'!$M:$M,'Daily BSE Equity Options'!$A:$A,$A663))</f>
        <v/>
      </c>
      <c r="W663" s="9">
        <f>IF(OR(U663="",V663=""),"",U663+V663)</f>
        <v/>
      </c>
      <c r="X663" s="25">
        <f>IF(W663="","",U663/W663)</f>
        <v/>
      </c>
      <c r="Y663" s="25">
        <f>IF(W663="","",V663/W663)</f>
        <v/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19">
        <f>IF(G664="","",E664/G664)</f>
        <v/>
      </c>
      <c r="I664" s="19">
        <f>IF(G664="","",F664/G664)</f>
        <v/>
      </c>
      <c r="J664" s="26">
        <f>IFERROR(IF(OR(E664="",INDEX(E:E,MATCH(DATE(YEAR($A664)-1,MONTH($A664),DAY($A664)),$A:$A,0))=""),"",E664/INDEX(E:E,MATCH(DATE(YEAR($A664)-1,MONTH($A664),DAY($A664)),$A:$A,0))-1),"")</f>
        <v/>
      </c>
      <c r="K664" s="19">
        <f>IFERROR(IF(OR(F664="",INDEX(F:F,MATCH(DATE(YEAR($A664)-1,MONTH($A664),DAY($A664)),$A:$A,0))=""),"",F664/INDEX(F:F,MATCH(DATE(YEAR($A664)-1,MONTH($A664),DAY($A664)),$A:$A,0))-1),"")</f>
        <v/>
      </c>
      <c r="L664" s="19">
        <f>IFERROR(IF(OR(G664="",INDEX(G:G,MATCH(DATE(YEAR($A664)-1,MONTH($A664),DAY($A664)),$A:$A,0))=""),"",G664/INDEX(G:G,MATCH(DATE(YEAR($A664)-1,MONTH($A664),DAY($A664)),$A:$A,0))-1),"")</f>
        <v/>
      </c>
      <c r="M664" s="19">
        <f>IF(OR(E664="",E663=""),"",E664/E663-1)</f>
        <v/>
      </c>
      <c r="N664" s="19">
        <f>IF(OR(F664="",F663=""),"",F664/F663-1)</f>
        <v/>
      </c>
      <c r="O664" s="19">
        <f>IF(OR(G664="",G663=""),"",G664/G663-1)</f>
        <v/>
      </c>
      <c r="P664" s="22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IF(R664="","",P664/R664)</f>
        <v/>
      </c>
      <c r="T664" s="23">
        <f>IF(R664="","",Q664/R664)</f>
        <v/>
      </c>
      <c r="U664" s="24">
        <f>IF(SUMIFS('Daily NSE Equity Options'!$M:$M,'Daily NSE Equity Options'!$A:$A,$A664)=0,"",SUMIFS('Daily NSE Equity Options'!$M:$M,'Daily NSE Equity Options'!$A:$A,$A664))</f>
        <v/>
      </c>
      <c r="V664" s="9">
        <f>IF(SUMIFS('Daily BSE Equity Options'!$M:$M,'Daily BSE Equity Options'!$A:$A,$A664)=0,"",SUMIFS('Daily BSE Equity Options'!$M:$M,'Daily BSE Equity Options'!$A:$A,$A664))</f>
        <v/>
      </c>
      <c r="W664" s="9">
        <f>IF(OR(U664="",V664=""),"",U664+V664)</f>
        <v/>
      </c>
      <c r="X664" s="25">
        <f>IF(W664="","",U664/W664)</f>
        <v/>
      </c>
      <c r="Y664" s="25">
        <f>IF(W664="","",V664/W664)</f>
        <v/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19">
        <f>IF(G665="","",E665/G665)</f>
        <v/>
      </c>
      <c r="I665" s="19">
        <f>IF(G665="","",F665/G665)</f>
        <v/>
      </c>
      <c r="J665" s="26">
        <f>IFERROR(IF(OR(E665="",INDEX(E:E,MATCH(DATE(YEAR($A665)-1,MONTH($A665),DAY($A665)),$A:$A,0))=""),"",E665/INDEX(E:E,MATCH(DATE(YEAR($A665)-1,MONTH($A665),DAY($A665)),$A:$A,0))-1),"")</f>
        <v/>
      </c>
      <c r="K665" s="19">
        <f>IFERROR(IF(OR(F665="",INDEX(F:F,MATCH(DATE(YEAR($A665)-1,MONTH($A665),DAY($A665)),$A:$A,0))=""),"",F665/INDEX(F:F,MATCH(DATE(YEAR($A665)-1,MONTH($A665),DAY($A665)),$A:$A,0))-1),"")</f>
        <v/>
      </c>
      <c r="L665" s="19">
        <f>IFERROR(IF(OR(G665="",INDEX(G:G,MATCH(DATE(YEAR($A665)-1,MONTH($A665),DAY($A665)),$A:$A,0))=""),"",G665/INDEX(G:G,MATCH(DATE(YEAR($A665)-1,MONTH($A665),DAY($A665)),$A:$A,0))-1),"")</f>
        <v/>
      </c>
      <c r="M665" s="19">
        <f>IF(OR(E665="",E664=""),"",E665/E664-1)</f>
        <v/>
      </c>
      <c r="N665" s="19">
        <f>IF(OR(F665="",F664=""),"",F665/F664-1)</f>
        <v/>
      </c>
      <c r="O665" s="19">
        <f>IF(OR(G665="",G664=""),"",G665/G664-1)</f>
        <v/>
      </c>
      <c r="P665" s="22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IF(R665="","",P665/R665)</f>
        <v/>
      </c>
      <c r="T665" s="23">
        <f>IF(R665="","",Q665/R665)</f>
        <v/>
      </c>
      <c r="U665" s="24">
        <f>IF(SUMIFS('Daily NSE Equity Options'!$M:$M,'Daily NSE Equity Options'!$A:$A,$A665)=0,"",SUMIFS('Daily NSE Equity Options'!$M:$M,'Daily NSE Equity Options'!$A:$A,$A665))</f>
        <v/>
      </c>
      <c r="V665" s="9">
        <f>IF(SUMIFS('Daily BSE Equity Options'!$M:$M,'Daily BSE Equity Options'!$A:$A,$A665)=0,"",SUMIFS('Daily BSE Equity Options'!$M:$M,'Daily BSE Equity Options'!$A:$A,$A665))</f>
        <v/>
      </c>
      <c r="W665" s="9">
        <f>IF(OR(U665="",V665=""),"",U665+V665)</f>
        <v/>
      </c>
      <c r="X665" s="25">
        <f>IF(W665="","",U665/W665)</f>
        <v/>
      </c>
      <c r="Y665" s="25">
        <f>IF(W665="","",V665/W665)</f>
        <v/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19">
        <f>IF(G666="","",E666/G666)</f>
        <v/>
      </c>
      <c r="I666" s="19">
        <f>IF(G666="","",F666/G666)</f>
        <v/>
      </c>
      <c r="J666" s="26">
        <f>IFERROR(IF(OR(E666="",INDEX(E:E,MATCH(DATE(YEAR($A666)-1,MONTH($A666),DAY($A666)),$A:$A,0))=""),"",E666/INDEX(E:E,MATCH(DATE(YEAR($A666)-1,MONTH($A666),DAY($A666)),$A:$A,0))-1),"")</f>
        <v/>
      </c>
      <c r="K666" s="19">
        <f>IFERROR(IF(OR(F666="",INDEX(F:F,MATCH(DATE(YEAR($A666)-1,MONTH($A666),DAY($A666)),$A:$A,0))=""),"",F666/INDEX(F:F,MATCH(DATE(YEAR($A666)-1,MONTH($A666),DAY($A666)),$A:$A,0))-1),"")</f>
        <v/>
      </c>
      <c r="L666" s="19">
        <f>IFERROR(IF(OR(G666="",INDEX(G:G,MATCH(DATE(YEAR($A666)-1,MONTH($A666),DAY($A666)),$A:$A,0))=""),"",G666/INDEX(G:G,MATCH(DATE(YEAR($A666)-1,MONTH($A666),DAY($A666)),$A:$A,0))-1),"")</f>
        <v/>
      </c>
      <c r="M666" s="19">
        <f>IF(OR(E666="",E665=""),"",E666/E665-1)</f>
        <v/>
      </c>
      <c r="N666" s="19">
        <f>IF(OR(F666="",F665=""),"",F666/F665-1)</f>
        <v/>
      </c>
      <c r="O666" s="19">
        <f>IF(OR(G666="",G665=""),"",G666/G665-1)</f>
        <v/>
      </c>
      <c r="P666" s="22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IF(R666="","",P666/R666)</f>
        <v/>
      </c>
      <c r="T666" s="23">
        <f>IF(R666="","",Q666/R666)</f>
        <v/>
      </c>
      <c r="U666" s="24">
        <f>IF(SUMIFS('Daily NSE Equity Options'!$M:$M,'Daily NSE Equity Options'!$A:$A,$A666)=0,"",SUMIFS('Daily NSE Equity Options'!$M:$M,'Daily NSE Equity Options'!$A:$A,$A666))</f>
        <v/>
      </c>
      <c r="V666" s="9">
        <f>IF(SUMIFS('Daily BSE Equity Options'!$M:$M,'Daily BSE Equity Options'!$A:$A,$A666)=0,"",SUMIFS('Daily BSE Equity Options'!$M:$M,'Daily BSE Equity Options'!$A:$A,$A666))</f>
        <v/>
      </c>
      <c r="W666" s="9">
        <f>IF(OR(U666="",V666=""),"",U666+V666)</f>
        <v/>
      </c>
      <c r="X666" s="25">
        <f>IF(W666="","",U666/W666)</f>
        <v/>
      </c>
      <c r="Y666" s="25">
        <f>IF(W666="","",V666/W666)</f>
        <v/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19">
        <f>IF(G667="","",E667/G667)</f>
        <v/>
      </c>
      <c r="I667" s="19">
        <f>IF(G667="","",F667/G667)</f>
        <v/>
      </c>
      <c r="J667" s="26">
        <f>IFERROR(IF(OR(E667="",INDEX(E:E,MATCH(DATE(YEAR($A667)-1,MONTH($A667),DAY($A667)),$A:$A,0))=""),"",E667/INDEX(E:E,MATCH(DATE(YEAR($A667)-1,MONTH($A667),DAY($A667)),$A:$A,0))-1),"")</f>
        <v/>
      </c>
      <c r="K667" s="19">
        <f>IFERROR(IF(OR(F667="",INDEX(F:F,MATCH(DATE(YEAR($A667)-1,MONTH($A667),DAY($A667)),$A:$A,0))=""),"",F667/INDEX(F:F,MATCH(DATE(YEAR($A667)-1,MONTH($A667),DAY($A667)),$A:$A,0))-1),"")</f>
        <v/>
      </c>
      <c r="L667" s="19">
        <f>IFERROR(IF(OR(G667="",INDEX(G:G,MATCH(DATE(YEAR($A667)-1,MONTH($A667),DAY($A667)),$A:$A,0))=""),"",G667/INDEX(G:G,MATCH(DATE(YEAR($A667)-1,MONTH($A667),DAY($A667)),$A:$A,0))-1),"")</f>
        <v/>
      </c>
      <c r="M667" s="19">
        <f>IF(OR(E667="",E666=""),"",E667/E666-1)</f>
        <v/>
      </c>
      <c r="N667" s="19">
        <f>IF(OR(F667="",F666=""),"",F667/F666-1)</f>
        <v/>
      </c>
      <c r="O667" s="19">
        <f>IF(OR(G667="",G666=""),"",G667/G666-1)</f>
        <v/>
      </c>
      <c r="P667" s="22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IF(R667="","",P667/R667)</f>
        <v/>
      </c>
      <c r="T667" s="23">
        <f>IF(R667="","",Q667/R667)</f>
        <v/>
      </c>
      <c r="U667" s="24">
        <f>IF(SUMIFS('Daily NSE Equity Options'!$M:$M,'Daily NSE Equity Options'!$A:$A,$A667)=0,"",SUMIFS('Daily NSE Equity Options'!$M:$M,'Daily NSE Equity Options'!$A:$A,$A667))</f>
        <v/>
      </c>
      <c r="V667" s="9">
        <f>IF(SUMIFS('Daily BSE Equity Options'!$M:$M,'Daily BSE Equity Options'!$A:$A,$A667)=0,"",SUMIFS('Daily BSE Equity Options'!$M:$M,'Daily BSE Equity Options'!$A:$A,$A667))</f>
        <v/>
      </c>
      <c r="W667" s="9">
        <f>IF(OR(U667="",V667=""),"",U667+V667)</f>
        <v/>
      </c>
      <c r="X667" s="25">
        <f>IF(W667="","",U667/W667)</f>
        <v/>
      </c>
      <c r="Y667" s="25">
        <f>IF(W667="","",V667/W667)</f>
        <v/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19">
        <f>IF(G668="","",E668/G668)</f>
        <v/>
      </c>
      <c r="I668" s="19">
        <f>IF(G668="","",F668/G668)</f>
        <v/>
      </c>
      <c r="J668" s="26">
        <f>IFERROR(IF(OR(E668="",INDEX(E:E,MATCH(DATE(YEAR($A668)-1,MONTH($A668),DAY($A668)),$A:$A,0))=""),"",E668/INDEX(E:E,MATCH(DATE(YEAR($A668)-1,MONTH($A668),DAY($A668)),$A:$A,0))-1),"")</f>
        <v/>
      </c>
      <c r="K668" s="19">
        <f>IFERROR(IF(OR(F668="",INDEX(F:F,MATCH(DATE(YEAR($A668)-1,MONTH($A668),DAY($A668)),$A:$A,0))=""),"",F668/INDEX(F:F,MATCH(DATE(YEAR($A668)-1,MONTH($A668),DAY($A668)),$A:$A,0))-1),"")</f>
        <v/>
      </c>
      <c r="L668" s="19">
        <f>IFERROR(IF(OR(G668="",INDEX(G:G,MATCH(DATE(YEAR($A668)-1,MONTH($A668),DAY($A668)),$A:$A,0))=""),"",G668/INDEX(G:G,MATCH(DATE(YEAR($A668)-1,MONTH($A668),DAY($A668)),$A:$A,0))-1),"")</f>
        <v/>
      </c>
      <c r="M668" s="19">
        <f>IF(OR(E668="",E667=""),"",E668/E667-1)</f>
        <v/>
      </c>
      <c r="N668" s="19">
        <f>IF(OR(F668="",F667=""),"",F668/F667-1)</f>
        <v/>
      </c>
      <c r="O668" s="19">
        <f>IF(OR(G668="",G667=""),"",G668/G667-1)</f>
        <v/>
      </c>
      <c r="P668" s="22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IF(R668="","",P668/R668)</f>
        <v/>
      </c>
      <c r="T668" s="23">
        <f>IF(R668="","",Q668/R668)</f>
        <v/>
      </c>
      <c r="U668" s="24">
        <f>IF(SUMIFS('Daily NSE Equity Options'!$M:$M,'Daily NSE Equity Options'!$A:$A,$A668)=0,"",SUMIFS('Daily NSE Equity Options'!$M:$M,'Daily NSE Equity Options'!$A:$A,$A668))</f>
        <v/>
      </c>
      <c r="V668" s="9">
        <f>IF(SUMIFS('Daily BSE Equity Options'!$M:$M,'Daily BSE Equity Options'!$A:$A,$A668)=0,"",SUMIFS('Daily BSE Equity Options'!$M:$M,'Daily BSE Equity Options'!$A:$A,$A668))</f>
        <v/>
      </c>
      <c r="W668" s="9">
        <f>IF(OR(U668="",V668=""),"",U668+V668)</f>
        <v/>
      </c>
      <c r="X668" s="25">
        <f>IF(W668="","",U668/W668)</f>
        <v/>
      </c>
      <c r="Y668" s="25">
        <f>IF(W668="","",V668/W668)</f>
        <v/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19">
        <f>IF(G669="","",E669/G669)</f>
        <v/>
      </c>
      <c r="I669" s="19">
        <f>IF(G669="","",F669/G669)</f>
        <v/>
      </c>
      <c r="J669" s="26">
        <f>IFERROR(IF(OR(E669="",INDEX(E:E,MATCH(DATE(YEAR($A669)-1,MONTH($A669),DAY($A669)),$A:$A,0))=""),"",E669/INDEX(E:E,MATCH(DATE(YEAR($A669)-1,MONTH($A669),DAY($A669)),$A:$A,0))-1),"")</f>
        <v/>
      </c>
      <c r="K669" s="19">
        <f>IFERROR(IF(OR(F669="",INDEX(F:F,MATCH(DATE(YEAR($A669)-1,MONTH($A669),DAY($A669)),$A:$A,0))=""),"",F669/INDEX(F:F,MATCH(DATE(YEAR($A669)-1,MONTH($A669),DAY($A669)),$A:$A,0))-1),"")</f>
        <v/>
      </c>
      <c r="L669" s="19">
        <f>IFERROR(IF(OR(G669="",INDEX(G:G,MATCH(DATE(YEAR($A669)-1,MONTH($A669),DAY($A669)),$A:$A,0))=""),"",G669/INDEX(G:G,MATCH(DATE(YEAR($A669)-1,MONTH($A669),DAY($A669)),$A:$A,0))-1),"")</f>
        <v/>
      </c>
      <c r="M669" s="19">
        <f>IF(OR(E669="",E668=""),"",E669/E668-1)</f>
        <v/>
      </c>
      <c r="N669" s="19">
        <f>IF(OR(F669="",F668=""),"",F669/F668-1)</f>
        <v/>
      </c>
      <c r="O669" s="19">
        <f>IF(OR(G669="",G668=""),"",G669/G668-1)</f>
        <v/>
      </c>
      <c r="P669" s="22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IF(R669="","",P669/R669)</f>
        <v/>
      </c>
      <c r="T669" s="23">
        <f>IF(R669="","",Q669/R669)</f>
        <v/>
      </c>
      <c r="U669" s="24">
        <f>IF(SUMIFS('Daily NSE Equity Options'!$M:$M,'Daily NSE Equity Options'!$A:$A,$A669)=0,"",SUMIFS('Daily NSE Equity Options'!$M:$M,'Daily NSE Equity Options'!$A:$A,$A669))</f>
        <v/>
      </c>
      <c r="V669" s="9">
        <f>IF(SUMIFS('Daily BSE Equity Options'!$M:$M,'Daily BSE Equity Options'!$A:$A,$A669)=0,"",SUMIFS('Daily BSE Equity Options'!$M:$M,'Daily BSE Equity Options'!$A:$A,$A669))</f>
        <v/>
      </c>
      <c r="W669" s="9">
        <f>IF(OR(U669="",V669=""),"",U669+V669)</f>
        <v/>
      </c>
      <c r="X669" s="25">
        <f>IF(W669="","",U669/W669)</f>
        <v/>
      </c>
      <c r="Y669" s="25">
        <f>IF(W669="","",V669/W669)</f>
        <v/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19">
        <f>IF(G670="","",E670/G670)</f>
        <v/>
      </c>
      <c r="I670" s="19">
        <f>IF(G670="","",F670/G670)</f>
        <v/>
      </c>
      <c r="J670" s="26">
        <f>IFERROR(IF(OR(E670="",INDEX(E:E,MATCH(DATE(YEAR($A670)-1,MONTH($A670),DAY($A670)),$A:$A,0))=""),"",E670/INDEX(E:E,MATCH(DATE(YEAR($A670)-1,MONTH($A670),DAY($A670)),$A:$A,0))-1),"")</f>
        <v/>
      </c>
      <c r="K670" s="19">
        <f>IFERROR(IF(OR(F670="",INDEX(F:F,MATCH(DATE(YEAR($A670)-1,MONTH($A670),DAY($A670)),$A:$A,0))=""),"",F670/INDEX(F:F,MATCH(DATE(YEAR($A670)-1,MONTH($A670),DAY($A670)),$A:$A,0))-1),"")</f>
        <v/>
      </c>
      <c r="L670" s="19">
        <f>IFERROR(IF(OR(G670="",INDEX(G:G,MATCH(DATE(YEAR($A670)-1,MONTH($A670),DAY($A670)),$A:$A,0))=""),"",G670/INDEX(G:G,MATCH(DATE(YEAR($A670)-1,MONTH($A670),DAY($A670)),$A:$A,0))-1),"")</f>
        <v/>
      </c>
      <c r="M670" s="19">
        <f>IF(OR(E670="",E669=""),"",E670/E669-1)</f>
        <v/>
      </c>
      <c r="N670" s="19">
        <f>IF(OR(F670="",F669=""),"",F670/F669-1)</f>
        <v/>
      </c>
      <c r="O670" s="19">
        <f>IF(OR(G670="",G669=""),"",G670/G669-1)</f>
        <v/>
      </c>
      <c r="P670" s="22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IF(R670="","",P670/R670)</f>
        <v/>
      </c>
      <c r="T670" s="23">
        <f>IF(R670="","",Q670/R670)</f>
        <v/>
      </c>
      <c r="U670" s="24">
        <f>IF(SUMIFS('Daily NSE Equity Options'!$M:$M,'Daily NSE Equity Options'!$A:$A,$A670)=0,"",SUMIFS('Daily NSE Equity Options'!$M:$M,'Daily NSE Equity Options'!$A:$A,$A670))</f>
        <v/>
      </c>
      <c r="V670" s="9">
        <f>IF(SUMIFS('Daily BSE Equity Options'!$M:$M,'Daily BSE Equity Options'!$A:$A,$A670)=0,"",SUMIFS('Daily BSE Equity Options'!$M:$M,'Daily BSE Equity Options'!$A:$A,$A670))</f>
        <v/>
      </c>
      <c r="W670" s="9">
        <f>IF(OR(U670="",V670=""),"",U670+V670)</f>
        <v/>
      </c>
      <c r="X670" s="25">
        <f>IF(W670="","",U670/W670)</f>
        <v/>
      </c>
      <c r="Y670" s="25">
        <f>IF(W670="","",V670/W670)</f>
        <v/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19">
        <f>IF(G671="","",E671/G671)</f>
        <v/>
      </c>
      <c r="I671" s="19">
        <f>IF(G671="","",F671/G671)</f>
        <v/>
      </c>
      <c r="J671" s="26">
        <f>IFERROR(IF(OR(E671="",INDEX(E:E,MATCH(DATE(YEAR($A671)-1,MONTH($A671),DAY($A671)),$A:$A,0))=""),"",E671/INDEX(E:E,MATCH(DATE(YEAR($A671)-1,MONTH($A671),DAY($A671)),$A:$A,0))-1),"")</f>
        <v/>
      </c>
      <c r="K671" s="19">
        <f>IFERROR(IF(OR(F671="",INDEX(F:F,MATCH(DATE(YEAR($A671)-1,MONTH($A671),DAY($A671)),$A:$A,0))=""),"",F671/INDEX(F:F,MATCH(DATE(YEAR($A671)-1,MONTH($A671),DAY($A671)),$A:$A,0))-1),"")</f>
        <v/>
      </c>
      <c r="L671" s="19">
        <f>IFERROR(IF(OR(G671="",INDEX(G:G,MATCH(DATE(YEAR($A671)-1,MONTH($A671),DAY($A671)),$A:$A,0))=""),"",G671/INDEX(G:G,MATCH(DATE(YEAR($A671)-1,MONTH($A671),DAY($A671)),$A:$A,0))-1),"")</f>
        <v/>
      </c>
      <c r="M671" s="19">
        <f>IF(OR(E671="",E670=""),"",E671/E670-1)</f>
        <v/>
      </c>
      <c r="N671" s="19">
        <f>IF(OR(F671="",F670=""),"",F671/F670-1)</f>
        <v/>
      </c>
      <c r="O671" s="19">
        <f>IF(OR(G671="",G670=""),"",G671/G670-1)</f>
        <v/>
      </c>
      <c r="P671" s="22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IF(R671="","",P671/R671)</f>
        <v/>
      </c>
      <c r="T671" s="23">
        <f>IF(R671="","",Q671/R671)</f>
        <v/>
      </c>
      <c r="U671" s="24">
        <f>IF(SUMIFS('Daily NSE Equity Options'!$M:$M,'Daily NSE Equity Options'!$A:$A,$A671)=0,"",SUMIFS('Daily NSE Equity Options'!$M:$M,'Daily NSE Equity Options'!$A:$A,$A671))</f>
        <v/>
      </c>
      <c r="V671" s="9">
        <f>IF(SUMIFS('Daily BSE Equity Options'!$M:$M,'Daily BSE Equity Options'!$A:$A,$A671)=0,"",SUMIFS('Daily BSE Equity Options'!$M:$M,'Daily BSE Equity Options'!$A:$A,$A671))</f>
        <v/>
      </c>
      <c r="W671" s="9">
        <f>IF(OR(U671="",V671=""),"",U671+V671)</f>
        <v/>
      </c>
      <c r="X671" s="25">
        <f>IF(W671="","",U671/W671)</f>
        <v/>
      </c>
      <c r="Y671" s="25">
        <f>IF(W671="","",V671/W671)</f>
        <v/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19">
        <f>IF(G672="","",E672/G672)</f>
        <v/>
      </c>
      <c r="I672" s="19">
        <f>IF(G672="","",F672/G672)</f>
        <v/>
      </c>
      <c r="J672" s="26">
        <f>IFERROR(IF(OR(E672="",INDEX(E:E,MATCH(DATE(YEAR($A672)-1,MONTH($A672),DAY($A672)),$A:$A,0))=""),"",E672/INDEX(E:E,MATCH(DATE(YEAR($A672)-1,MONTH($A672),DAY($A672)),$A:$A,0))-1),"")</f>
        <v/>
      </c>
      <c r="K672" s="19">
        <f>IFERROR(IF(OR(F672="",INDEX(F:F,MATCH(DATE(YEAR($A672)-1,MONTH($A672),DAY($A672)),$A:$A,0))=""),"",F672/INDEX(F:F,MATCH(DATE(YEAR($A672)-1,MONTH($A672),DAY($A672)),$A:$A,0))-1),"")</f>
        <v/>
      </c>
      <c r="L672" s="19">
        <f>IFERROR(IF(OR(G672="",INDEX(G:G,MATCH(DATE(YEAR($A672)-1,MONTH($A672),DAY($A672)),$A:$A,0))=""),"",G672/INDEX(G:G,MATCH(DATE(YEAR($A672)-1,MONTH($A672),DAY($A672)),$A:$A,0))-1),"")</f>
        <v/>
      </c>
      <c r="M672" s="19">
        <f>IF(OR(E672="",E671=""),"",E672/E671-1)</f>
        <v/>
      </c>
      <c r="N672" s="19">
        <f>IF(OR(F672="",F671=""),"",F672/F671-1)</f>
        <v/>
      </c>
      <c r="O672" s="19">
        <f>IF(OR(G672="",G671=""),"",G672/G671-1)</f>
        <v/>
      </c>
      <c r="P672" s="22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IF(R672="","",P672/R672)</f>
        <v/>
      </c>
      <c r="T672" s="23">
        <f>IF(R672="","",Q672/R672)</f>
        <v/>
      </c>
      <c r="U672" s="24">
        <f>IF(SUMIFS('Daily NSE Equity Options'!$M:$M,'Daily NSE Equity Options'!$A:$A,$A672)=0,"",SUMIFS('Daily NSE Equity Options'!$M:$M,'Daily NSE Equity Options'!$A:$A,$A672))</f>
        <v/>
      </c>
      <c r="V672" s="9">
        <f>IF(SUMIFS('Daily BSE Equity Options'!$M:$M,'Daily BSE Equity Options'!$A:$A,$A672)=0,"",SUMIFS('Daily BSE Equity Options'!$M:$M,'Daily BSE Equity Options'!$A:$A,$A672))</f>
        <v/>
      </c>
      <c r="W672" s="9">
        <f>IF(OR(U672="",V672=""),"",U672+V672)</f>
        <v/>
      </c>
      <c r="X672" s="25">
        <f>IF(W672="","",U672/W672)</f>
        <v/>
      </c>
      <c r="Y672" s="25">
        <f>IF(W672="","",V672/W672)</f>
        <v/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19">
        <f>IF(G673="","",E673/G673)</f>
        <v/>
      </c>
      <c r="I673" s="19">
        <f>IF(G673="","",F673/G673)</f>
        <v/>
      </c>
      <c r="J673" s="26">
        <f>IFERROR(IF(OR(E673="",INDEX(E:E,MATCH(DATE(YEAR($A673)-1,MONTH($A673),DAY($A673)),$A:$A,0))=""),"",E673/INDEX(E:E,MATCH(DATE(YEAR($A673)-1,MONTH($A673),DAY($A673)),$A:$A,0))-1),"")</f>
        <v/>
      </c>
      <c r="K673" s="19">
        <f>IFERROR(IF(OR(F673="",INDEX(F:F,MATCH(DATE(YEAR($A673)-1,MONTH($A673),DAY($A673)),$A:$A,0))=""),"",F673/INDEX(F:F,MATCH(DATE(YEAR($A673)-1,MONTH($A673),DAY($A673)),$A:$A,0))-1),"")</f>
        <v/>
      </c>
      <c r="L673" s="19">
        <f>IFERROR(IF(OR(G673="",INDEX(G:G,MATCH(DATE(YEAR($A673)-1,MONTH($A673),DAY($A673)),$A:$A,0))=""),"",G673/INDEX(G:G,MATCH(DATE(YEAR($A673)-1,MONTH($A673),DAY($A673)),$A:$A,0))-1),"")</f>
        <v/>
      </c>
      <c r="M673" s="19">
        <f>IF(OR(E673="",E672=""),"",E673/E672-1)</f>
        <v/>
      </c>
      <c r="N673" s="19">
        <f>IF(OR(F673="",F672=""),"",F673/F672-1)</f>
        <v/>
      </c>
      <c r="O673" s="19">
        <f>IF(OR(G673="",G672=""),"",G673/G672-1)</f>
        <v/>
      </c>
      <c r="P673" s="22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IF(R673="","",P673/R673)</f>
        <v/>
      </c>
      <c r="T673" s="23">
        <f>IF(R673="","",Q673/R673)</f>
        <v/>
      </c>
      <c r="U673" s="24">
        <f>IF(SUMIFS('Daily NSE Equity Options'!$M:$M,'Daily NSE Equity Options'!$A:$A,$A673)=0,"",SUMIFS('Daily NSE Equity Options'!$M:$M,'Daily NSE Equity Options'!$A:$A,$A673))</f>
        <v/>
      </c>
      <c r="V673" s="9">
        <f>IF(SUMIFS('Daily BSE Equity Options'!$M:$M,'Daily BSE Equity Options'!$A:$A,$A673)=0,"",SUMIFS('Daily BSE Equity Options'!$M:$M,'Daily BSE Equity Options'!$A:$A,$A673))</f>
        <v/>
      </c>
      <c r="W673" s="9">
        <f>IF(OR(U673="",V673=""),"",U673+V673)</f>
        <v/>
      </c>
      <c r="X673" s="25">
        <f>IF(W673="","",U673/W673)</f>
        <v/>
      </c>
      <c r="Y673" s="25">
        <f>IF(W673="","",V673/W673)</f>
        <v/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19">
        <f>IF(G674="","",E674/G674)</f>
        <v/>
      </c>
      <c r="I674" s="19">
        <f>IF(G674="","",F674/G674)</f>
        <v/>
      </c>
      <c r="J674" s="26">
        <f>IFERROR(IF(OR(E674="",INDEX(E:E,MATCH(DATE(YEAR($A674)-1,MONTH($A674),DAY($A674)),$A:$A,0))=""),"",E674/INDEX(E:E,MATCH(DATE(YEAR($A674)-1,MONTH($A674),DAY($A674)),$A:$A,0))-1),"")</f>
        <v/>
      </c>
      <c r="K674" s="19">
        <f>IFERROR(IF(OR(F674="",INDEX(F:F,MATCH(DATE(YEAR($A674)-1,MONTH($A674),DAY($A674)),$A:$A,0))=""),"",F674/INDEX(F:F,MATCH(DATE(YEAR($A674)-1,MONTH($A674),DAY($A674)),$A:$A,0))-1),"")</f>
        <v/>
      </c>
      <c r="L674" s="19">
        <f>IFERROR(IF(OR(G674="",INDEX(G:G,MATCH(DATE(YEAR($A674)-1,MONTH($A674),DAY($A674)),$A:$A,0))=""),"",G674/INDEX(G:G,MATCH(DATE(YEAR($A674)-1,MONTH($A674),DAY($A674)),$A:$A,0))-1),"")</f>
        <v/>
      </c>
      <c r="M674" s="19">
        <f>IF(OR(E674="",E673=""),"",E674/E673-1)</f>
        <v/>
      </c>
      <c r="N674" s="19">
        <f>IF(OR(F674="",F673=""),"",F674/F673-1)</f>
        <v/>
      </c>
      <c r="O674" s="19">
        <f>IF(OR(G674="",G673=""),"",G674/G673-1)</f>
        <v/>
      </c>
      <c r="P674" s="22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IF(R674="","",P674/R674)</f>
        <v/>
      </c>
      <c r="T674" s="23">
        <f>IF(R674="","",Q674/R674)</f>
        <v/>
      </c>
      <c r="U674" s="24">
        <f>IF(SUMIFS('Daily NSE Equity Options'!$M:$M,'Daily NSE Equity Options'!$A:$A,$A674)=0,"",SUMIFS('Daily NSE Equity Options'!$M:$M,'Daily NSE Equity Options'!$A:$A,$A674))</f>
        <v/>
      </c>
      <c r="V674" s="9">
        <f>IF(SUMIFS('Daily BSE Equity Options'!$M:$M,'Daily BSE Equity Options'!$A:$A,$A674)=0,"",SUMIFS('Daily BSE Equity Options'!$M:$M,'Daily BSE Equity Options'!$A:$A,$A674))</f>
        <v/>
      </c>
      <c r="W674" s="9">
        <f>IF(OR(U674="",V674=""),"",U674+V674)</f>
        <v/>
      </c>
      <c r="X674" s="25">
        <f>IF(W674="","",U674/W674)</f>
        <v/>
      </c>
      <c r="Y674" s="25">
        <f>IF(W674="","",V674/W674)</f>
        <v/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19">
        <f>IF(G675="","",E675/G675)</f>
        <v/>
      </c>
      <c r="I675" s="19">
        <f>IF(G675="","",F675/G675)</f>
        <v/>
      </c>
      <c r="J675" s="26">
        <f>IFERROR(IF(OR(E675="",INDEX(E:E,MATCH(DATE(YEAR($A675)-1,MONTH($A675),DAY($A675)),$A:$A,0))=""),"",E675/INDEX(E:E,MATCH(DATE(YEAR($A675)-1,MONTH($A675),DAY($A675)),$A:$A,0))-1),"")</f>
        <v/>
      </c>
      <c r="K675" s="19">
        <f>IFERROR(IF(OR(F675="",INDEX(F:F,MATCH(DATE(YEAR($A675)-1,MONTH($A675),DAY($A675)),$A:$A,0))=""),"",F675/INDEX(F:F,MATCH(DATE(YEAR($A675)-1,MONTH($A675),DAY($A675)),$A:$A,0))-1),"")</f>
        <v/>
      </c>
      <c r="L675" s="19">
        <f>IFERROR(IF(OR(G675="",INDEX(G:G,MATCH(DATE(YEAR($A675)-1,MONTH($A675),DAY($A675)),$A:$A,0))=""),"",G675/INDEX(G:G,MATCH(DATE(YEAR($A675)-1,MONTH($A675),DAY($A675)),$A:$A,0))-1),"")</f>
        <v/>
      </c>
      <c r="M675" s="19">
        <f>IF(OR(E675="",E674=""),"",E675/E674-1)</f>
        <v/>
      </c>
      <c r="N675" s="19">
        <f>IF(OR(F675="",F674=""),"",F675/F674-1)</f>
        <v/>
      </c>
      <c r="O675" s="19">
        <f>IF(OR(G675="",G674=""),"",G675/G674-1)</f>
        <v/>
      </c>
      <c r="P675" s="22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IF(R675="","",P675/R675)</f>
        <v/>
      </c>
      <c r="T675" s="23">
        <f>IF(R675="","",Q675/R675)</f>
        <v/>
      </c>
      <c r="U675" s="24">
        <f>IF(SUMIFS('Daily NSE Equity Options'!$M:$M,'Daily NSE Equity Options'!$A:$A,$A675)=0,"",SUMIFS('Daily NSE Equity Options'!$M:$M,'Daily NSE Equity Options'!$A:$A,$A675))</f>
        <v/>
      </c>
      <c r="V675" s="9">
        <f>IF(SUMIFS('Daily BSE Equity Options'!$M:$M,'Daily BSE Equity Options'!$A:$A,$A675)=0,"",SUMIFS('Daily BSE Equity Options'!$M:$M,'Daily BSE Equity Options'!$A:$A,$A675))</f>
        <v/>
      </c>
      <c r="W675" s="9">
        <f>IF(OR(U675="",V675=""),"",U675+V675)</f>
        <v/>
      </c>
      <c r="X675" s="25">
        <f>IF(W675="","",U675/W675)</f>
        <v/>
      </c>
      <c r="Y675" s="25">
        <f>IF(W675="","",V675/W675)</f>
        <v/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19">
        <f>IF(G676="","",E676/G676)</f>
        <v/>
      </c>
      <c r="I676" s="19">
        <f>IF(G676="","",F676/G676)</f>
        <v/>
      </c>
      <c r="J676" s="26">
        <f>IFERROR(IF(OR(E676="",INDEX(E:E,MATCH(DATE(YEAR($A676)-1,MONTH($A676),DAY($A676)),$A:$A,0))=""),"",E676/INDEX(E:E,MATCH(DATE(YEAR($A676)-1,MONTH($A676),DAY($A676)),$A:$A,0))-1),"")</f>
        <v/>
      </c>
      <c r="K676" s="19">
        <f>IFERROR(IF(OR(F676="",INDEX(F:F,MATCH(DATE(YEAR($A676)-1,MONTH($A676),DAY($A676)),$A:$A,0))=""),"",F676/INDEX(F:F,MATCH(DATE(YEAR($A676)-1,MONTH($A676),DAY($A676)),$A:$A,0))-1),"")</f>
        <v/>
      </c>
      <c r="L676" s="19">
        <f>IFERROR(IF(OR(G676="",INDEX(G:G,MATCH(DATE(YEAR($A676)-1,MONTH($A676),DAY($A676)),$A:$A,0))=""),"",G676/INDEX(G:G,MATCH(DATE(YEAR($A676)-1,MONTH($A676),DAY($A676)),$A:$A,0))-1),"")</f>
        <v/>
      </c>
      <c r="M676" s="19">
        <f>IF(OR(E676="",E675=""),"",E676/E675-1)</f>
        <v/>
      </c>
      <c r="N676" s="19">
        <f>IF(OR(F676="",F675=""),"",F676/F675-1)</f>
        <v/>
      </c>
      <c r="O676" s="19">
        <f>IF(OR(G676="",G675=""),"",G676/G675-1)</f>
        <v/>
      </c>
      <c r="P676" s="22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IF(R676="","",P676/R676)</f>
        <v/>
      </c>
      <c r="T676" s="23">
        <f>IF(R676="","",Q676/R676)</f>
        <v/>
      </c>
      <c r="U676" s="24">
        <f>IF(SUMIFS('Daily NSE Equity Options'!$M:$M,'Daily NSE Equity Options'!$A:$A,$A676)=0,"",SUMIFS('Daily NSE Equity Options'!$M:$M,'Daily NSE Equity Options'!$A:$A,$A676))</f>
        <v/>
      </c>
      <c r="V676" s="9">
        <f>IF(SUMIFS('Daily BSE Equity Options'!$M:$M,'Daily BSE Equity Options'!$A:$A,$A676)=0,"",SUMIFS('Daily BSE Equity Options'!$M:$M,'Daily BSE Equity Options'!$A:$A,$A676))</f>
        <v/>
      </c>
      <c r="W676" s="9">
        <f>IF(OR(U676="",V676=""),"",U676+V676)</f>
        <v/>
      </c>
      <c r="X676" s="25">
        <f>IF(W676="","",U676/W676)</f>
        <v/>
      </c>
      <c r="Y676" s="25">
        <f>IF(W676="","",V676/W676)</f>
        <v/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19">
        <f>IF(G677="","",E677/G677)</f>
        <v/>
      </c>
      <c r="I677" s="19">
        <f>IF(G677="","",F677/G677)</f>
        <v/>
      </c>
      <c r="J677" s="26">
        <f>IFERROR(IF(OR(E677="",INDEX(E:E,MATCH(DATE(YEAR($A677)-1,MONTH($A677),DAY($A677)),$A:$A,0))=""),"",E677/INDEX(E:E,MATCH(DATE(YEAR($A677)-1,MONTH($A677),DAY($A677)),$A:$A,0))-1),"")</f>
        <v/>
      </c>
      <c r="K677" s="19">
        <f>IFERROR(IF(OR(F677="",INDEX(F:F,MATCH(DATE(YEAR($A677)-1,MONTH($A677),DAY($A677)),$A:$A,0))=""),"",F677/INDEX(F:F,MATCH(DATE(YEAR($A677)-1,MONTH($A677),DAY($A677)),$A:$A,0))-1),"")</f>
        <v/>
      </c>
      <c r="L677" s="19">
        <f>IFERROR(IF(OR(G677="",INDEX(G:G,MATCH(DATE(YEAR($A677)-1,MONTH($A677),DAY($A677)),$A:$A,0))=""),"",G677/INDEX(G:G,MATCH(DATE(YEAR($A677)-1,MONTH($A677),DAY($A677)),$A:$A,0))-1),"")</f>
        <v/>
      </c>
      <c r="M677" s="19">
        <f>IF(OR(E677="",E676=""),"",E677/E676-1)</f>
        <v/>
      </c>
      <c r="N677" s="19">
        <f>IF(OR(F677="",F676=""),"",F677/F676-1)</f>
        <v/>
      </c>
      <c r="O677" s="19">
        <f>IF(OR(G677="",G676=""),"",G677/G676-1)</f>
        <v/>
      </c>
      <c r="P677" s="22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IF(R677="","",P677/R677)</f>
        <v/>
      </c>
      <c r="T677" s="23">
        <f>IF(R677="","",Q677/R677)</f>
        <v/>
      </c>
      <c r="U677" s="24">
        <f>IF(SUMIFS('Daily NSE Equity Options'!$M:$M,'Daily NSE Equity Options'!$A:$A,$A677)=0,"",SUMIFS('Daily NSE Equity Options'!$M:$M,'Daily NSE Equity Options'!$A:$A,$A677))</f>
        <v/>
      </c>
      <c r="V677" s="9">
        <f>IF(SUMIFS('Daily BSE Equity Options'!$M:$M,'Daily BSE Equity Options'!$A:$A,$A677)=0,"",SUMIFS('Daily BSE Equity Options'!$M:$M,'Daily BSE Equity Options'!$A:$A,$A677))</f>
        <v/>
      </c>
      <c r="W677" s="9">
        <f>IF(OR(U677="",V677=""),"",U677+V677)</f>
        <v/>
      </c>
      <c r="X677" s="25">
        <f>IF(W677="","",U677/W677)</f>
        <v/>
      </c>
      <c r="Y677" s="25">
        <f>IF(W677="","",V677/W677)</f>
        <v/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19">
        <f>IF(G678="","",E678/G678)</f>
        <v/>
      </c>
      <c r="I678" s="19">
        <f>IF(G678="","",F678/G678)</f>
        <v/>
      </c>
      <c r="J678" s="26">
        <f>IFERROR(IF(OR(E678="",INDEX(E:E,MATCH(DATE(YEAR($A678)-1,MONTH($A678),DAY($A678)),$A:$A,0))=""),"",E678/INDEX(E:E,MATCH(DATE(YEAR($A678)-1,MONTH($A678),DAY($A678)),$A:$A,0))-1),"")</f>
        <v/>
      </c>
      <c r="K678" s="19">
        <f>IFERROR(IF(OR(F678="",INDEX(F:F,MATCH(DATE(YEAR($A678)-1,MONTH($A678),DAY($A678)),$A:$A,0))=""),"",F678/INDEX(F:F,MATCH(DATE(YEAR($A678)-1,MONTH($A678),DAY($A678)),$A:$A,0))-1),"")</f>
        <v/>
      </c>
      <c r="L678" s="19">
        <f>IFERROR(IF(OR(G678="",INDEX(G:G,MATCH(DATE(YEAR($A678)-1,MONTH($A678),DAY($A678)),$A:$A,0))=""),"",G678/INDEX(G:G,MATCH(DATE(YEAR($A678)-1,MONTH($A678),DAY($A678)),$A:$A,0))-1),"")</f>
        <v/>
      </c>
      <c r="M678" s="19">
        <f>IF(OR(E678="",E677=""),"",E678/E677-1)</f>
        <v/>
      </c>
      <c r="N678" s="19">
        <f>IF(OR(F678="",F677=""),"",F678/F677-1)</f>
        <v/>
      </c>
      <c r="O678" s="19">
        <f>IF(OR(G678="",G677=""),"",G678/G677-1)</f>
        <v/>
      </c>
      <c r="P678" s="22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IF(R678="","",P678/R678)</f>
        <v/>
      </c>
      <c r="T678" s="23">
        <f>IF(R678="","",Q678/R678)</f>
        <v/>
      </c>
      <c r="U678" s="24">
        <f>IF(SUMIFS('Daily NSE Equity Options'!$M:$M,'Daily NSE Equity Options'!$A:$A,$A678)=0,"",SUMIFS('Daily NSE Equity Options'!$M:$M,'Daily NSE Equity Options'!$A:$A,$A678))</f>
        <v/>
      </c>
      <c r="V678" s="9">
        <f>IF(SUMIFS('Daily BSE Equity Options'!$M:$M,'Daily BSE Equity Options'!$A:$A,$A678)=0,"",SUMIFS('Daily BSE Equity Options'!$M:$M,'Daily BSE Equity Options'!$A:$A,$A678))</f>
        <v/>
      </c>
      <c r="W678" s="9">
        <f>IF(OR(U678="",V678=""),"",U678+V678)</f>
        <v/>
      </c>
      <c r="X678" s="25">
        <f>IF(W678="","",U678/W678)</f>
        <v/>
      </c>
      <c r="Y678" s="25">
        <f>IF(W678="","",V678/W678)</f>
        <v/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19">
        <f>IF(G679="","",E679/G679)</f>
        <v/>
      </c>
      <c r="I679" s="19">
        <f>IF(G679="","",F679/G679)</f>
        <v/>
      </c>
      <c r="J679" s="26">
        <f>IFERROR(IF(OR(E679="",INDEX(E:E,MATCH(DATE(YEAR($A679)-1,MONTH($A679),DAY($A679)),$A:$A,0))=""),"",E679/INDEX(E:E,MATCH(DATE(YEAR($A679)-1,MONTH($A679),DAY($A679)),$A:$A,0))-1),"")</f>
        <v/>
      </c>
      <c r="K679" s="19">
        <f>IFERROR(IF(OR(F679="",INDEX(F:F,MATCH(DATE(YEAR($A679)-1,MONTH($A679),DAY($A679)),$A:$A,0))=""),"",F679/INDEX(F:F,MATCH(DATE(YEAR($A679)-1,MONTH($A679),DAY($A679)),$A:$A,0))-1),"")</f>
        <v/>
      </c>
      <c r="L679" s="19">
        <f>IFERROR(IF(OR(G679="",INDEX(G:G,MATCH(DATE(YEAR($A679)-1,MONTH($A679),DAY($A679)),$A:$A,0))=""),"",G679/INDEX(G:G,MATCH(DATE(YEAR($A679)-1,MONTH($A679),DAY($A679)),$A:$A,0))-1),"")</f>
        <v/>
      </c>
      <c r="M679" s="19">
        <f>IF(OR(E679="",E678=""),"",E679/E678-1)</f>
        <v/>
      </c>
      <c r="N679" s="19">
        <f>IF(OR(F679="",F678=""),"",F679/F678-1)</f>
        <v/>
      </c>
      <c r="O679" s="19">
        <f>IF(OR(G679="",G678=""),"",G679/G678-1)</f>
        <v/>
      </c>
      <c r="P679" s="22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IF(R679="","",P679/R679)</f>
        <v/>
      </c>
      <c r="T679" s="23">
        <f>IF(R679="","",Q679/R679)</f>
        <v/>
      </c>
      <c r="U679" s="24">
        <f>IF(SUMIFS('Daily NSE Equity Options'!$M:$M,'Daily NSE Equity Options'!$A:$A,$A679)=0,"",SUMIFS('Daily NSE Equity Options'!$M:$M,'Daily NSE Equity Options'!$A:$A,$A679))</f>
        <v/>
      </c>
      <c r="V679" s="9">
        <f>IF(SUMIFS('Daily BSE Equity Options'!$M:$M,'Daily BSE Equity Options'!$A:$A,$A679)=0,"",SUMIFS('Daily BSE Equity Options'!$M:$M,'Daily BSE Equity Options'!$A:$A,$A679))</f>
        <v/>
      </c>
      <c r="W679" s="9">
        <f>IF(OR(U679="",V679=""),"",U679+V679)</f>
        <v/>
      </c>
      <c r="X679" s="25">
        <f>IF(W679="","",U679/W679)</f>
        <v/>
      </c>
      <c r="Y679" s="25">
        <f>IF(W679="","",V679/W679)</f>
        <v/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19">
        <f>IF(G680="","",E680/G680)</f>
        <v/>
      </c>
      <c r="I680" s="19">
        <f>IF(G680="","",F680/G680)</f>
        <v/>
      </c>
      <c r="J680" s="26">
        <f>IFERROR(IF(OR(E680="",INDEX(E:E,MATCH(DATE(YEAR($A680)-1,MONTH($A680),DAY($A680)),$A:$A,0))=""),"",E680/INDEX(E:E,MATCH(DATE(YEAR($A680)-1,MONTH($A680),DAY($A680)),$A:$A,0))-1),"")</f>
        <v/>
      </c>
      <c r="K680" s="19">
        <f>IFERROR(IF(OR(F680="",INDEX(F:F,MATCH(DATE(YEAR($A680)-1,MONTH($A680),DAY($A680)),$A:$A,0))=""),"",F680/INDEX(F:F,MATCH(DATE(YEAR($A680)-1,MONTH($A680),DAY($A680)),$A:$A,0))-1),"")</f>
        <v/>
      </c>
      <c r="L680" s="19">
        <f>IFERROR(IF(OR(G680="",INDEX(G:G,MATCH(DATE(YEAR($A680)-1,MONTH($A680),DAY($A680)),$A:$A,0))=""),"",G680/INDEX(G:G,MATCH(DATE(YEAR($A680)-1,MONTH($A680),DAY($A680)),$A:$A,0))-1),"")</f>
        <v/>
      </c>
      <c r="M680" s="19">
        <f>IF(OR(E680="",E679=""),"",E680/E679-1)</f>
        <v/>
      </c>
      <c r="N680" s="19">
        <f>IF(OR(F680="",F679=""),"",F680/F679-1)</f>
        <v/>
      </c>
      <c r="O680" s="19">
        <f>IF(OR(G680="",G679=""),"",G680/G679-1)</f>
        <v/>
      </c>
      <c r="P680" s="22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IF(R680="","",P680/R680)</f>
        <v/>
      </c>
      <c r="T680" s="23">
        <f>IF(R680="","",Q680/R680)</f>
        <v/>
      </c>
      <c r="U680" s="24">
        <f>IF(SUMIFS('Daily NSE Equity Options'!$M:$M,'Daily NSE Equity Options'!$A:$A,$A680)=0,"",SUMIFS('Daily NSE Equity Options'!$M:$M,'Daily NSE Equity Options'!$A:$A,$A680))</f>
        <v/>
      </c>
      <c r="V680" s="9">
        <f>IF(SUMIFS('Daily BSE Equity Options'!$M:$M,'Daily BSE Equity Options'!$A:$A,$A680)=0,"",SUMIFS('Daily BSE Equity Options'!$M:$M,'Daily BSE Equity Options'!$A:$A,$A680))</f>
        <v/>
      </c>
      <c r="W680" s="9">
        <f>IF(OR(U680="",V680=""),"",U680+V680)</f>
        <v/>
      </c>
      <c r="X680" s="25">
        <f>IF(W680="","",U680/W680)</f>
        <v/>
      </c>
      <c r="Y680" s="25">
        <f>IF(W680="","",V680/W680)</f>
        <v/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19">
        <f>IF(G681="","",E681/G681)</f>
        <v/>
      </c>
      <c r="I681" s="19">
        <f>IF(G681="","",F681/G681)</f>
        <v/>
      </c>
      <c r="J681" s="26">
        <f>IFERROR(IF(OR(E681="",INDEX(E:E,MATCH(DATE(YEAR($A681)-1,MONTH($A681),DAY($A681)),$A:$A,0))=""),"",E681/INDEX(E:E,MATCH(DATE(YEAR($A681)-1,MONTH($A681),DAY($A681)),$A:$A,0))-1),"")</f>
        <v/>
      </c>
      <c r="K681" s="19">
        <f>IFERROR(IF(OR(F681="",INDEX(F:F,MATCH(DATE(YEAR($A681)-1,MONTH($A681),DAY($A681)),$A:$A,0))=""),"",F681/INDEX(F:F,MATCH(DATE(YEAR($A681)-1,MONTH($A681),DAY($A681)),$A:$A,0))-1),"")</f>
        <v/>
      </c>
      <c r="L681" s="19">
        <f>IFERROR(IF(OR(G681="",INDEX(G:G,MATCH(DATE(YEAR($A681)-1,MONTH($A681),DAY($A681)),$A:$A,0))=""),"",G681/INDEX(G:G,MATCH(DATE(YEAR($A681)-1,MONTH($A681),DAY($A681)),$A:$A,0))-1),"")</f>
        <v/>
      </c>
      <c r="M681" s="19">
        <f>IF(OR(E681="",E680=""),"",E681/E680-1)</f>
        <v/>
      </c>
      <c r="N681" s="19">
        <f>IF(OR(F681="",F680=""),"",F681/F680-1)</f>
        <v/>
      </c>
      <c r="O681" s="19">
        <f>IF(OR(G681="",G680=""),"",G681/G680-1)</f>
        <v/>
      </c>
      <c r="P681" s="22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IF(R681="","",P681/R681)</f>
        <v/>
      </c>
      <c r="T681" s="23">
        <f>IF(R681="","",Q681/R681)</f>
        <v/>
      </c>
      <c r="U681" s="24">
        <f>IF(SUMIFS('Daily NSE Equity Options'!$M:$M,'Daily NSE Equity Options'!$A:$A,$A681)=0,"",SUMIFS('Daily NSE Equity Options'!$M:$M,'Daily NSE Equity Options'!$A:$A,$A681))</f>
        <v/>
      </c>
      <c r="V681" s="9">
        <f>IF(SUMIFS('Daily BSE Equity Options'!$M:$M,'Daily BSE Equity Options'!$A:$A,$A681)=0,"",SUMIFS('Daily BSE Equity Options'!$M:$M,'Daily BSE Equity Options'!$A:$A,$A681))</f>
        <v/>
      </c>
      <c r="W681" s="9">
        <f>IF(OR(U681="",V681=""),"",U681+V681)</f>
        <v/>
      </c>
      <c r="X681" s="25">
        <f>IF(W681="","",U681/W681)</f>
        <v/>
      </c>
      <c r="Y681" s="25">
        <f>IF(W681="","",V681/W681)</f>
        <v/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19">
        <f>IF(G682="","",E682/G682)</f>
        <v/>
      </c>
      <c r="I682" s="19">
        <f>IF(G682="","",F682/G682)</f>
        <v/>
      </c>
      <c r="J682" s="26">
        <f>IFERROR(IF(OR(E682="",INDEX(E:E,MATCH(DATE(YEAR($A682)-1,MONTH($A682),DAY($A682)),$A:$A,0))=""),"",E682/INDEX(E:E,MATCH(DATE(YEAR($A682)-1,MONTH($A682),DAY($A682)),$A:$A,0))-1),"")</f>
        <v/>
      </c>
      <c r="K682" s="19">
        <f>IFERROR(IF(OR(F682="",INDEX(F:F,MATCH(DATE(YEAR($A682)-1,MONTH($A682),DAY($A682)),$A:$A,0))=""),"",F682/INDEX(F:F,MATCH(DATE(YEAR($A682)-1,MONTH($A682),DAY($A682)),$A:$A,0))-1),"")</f>
        <v/>
      </c>
      <c r="L682" s="19">
        <f>IFERROR(IF(OR(G682="",INDEX(G:G,MATCH(DATE(YEAR($A682)-1,MONTH($A682),DAY($A682)),$A:$A,0))=""),"",G682/INDEX(G:G,MATCH(DATE(YEAR($A682)-1,MONTH($A682),DAY($A682)),$A:$A,0))-1),"")</f>
        <v/>
      </c>
      <c r="M682" s="19">
        <f>IF(OR(E682="",E681=""),"",E682/E681-1)</f>
        <v/>
      </c>
      <c r="N682" s="19">
        <f>IF(OR(F682="",F681=""),"",F682/F681-1)</f>
        <v/>
      </c>
      <c r="O682" s="19">
        <f>IF(OR(G682="",G681=""),"",G682/G681-1)</f>
        <v/>
      </c>
      <c r="P682" s="22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IF(R682="","",P682/R682)</f>
        <v/>
      </c>
      <c r="T682" s="23">
        <f>IF(R682="","",Q682/R682)</f>
        <v/>
      </c>
      <c r="U682" s="24">
        <f>IF(SUMIFS('Daily NSE Equity Options'!$M:$M,'Daily NSE Equity Options'!$A:$A,$A682)=0,"",SUMIFS('Daily NSE Equity Options'!$M:$M,'Daily NSE Equity Options'!$A:$A,$A682))</f>
        <v/>
      </c>
      <c r="V682" s="9">
        <f>IF(SUMIFS('Daily BSE Equity Options'!$M:$M,'Daily BSE Equity Options'!$A:$A,$A682)=0,"",SUMIFS('Daily BSE Equity Options'!$M:$M,'Daily BSE Equity Options'!$A:$A,$A682))</f>
        <v/>
      </c>
      <c r="W682" s="9">
        <f>IF(OR(U682="",V682=""),"",U682+V682)</f>
        <v/>
      </c>
      <c r="X682" s="25">
        <f>IF(W682="","",U682/W682)</f>
        <v/>
      </c>
      <c r="Y682" s="25">
        <f>IF(W682="","",V682/W682)</f>
        <v/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19">
        <f>IF(G683="","",E683/G683)</f>
        <v/>
      </c>
      <c r="I683" s="19">
        <f>IF(G683="","",F683/G683)</f>
        <v/>
      </c>
      <c r="J683" s="26">
        <f>IFERROR(IF(OR(E683="",INDEX(E:E,MATCH(DATE(YEAR($A683)-1,MONTH($A683),DAY($A683)),$A:$A,0))=""),"",E683/INDEX(E:E,MATCH(DATE(YEAR($A683)-1,MONTH($A683),DAY($A683)),$A:$A,0))-1),"")</f>
        <v/>
      </c>
      <c r="K683" s="19">
        <f>IFERROR(IF(OR(F683="",INDEX(F:F,MATCH(DATE(YEAR($A683)-1,MONTH($A683),DAY($A683)),$A:$A,0))=""),"",F683/INDEX(F:F,MATCH(DATE(YEAR($A683)-1,MONTH($A683),DAY($A683)),$A:$A,0))-1),"")</f>
        <v/>
      </c>
      <c r="L683" s="19">
        <f>IFERROR(IF(OR(G683="",INDEX(G:G,MATCH(DATE(YEAR($A683)-1,MONTH($A683),DAY($A683)),$A:$A,0))=""),"",G683/INDEX(G:G,MATCH(DATE(YEAR($A683)-1,MONTH($A683),DAY($A683)),$A:$A,0))-1),"")</f>
        <v/>
      </c>
      <c r="M683" s="19">
        <f>IF(OR(E683="",E682=""),"",E683/E682-1)</f>
        <v/>
      </c>
      <c r="N683" s="19">
        <f>IF(OR(F683="",F682=""),"",F683/F682-1)</f>
        <v/>
      </c>
      <c r="O683" s="19">
        <f>IF(OR(G683="",G682=""),"",G683/G682-1)</f>
        <v/>
      </c>
      <c r="P683" s="22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IF(R683="","",P683/R683)</f>
        <v/>
      </c>
      <c r="T683" s="23">
        <f>IF(R683="","",Q683/R683)</f>
        <v/>
      </c>
      <c r="U683" s="24">
        <f>IF(SUMIFS('Daily NSE Equity Options'!$M:$M,'Daily NSE Equity Options'!$A:$A,$A683)=0,"",SUMIFS('Daily NSE Equity Options'!$M:$M,'Daily NSE Equity Options'!$A:$A,$A683))</f>
        <v/>
      </c>
      <c r="V683" s="9">
        <f>IF(SUMIFS('Daily BSE Equity Options'!$M:$M,'Daily BSE Equity Options'!$A:$A,$A683)=0,"",SUMIFS('Daily BSE Equity Options'!$M:$M,'Daily BSE Equity Options'!$A:$A,$A683))</f>
        <v/>
      </c>
      <c r="W683" s="9">
        <f>IF(OR(U683="",V683=""),"",U683+V683)</f>
        <v/>
      </c>
      <c r="X683" s="25">
        <f>IF(W683="","",U683/W683)</f>
        <v/>
      </c>
      <c r="Y683" s="25">
        <f>IF(W683="","",V683/W683)</f>
        <v/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19">
        <f>IF(G684="","",E684/G684)</f>
        <v/>
      </c>
      <c r="I684" s="19">
        <f>IF(G684="","",F684/G684)</f>
        <v/>
      </c>
      <c r="J684" s="26">
        <f>IFERROR(IF(OR(E684="",INDEX(E:E,MATCH(DATE(YEAR($A684)-1,MONTH($A684),DAY($A684)),$A:$A,0))=""),"",E684/INDEX(E:E,MATCH(DATE(YEAR($A684)-1,MONTH($A684),DAY($A684)),$A:$A,0))-1),"")</f>
        <v/>
      </c>
      <c r="K684" s="19">
        <f>IFERROR(IF(OR(F684="",INDEX(F:F,MATCH(DATE(YEAR($A684)-1,MONTH($A684),DAY($A684)),$A:$A,0))=""),"",F684/INDEX(F:F,MATCH(DATE(YEAR($A684)-1,MONTH($A684),DAY($A684)),$A:$A,0))-1),"")</f>
        <v/>
      </c>
      <c r="L684" s="19">
        <f>IFERROR(IF(OR(G684="",INDEX(G:G,MATCH(DATE(YEAR($A684)-1,MONTH($A684),DAY($A684)),$A:$A,0))=""),"",G684/INDEX(G:G,MATCH(DATE(YEAR($A684)-1,MONTH($A684),DAY($A684)),$A:$A,0))-1),"")</f>
        <v/>
      </c>
      <c r="M684" s="19">
        <f>IF(OR(E684="",E683=""),"",E684/E683-1)</f>
        <v/>
      </c>
      <c r="N684" s="19">
        <f>IF(OR(F684="",F683=""),"",F684/F683-1)</f>
        <v/>
      </c>
      <c r="O684" s="19">
        <f>IF(OR(G684="",G683=""),"",G684/G683-1)</f>
        <v/>
      </c>
      <c r="P684" s="22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IF(R684="","",P684/R684)</f>
        <v/>
      </c>
      <c r="T684" s="23">
        <f>IF(R684="","",Q684/R684)</f>
        <v/>
      </c>
      <c r="U684" s="24">
        <f>IF(SUMIFS('Daily NSE Equity Options'!$M:$M,'Daily NSE Equity Options'!$A:$A,$A684)=0,"",SUMIFS('Daily NSE Equity Options'!$M:$M,'Daily NSE Equity Options'!$A:$A,$A684))</f>
        <v/>
      </c>
      <c r="V684" s="9">
        <f>IF(SUMIFS('Daily BSE Equity Options'!$M:$M,'Daily BSE Equity Options'!$A:$A,$A684)=0,"",SUMIFS('Daily BSE Equity Options'!$M:$M,'Daily BSE Equity Options'!$A:$A,$A684))</f>
        <v/>
      </c>
      <c r="W684" s="9">
        <f>IF(OR(U684="",V684=""),"",U684+V684)</f>
        <v/>
      </c>
      <c r="X684" s="25">
        <f>IF(W684="","",U684/W684)</f>
        <v/>
      </c>
      <c r="Y684" s="25">
        <f>IF(W684="","",V684/W684)</f>
        <v/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19">
        <f>IF(G685="","",E685/G685)</f>
        <v/>
      </c>
      <c r="I685" s="19">
        <f>IF(G685="","",F685/G685)</f>
        <v/>
      </c>
      <c r="J685" s="26">
        <f>IFERROR(IF(OR(E685="",INDEX(E:E,MATCH(DATE(YEAR($A685)-1,MONTH($A685),DAY($A685)),$A:$A,0))=""),"",E685/INDEX(E:E,MATCH(DATE(YEAR($A685)-1,MONTH($A685),DAY($A685)),$A:$A,0))-1),"")</f>
        <v/>
      </c>
      <c r="K685" s="19">
        <f>IFERROR(IF(OR(F685="",INDEX(F:F,MATCH(DATE(YEAR($A685)-1,MONTH($A685),DAY($A685)),$A:$A,0))=""),"",F685/INDEX(F:F,MATCH(DATE(YEAR($A685)-1,MONTH($A685),DAY($A685)),$A:$A,0))-1),"")</f>
        <v/>
      </c>
      <c r="L685" s="19">
        <f>IFERROR(IF(OR(G685="",INDEX(G:G,MATCH(DATE(YEAR($A685)-1,MONTH($A685),DAY($A685)),$A:$A,0))=""),"",G685/INDEX(G:G,MATCH(DATE(YEAR($A685)-1,MONTH($A685),DAY($A685)),$A:$A,0))-1),"")</f>
        <v/>
      </c>
      <c r="M685" s="19">
        <f>IF(OR(E685="",E684=""),"",E685/E684-1)</f>
        <v/>
      </c>
      <c r="N685" s="19">
        <f>IF(OR(F685="",F684=""),"",F685/F684-1)</f>
        <v/>
      </c>
      <c r="O685" s="19">
        <f>IF(OR(G685="",G684=""),"",G685/G684-1)</f>
        <v/>
      </c>
      <c r="P685" s="22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IF(R685="","",P685/R685)</f>
        <v/>
      </c>
      <c r="T685" s="23">
        <f>IF(R685="","",Q685/R685)</f>
        <v/>
      </c>
      <c r="U685" s="24">
        <f>IF(SUMIFS('Daily NSE Equity Options'!$M:$M,'Daily NSE Equity Options'!$A:$A,$A685)=0,"",SUMIFS('Daily NSE Equity Options'!$M:$M,'Daily NSE Equity Options'!$A:$A,$A685))</f>
        <v/>
      </c>
      <c r="V685" s="9">
        <f>IF(SUMIFS('Daily BSE Equity Options'!$M:$M,'Daily BSE Equity Options'!$A:$A,$A685)=0,"",SUMIFS('Daily BSE Equity Options'!$M:$M,'Daily BSE Equity Options'!$A:$A,$A685))</f>
        <v/>
      </c>
      <c r="W685" s="9">
        <f>IF(OR(U685="",V685=""),"",U685+V685)</f>
        <v/>
      </c>
      <c r="X685" s="25">
        <f>IF(W685="","",U685/W685)</f>
        <v/>
      </c>
      <c r="Y685" s="25">
        <f>IF(W685="","",V685/W685)</f>
        <v/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19">
        <f>IF(G686="","",E686/G686)</f>
        <v/>
      </c>
      <c r="I686" s="19">
        <f>IF(G686="","",F686/G686)</f>
        <v/>
      </c>
      <c r="J686" s="26">
        <f>IFERROR(IF(OR(E686="",INDEX(E:E,MATCH(DATE(YEAR($A686)-1,MONTH($A686),DAY($A686)),$A:$A,0))=""),"",E686/INDEX(E:E,MATCH(DATE(YEAR($A686)-1,MONTH($A686),DAY($A686)),$A:$A,0))-1),"")</f>
        <v/>
      </c>
      <c r="K686" s="19">
        <f>IFERROR(IF(OR(F686="",INDEX(F:F,MATCH(DATE(YEAR($A686)-1,MONTH($A686),DAY($A686)),$A:$A,0))=""),"",F686/INDEX(F:F,MATCH(DATE(YEAR($A686)-1,MONTH($A686),DAY($A686)),$A:$A,0))-1),"")</f>
        <v/>
      </c>
      <c r="L686" s="19">
        <f>IFERROR(IF(OR(G686="",INDEX(G:G,MATCH(DATE(YEAR($A686)-1,MONTH($A686),DAY($A686)),$A:$A,0))=""),"",G686/INDEX(G:G,MATCH(DATE(YEAR($A686)-1,MONTH($A686),DAY($A686)),$A:$A,0))-1),"")</f>
        <v/>
      </c>
      <c r="M686" s="19">
        <f>IF(OR(E686="",E685=""),"",E686/E685-1)</f>
        <v/>
      </c>
      <c r="N686" s="19">
        <f>IF(OR(F686="",F685=""),"",F686/F685-1)</f>
        <v/>
      </c>
      <c r="O686" s="19">
        <f>IF(OR(G686="",G685=""),"",G686/G685-1)</f>
        <v/>
      </c>
      <c r="P686" s="22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IF(R686="","",P686/R686)</f>
        <v/>
      </c>
      <c r="T686" s="23">
        <f>IF(R686="","",Q686/R686)</f>
        <v/>
      </c>
      <c r="U686" s="24">
        <f>IF(SUMIFS('Daily NSE Equity Options'!$M:$M,'Daily NSE Equity Options'!$A:$A,$A686)=0,"",SUMIFS('Daily NSE Equity Options'!$M:$M,'Daily NSE Equity Options'!$A:$A,$A686))</f>
        <v/>
      </c>
      <c r="V686" s="9">
        <f>IF(SUMIFS('Daily BSE Equity Options'!$M:$M,'Daily BSE Equity Options'!$A:$A,$A686)=0,"",SUMIFS('Daily BSE Equity Options'!$M:$M,'Daily BSE Equity Options'!$A:$A,$A686))</f>
        <v/>
      </c>
      <c r="W686" s="9">
        <f>IF(OR(U686="",V686=""),"",U686+V686)</f>
        <v/>
      </c>
      <c r="X686" s="25">
        <f>IF(W686="","",U686/W686)</f>
        <v/>
      </c>
      <c r="Y686" s="25">
        <f>IF(W686="","",V686/W686)</f>
        <v/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19">
        <f>IF(G687="","",E687/G687)</f>
        <v/>
      </c>
      <c r="I687" s="19">
        <f>IF(G687="","",F687/G687)</f>
        <v/>
      </c>
      <c r="J687" s="26">
        <f>IFERROR(IF(OR(E687="",INDEX(E:E,MATCH(DATE(YEAR($A687)-1,MONTH($A687),DAY($A687)),$A:$A,0))=""),"",E687/INDEX(E:E,MATCH(DATE(YEAR($A687)-1,MONTH($A687),DAY($A687)),$A:$A,0))-1),"")</f>
        <v/>
      </c>
      <c r="K687" s="19">
        <f>IFERROR(IF(OR(F687="",INDEX(F:F,MATCH(DATE(YEAR($A687)-1,MONTH($A687),DAY($A687)),$A:$A,0))=""),"",F687/INDEX(F:F,MATCH(DATE(YEAR($A687)-1,MONTH($A687),DAY($A687)),$A:$A,0))-1),"")</f>
        <v/>
      </c>
      <c r="L687" s="19">
        <f>IFERROR(IF(OR(G687="",INDEX(G:G,MATCH(DATE(YEAR($A687)-1,MONTH($A687),DAY($A687)),$A:$A,0))=""),"",G687/INDEX(G:G,MATCH(DATE(YEAR($A687)-1,MONTH($A687),DAY($A687)),$A:$A,0))-1),"")</f>
        <v/>
      </c>
      <c r="M687" s="19">
        <f>IF(OR(E687="",E686=""),"",E687/E686-1)</f>
        <v/>
      </c>
      <c r="N687" s="19">
        <f>IF(OR(F687="",F686=""),"",F687/F686-1)</f>
        <v/>
      </c>
      <c r="O687" s="19">
        <f>IF(OR(G687="",G686=""),"",G687/G686-1)</f>
        <v/>
      </c>
      <c r="P687" s="22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IF(R687="","",P687/R687)</f>
        <v/>
      </c>
      <c r="T687" s="23">
        <f>IF(R687="","",Q687/R687)</f>
        <v/>
      </c>
      <c r="U687" s="24">
        <f>IF(SUMIFS('Daily NSE Equity Options'!$M:$M,'Daily NSE Equity Options'!$A:$A,$A687)=0,"",SUMIFS('Daily NSE Equity Options'!$M:$M,'Daily NSE Equity Options'!$A:$A,$A687))</f>
        <v/>
      </c>
      <c r="V687" s="9">
        <f>IF(SUMIFS('Daily BSE Equity Options'!$M:$M,'Daily BSE Equity Options'!$A:$A,$A687)=0,"",SUMIFS('Daily BSE Equity Options'!$M:$M,'Daily BSE Equity Options'!$A:$A,$A687))</f>
        <v/>
      </c>
      <c r="W687" s="9">
        <f>IF(OR(U687="",V687=""),"",U687+V687)</f>
        <v/>
      </c>
      <c r="X687" s="25">
        <f>IF(W687="","",U687/W687)</f>
        <v/>
      </c>
      <c r="Y687" s="25">
        <f>IF(W687="","",V687/W687)</f>
        <v/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19">
        <f>IF(G688="","",E688/G688)</f>
        <v/>
      </c>
      <c r="I688" s="19">
        <f>IF(G688="","",F688/G688)</f>
        <v/>
      </c>
      <c r="J688" s="26">
        <f>IFERROR(IF(OR(E688="",INDEX(E:E,MATCH(DATE(YEAR($A688)-1,MONTH($A688),DAY($A688)),$A:$A,0))=""),"",E688/INDEX(E:E,MATCH(DATE(YEAR($A688)-1,MONTH($A688),DAY($A688)),$A:$A,0))-1),"")</f>
        <v/>
      </c>
      <c r="K688" s="19">
        <f>IFERROR(IF(OR(F688="",INDEX(F:F,MATCH(DATE(YEAR($A688)-1,MONTH($A688),DAY($A688)),$A:$A,0))=""),"",F688/INDEX(F:F,MATCH(DATE(YEAR($A688)-1,MONTH($A688),DAY($A688)),$A:$A,0))-1),"")</f>
        <v/>
      </c>
      <c r="L688" s="19">
        <f>IFERROR(IF(OR(G688="",INDEX(G:G,MATCH(DATE(YEAR($A688)-1,MONTH($A688),DAY($A688)),$A:$A,0))=""),"",G688/INDEX(G:G,MATCH(DATE(YEAR($A688)-1,MONTH($A688),DAY($A688)),$A:$A,0))-1),"")</f>
        <v/>
      </c>
      <c r="M688" s="19">
        <f>IF(OR(E688="",E687=""),"",E688/E687-1)</f>
        <v/>
      </c>
      <c r="N688" s="19">
        <f>IF(OR(F688="",F687=""),"",F688/F687-1)</f>
        <v/>
      </c>
      <c r="O688" s="19">
        <f>IF(OR(G688="",G687=""),"",G688/G687-1)</f>
        <v/>
      </c>
      <c r="P688" s="22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IF(R688="","",P688/R688)</f>
        <v/>
      </c>
      <c r="T688" s="23">
        <f>IF(R688="","",Q688/R688)</f>
        <v/>
      </c>
      <c r="U688" s="24">
        <f>IF(SUMIFS('Daily NSE Equity Options'!$M:$M,'Daily NSE Equity Options'!$A:$A,$A688)=0,"",SUMIFS('Daily NSE Equity Options'!$M:$M,'Daily NSE Equity Options'!$A:$A,$A688))</f>
        <v/>
      </c>
      <c r="V688" s="9">
        <f>IF(SUMIFS('Daily BSE Equity Options'!$M:$M,'Daily BSE Equity Options'!$A:$A,$A688)=0,"",SUMIFS('Daily BSE Equity Options'!$M:$M,'Daily BSE Equity Options'!$A:$A,$A688))</f>
        <v/>
      </c>
      <c r="W688" s="9">
        <f>IF(OR(U688="",V688=""),"",U688+V688)</f>
        <v/>
      </c>
      <c r="X688" s="25">
        <f>IF(W688="","",U688/W688)</f>
        <v/>
      </c>
      <c r="Y688" s="25">
        <f>IF(W688="","",V688/W688)</f>
        <v/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19">
        <f>IF(G689="","",E689/G689)</f>
        <v/>
      </c>
      <c r="I689" s="19">
        <f>IF(G689="","",F689/G689)</f>
        <v/>
      </c>
      <c r="J689" s="26">
        <f>IFERROR(IF(OR(E689="",INDEX(E:E,MATCH(DATE(YEAR($A689)-1,MONTH($A689),DAY($A689)),$A:$A,0))=""),"",E689/INDEX(E:E,MATCH(DATE(YEAR($A689)-1,MONTH($A689),DAY($A689)),$A:$A,0))-1),"")</f>
        <v/>
      </c>
      <c r="K689" s="19">
        <f>IFERROR(IF(OR(F689="",INDEX(F:F,MATCH(DATE(YEAR($A689)-1,MONTH($A689),DAY($A689)),$A:$A,0))=""),"",F689/INDEX(F:F,MATCH(DATE(YEAR($A689)-1,MONTH($A689),DAY($A689)),$A:$A,0))-1),"")</f>
        <v/>
      </c>
      <c r="L689" s="19">
        <f>IFERROR(IF(OR(G689="",INDEX(G:G,MATCH(DATE(YEAR($A689)-1,MONTH($A689),DAY($A689)),$A:$A,0))=""),"",G689/INDEX(G:G,MATCH(DATE(YEAR($A689)-1,MONTH($A689),DAY($A689)),$A:$A,0))-1),"")</f>
        <v/>
      </c>
      <c r="M689" s="19">
        <f>IF(OR(E689="",E688=""),"",E689/E688-1)</f>
        <v/>
      </c>
      <c r="N689" s="19">
        <f>IF(OR(F689="",F688=""),"",F689/F688-1)</f>
        <v/>
      </c>
      <c r="O689" s="19">
        <f>IF(OR(G689="",G688=""),"",G689/G688-1)</f>
        <v/>
      </c>
      <c r="P689" s="22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IF(R689="","",P689/R689)</f>
        <v/>
      </c>
      <c r="T689" s="23">
        <f>IF(R689="","",Q689/R689)</f>
        <v/>
      </c>
      <c r="U689" s="24">
        <f>IF(SUMIFS('Daily NSE Equity Options'!$M:$M,'Daily NSE Equity Options'!$A:$A,$A689)=0,"",SUMIFS('Daily NSE Equity Options'!$M:$M,'Daily NSE Equity Options'!$A:$A,$A689))</f>
        <v/>
      </c>
      <c r="V689" s="9">
        <f>IF(SUMIFS('Daily BSE Equity Options'!$M:$M,'Daily BSE Equity Options'!$A:$A,$A689)=0,"",SUMIFS('Daily BSE Equity Options'!$M:$M,'Daily BSE Equity Options'!$A:$A,$A689))</f>
        <v/>
      </c>
      <c r="W689" s="9">
        <f>IF(OR(U689="",V689=""),"",U689+V689)</f>
        <v/>
      </c>
      <c r="X689" s="25">
        <f>IF(W689="","",U689/W689)</f>
        <v/>
      </c>
      <c r="Y689" s="25">
        <f>IF(W689="","",V689/W689)</f>
        <v/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19">
        <f>IF(G690="","",E690/G690)</f>
        <v/>
      </c>
      <c r="I690" s="19">
        <f>IF(G690="","",F690/G690)</f>
        <v/>
      </c>
      <c r="J690" s="26">
        <f>IFERROR(IF(OR(E690="",INDEX(E:E,MATCH(DATE(YEAR($A690)-1,MONTH($A690),DAY($A690)),$A:$A,0))=""),"",E690/INDEX(E:E,MATCH(DATE(YEAR($A690)-1,MONTH($A690),DAY($A690)),$A:$A,0))-1),"")</f>
        <v/>
      </c>
      <c r="K690" s="19">
        <f>IFERROR(IF(OR(F690="",INDEX(F:F,MATCH(DATE(YEAR($A690)-1,MONTH($A690),DAY($A690)),$A:$A,0))=""),"",F690/INDEX(F:F,MATCH(DATE(YEAR($A690)-1,MONTH($A690),DAY($A690)),$A:$A,0))-1),"")</f>
        <v/>
      </c>
      <c r="L690" s="19">
        <f>IFERROR(IF(OR(G690="",INDEX(G:G,MATCH(DATE(YEAR($A690)-1,MONTH($A690),DAY($A690)),$A:$A,0))=""),"",G690/INDEX(G:G,MATCH(DATE(YEAR($A690)-1,MONTH($A690),DAY($A690)),$A:$A,0))-1),"")</f>
        <v/>
      </c>
      <c r="M690" s="19">
        <f>IF(OR(E690="",E689=""),"",E690/E689-1)</f>
        <v/>
      </c>
      <c r="N690" s="19">
        <f>IF(OR(F690="",F689=""),"",F690/F689-1)</f>
        <v/>
      </c>
      <c r="O690" s="19">
        <f>IF(OR(G690="",G689=""),"",G690/G689-1)</f>
        <v/>
      </c>
      <c r="P690" s="22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IF(R690="","",P690/R690)</f>
        <v/>
      </c>
      <c r="T690" s="23">
        <f>IF(R690="","",Q690/R690)</f>
        <v/>
      </c>
      <c r="U690" s="24">
        <f>IF(SUMIFS('Daily NSE Equity Options'!$M:$M,'Daily NSE Equity Options'!$A:$A,$A690)=0,"",SUMIFS('Daily NSE Equity Options'!$M:$M,'Daily NSE Equity Options'!$A:$A,$A690))</f>
        <v/>
      </c>
      <c r="V690" s="9">
        <f>IF(SUMIFS('Daily BSE Equity Options'!$M:$M,'Daily BSE Equity Options'!$A:$A,$A690)=0,"",SUMIFS('Daily BSE Equity Options'!$M:$M,'Daily BSE Equity Options'!$A:$A,$A690))</f>
        <v/>
      </c>
      <c r="W690" s="9">
        <f>IF(OR(U690="",V690=""),"",U690+V690)</f>
        <v/>
      </c>
      <c r="X690" s="25">
        <f>IF(W690="","",U690/W690)</f>
        <v/>
      </c>
      <c r="Y690" s="25">
        <f>IF(W690="","",V690/W690)</f>
        <v/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19">
        <f>IF(G691="","",E691/G691)</f>
        <v/>
      </c>
      <c r="I691" s="19">
        <f>IF(G691="","",F691/G691)</f>
        <v/>
      </c>
      <c r="J691" s="26">
        <f>IFERROR(IF(OR(E691="",INDEX(E:E,MATCH(DATE(YEAR($A691)-1,MONTH($A691),DAY($A691)),$A:$A,0))=""),"",E691/INDEX(E:E,MATCH(DATE(YEAR($A691)-1,MONTH($A691),DAY($A691)),$A:$A,0))-1),"")</f>
        <v/>
      </c>
      <c r="K691" s="19">
        <f>IFERROR(IF(OR(F691="",INDEX(F:F,MATCH(DATE(YEAR($A691)-1,MONTH($A691),DAY($A691)),$A:$A,0))=""),"",F691/INDEX(F:F,MATCH(DATE(YEAR($A691)-1,MONTH($A691),DAY($A691)),$A:$A,0))-1),"")</f>
        <v/>
      </c>
      <c r="L691" s="19">
        <f>IFERROR(IF(OR(G691="",INDEX(G:G,MATCH(DATE(YEAR($A691)-1,MONTH($A691),DAY($A691)),$A:$A,0))=""),"",G691/INDEX(G:G,MATCH(DATE(YEAR($A691)-1,MONTH($A691),DAY($A691)),$A:$A,0))-1),"")</f>
        <v/>
      </c>
      <c r="M691" s="19">
        <f>IF(OR(E691="",E690=""),"",E691/E690-1)</f>
        <v/>
      </c>
      <c r="N691" s="19">
        <f>IF(OR(F691="",F690=""),"",F691/F690-1)</f>
        <v/>
      </c>
      <c r="O691" s="19">
        <f>IF(OR(G691="",G690=""),"",G691/G690-1)</f>
        <v/>
      </c>
      <c r="P691" s="22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IF(R691="","",P691/R691)</f>
        <v/>
      </c>
      <c r="T691" s="23">
        <f>IF(R691="","",Q691/R691)</f>
        <v/>
      </c>
      <c r="U691" s="24">
        <f>IF(SUMIFS('Daily NSE Equity Options'!$M:$M,'Daily NSE Equity Options'!$A:$A,$A691)=0,"",SUMIFS('Daily NSE Equity Options'!$M:$M,'Daily NSE Equity Options'!$A:$A,$A691))</f>
        <v/>
      </c>
      <c r="V691" s="9">
        <f>IF(SUMIFS('Daily BSE Equity Options'!$M:$M,'Daily BSE Equity Options'!$A:$A,$A691)=0,"",SUMIFS('Daily BSE Equity Options'!$M:$M,'Daily BSE Equity Options'!$A:$A,$A691))</f>
        <v/>
      </c>
      <c r="W691" s="9">
        <f>IF(OR(U691="",V691=""),"",U691+V691)</f>
        <v/>
      </c>
      <c r="X691" s="25">
        <f>IF(W691="","",U691/W691)</f>
        <v/>
      </c>
      <c r="Y691" s="25">
        <f>IF(W691="","",V691/W691)</f>
        <v/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19">
        <f>IF(G692="","",E692/G692)</f>
        <v/>
      </c>
      <c r="I692" s="19">
        <f>IF(G692="","",F692/G692)</f>
        <v/>
      </c>
      <c r="J692" s="26">
        <f>IFERROR(IF(OR(E692="",INDEX(E:E,MATCH(DATE(YEAR($A692)-1,MONTH($A692),DAY($A692)),$A:$A,0))=""),"",E692/INDEX(E:E,MATCH(DATE(YEAR($A692)-1,MONTH($A692),DAY($A692)),$A:$A,0))-1),"")</f>
        <v/>
      </c>
      <c r="K692" s="19">
        <f>IFERROR(IF(OR(F692="",INDEX(F:F,MATCH(DATE(YEAR($A692)-1,MONTH($A692),DAY($A692)),$A:$A,0))=""),"",F692/INDEX(F:F,MATCH(DATE(YEAR($A692)-1,MONTH($A692),DAY($A692)),$A:$A,0))-1),"")</f>
        <v/>
      </c>
      <c r="L692" s="19">
        <f>IFERROR(IF(OR(G692="",INDEX(G:G,MATCH(DATE(YEAR($A692)-1,MONTH($A692),DAY($A692)),$A:$A,0))=""),"",G692/INDEX(G:G,MATCH(DATE(YEAR($A692)-1,MONTH($A692),DAY($A692)),$A:$A,0))-1),"")</f>
        <v/>
      </c>
      <c r="M692" s="19">
        <f>IF(OR(E692="",E691=""),"",E692/E691-1)</f>
        <v/>
      </c>
      <c r="N692" s="19">
        <f>IF(OR(F692="",F691=""),"",F692/F691-1)</f>
        <v/>
      </c>
      <c r="O692" s="19">
        <f>IF(OR(G692="",G691=""),"",G692/G691-1)</f>
        <v/>
      </c>
      <c r="P692" s="22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IF(R692="","",P692/R692)</f>
        <v/>
      </c>
      <c r="T692" s="23">
        <f>IF(R692="","",Q692/R692)</f>
        <v/>
      </c>
      <c r="U692" s="24">
        <f>IF(SUMIFS('Daily NSE Equity Options'!$M:$M,'Daily NSE Equity Options'!$A:$A,$A692)=0,"",SUMIFS('Daily NSE Equity Options'!$M:$M,'Daily NSE Equity Options'!$A:$A,$A692))</f>
        <v/>
      </c>
      <c r="V692" s="9">
        <f>IF(SUMIFS('Daily BSE Equity Options'!$M:$M,'Daily BSE Equity Options'!$A:$A,$A692)=0,"",SUMIFS('Daily BSE Equity Options'!$M:$M,'Daily BSE Equity Options'!$A:$A,$A692))</f>
        <v/>
      </c>
      <c r="W692" s="9">
        <f>IF(OR(U692="",V692=""),"",U692+V692)</f>
        <v/>
      </c>
      <c r="X692" s="25">
        <f>IF(W692="","",U692/W692)</f>
        <v/>
      </c>
      <c r="Y692" s="25">
        <f>IF(W692="","",V692/W692)</f>
        <v/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19">
        <f>IF(G693="","",E693/G693)</f>
        <v/>
      </c>
      <c r="I693" s="19">
        <f>IF(G693="","",F693/G693)</f>
        <v/>
      </c>
      <c r="J693" s="26">
        <f>IFERROR(IF(OR(E693="",INDEX(E:E,MATCH(DATE(YEAR($A693)-1,MONTH($A693),DAY($A693)),$A:$A,0))=""),"",E693/INDEX(E:E,MATCH(DATE(YEAR($A693)-1,MONTH($A693),DAY($A693)),$A:$A,0))-1),"")</f>
        <v/>
      </c>
      <c r="K693" s="19">
        <f>IFERROR(IF(OR(F693="",INDEX(F:F,MATCH(DATE(YEAR($A693)-1,MONTH($A693),DAY($A693)),$A:$A,0))=""),"",F693/INDEX(F:F,MATCH(DATE(YEAR($A693)-1,MONTH($A693),DAY($A693)),$A:$A,0))-1),"")</f>
        <v/>
      </c>
      <c r="L693" s="19">
        <f>IFERROR(IF(OR(G693="",INDEX(G:G,MATCH(DATE(YEAR($A693)-1,MONTH($A693),DAY($A693)),$A:$A,0))=""),"",G693/INDEX(G:G,MATCH(DATE(YEAR($A693)-1,MONTH($A693),DAY($A693)),$A:$A,0))-1),"")</f>
        <v/>
      </c>
      <c r="M693" s="19">
        <f>IF(OR(E693="",E692=""),"",E693/E692-1)</f>
        <v/>
      </c>
      <c r="N693" s="19">
        <f>IF(OR(F693="",F692=""),"",F693/F692-1)</f>
        <v/>
      </c>
      <c r="O693" s="19">
        <f>IF(OR(G693="",G692=""),"",G693/G692-1)</f>
        <v/>
      </c>
      <c r="P693" s="22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IF(R693="","",P693/R693)</f>
        <v/>
      </c>
      <c r="T693" s="23">
        <f>IF(R693="","",Q693/R693)</f>
        <v/>
      </c>
      <c r="U693" s="24">
        <f>IF(SUMIFS('Daily NSE Equity Options'!$M:$M,'Daily NSE Equity Options'!$A:$A,$A693)=0,"",SUMIFS('Daily NSE Equity Options'!$M:$M,'Daily NSE Equity Options'!$A:$A,$A693))</f>
        <v/>
      </c>
      <c r="V693" s="9">
        <f>IF(SUMIFS('Daily BSE Equity Options'!$M:$M,'Daily BSE Equity Options'!$A:$A,$A693)=0,"",SUMIFS('Daily BSE Equity Options'!$M:$M,'Daily BSE Equity Options'!$A:$A,$A693))</f>
        <v/>
      </c>
      <c r="W693" s="9">
        <f>IF(OR(U693="",V693=""),"",U693+V693)</f>
        <v/>
      </c>
      <c r="X693" s="25">
        <f>IF(W693="","",U693/W693)</f>
        <v/>
      </c>
      <c r="Y693" s="25">
        <f>IF(W693="","",V693/W693)</f>
        <v/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19">
        <f>IF(G694="","",E694/G694)</f>
        <v/>
      </c>
      <c r="I694" s="19">
        <f>IF(G694="","",F694/G694)</f>
        <v/>
      </c>
      <c r="J694" s="26">
        <f>IFERROR(IF(OR(E694="",INDEX(E:E,MATCH(DATE(YEAR($A694)-1,MONTH($A694),DAY($A694)),$A:$A,0))=""),"",E694/INDEX(E:E,MATCH(DATE(YEAR($A694)-1,MONTH($A694),DAY($A694)),$A:$A,0))-1),"")</f>
        <v/>
      </c>
      <c r="K694" s="19">
        <f>IFERROR(IF(OR(F694="",INDEX(F:F,MATCH(DATE(YEAR($A694)-1,MONTH($A694),DAY($A694)),$A:$A,0))=""),"",F694/INDEX(F:F,MATCH(DATE(YEAR($A694)-1,MONTH($A694),DAY($A694)),$A:$A,0))-1),"")</f>
        <v/>
      </c>
      <c r="L694" s="19">
        <f>IFERROR(IF(OR(G694="",INDEX(G:G,MATCH(DATE(YEAR($A694)-1,MONTH($A694),DAY($A694)),$A:$A,0))=""),"",G694/INDEX(G:G,MATCH(DATE(YEAR($A694)-1,MONTH($A694),DAY($A694)),$A:$A,0))-1),"")</f>
        <v/>
      </c>
      <c r="M694" s="19">
        <f>IF(OR(E694="",E693=""),"",E694/E693-1)</f>
        <v/>
      </c>
      <c r="N694" s="19">
        <f>IF(OR(F694="",F693=""),"",F694/F693-1)</f>
        <v/>
      </c>
      <c r="O694" s="19">
        <f>IF(OR(G694="",G693=""),"",G694/G693-1)</f>
        <v/>
      </c>
      <c r="P694" s="22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IF(R694="","",P694/R694)</f>
        <v/>
      </c>
      <c r="T694" s="23">
        <f>IF(R694="","",Q694/R694)</f>
        <v/>
      </c>
      <c r="U694" s="24">
        <f>IF(SUMIFS('Daily NSE Equity Options'!$M:$M,'Daily NSE Equity Options'!$A:$A,$A694)=0,"",SUMIFS('Daily NSE Equity Options'!$M:$M,'Daily NSE Equity Options'!$A:$A,$A694))</f>
        <v/>
      </c>
      <c r="V694" s="9">
        <f>IF(SUMIFS('Daily BSE Equity Options'!$M:$M,'Daily BSE Equity Options'!$A:$A,$A694)=0,"",SUMIFS('Daily BSE Equity Options'!$M:$M,'Daily BSE Equity Options'!$A:$A,$A694))</f>
        <v/>
      </c>
      <c r="W694" s="9">
        <f>IF(OR(U694="",V694=""),"",U694+V694)</f>
        <v/>
      </c>
      <c r="X694" s="25">
        <f>IF(W694="","",U694/W694)</f>
        <v/>
      </c>
      <c r="Y694" s="25">
        <f>IF(W694="","",V694/W694)</f>
        <v/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19">
        <f>IF(G695="","",E695/G695)</f>
        <v/>
      </c>
      <c r="I695" s="19">
        <f>IF(G695="","",F695/G695)</f>
        <v/>
      </c>
      <c r="J695" s="26">
        <f>IFERROR(IF(OR(E695="",INDEX(E:E,MATCH(DATE(YEAR($A695)-1,MONTH($A695),DAY($A695)),$A:$A,0))=""),"",E695/INDEX(E:E,MATCH(DATE(YEAR($A695)-1,MONTH($A695),DAY($A695)),$A:$A,0))-1),"")</f>
        <v/>
      </c>
      <c r="K695" s="19">
        <f>IFERROR(IF(OR(F695="",INDEX(F:F,MATCH(DATE(YEAR($A695)-1,MONTH($A695),DAY($A695)),$A:$A,0))=""),"",F695/INDEX(F:F,MATCH(DATE(YEAR($A695)-1,MONTH($A695),DAY($A695)),$A:$A,0))-1),"")</f>
        <v/>
      </c>
      <c r="L695" s="19">
        <f>IFERROR(IF(OR(G695="",INDEX(G:G,MATCH(DATE(YEAR($A695)-1,MONTH($A695),DAY($A695)),$A:$A,0))=""),"",G695/INDEX(G:G,MATCH(DATE(YEAR($A695)-1,MONTH($A695),DAY($A695)),$A:$A,0))-1),"")</f>
        <v/>
      </c>
      <c r="M695" s="19">
        <f>IF(OR(E695="",E694=""),"",E695/E694-1)</f>
        <v/>
      </c>
      <c r="N695" s="19">
        <f>IF(OR(F695="",F694=""),"",F695/F694-1)</f>
        <v/>
      </c>
      <c r="O695" s="19">
        <f>IF(OR(G695="",G694=""),"",G695/G694-1)</f>
        <v/>
      </c>
      <c r="P695" s="22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IF(R695="","",P695/R695)</f>
        <v/>
      </c>
      <c r="T695" s="23">
        <f>IF(R695="","",Q695/R695)</f>
        <v/>
      </c>
      <c r="U695" s="24">
        <f>IF(SUMIFS('Daily NSE Equity Options'!$M:$M,'Daily NSE Equity Options'!$A:$A,$A695)=0,"",SUMIFS('Daily NSE Equity Options'!$M:$M,'Daily NSE Equity Options'!$A:$A,$A695))</f>
        <v/>
      </c>
      <c r="V695" s="9">
        <f>IF(SUMIFS('Daily BSE Equity Options'!$M:$M,'Daily BSE Equity Options'!$A:$A,$A695)=0,"",SUMIFS('Daily BSE Equity Options'!$M:$M,'Daily BSE Equity Options'!$A:$A,$A695))</f>
        <v/>
      </c>
      <c r="W695" s="9">
        <f>IF(OR(U695="",V695=""),"",U695+V695)</f>
        <v/>
      </c>
      <c r="X695" s="25">
        <f>IF(W695="","",U695/W695)</f>
        <v/>
      </c>
      <c r="Y695" s="25">
        <f>IF(W695="","",V695/W695)</f>
        <v/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19">
        <f>IF(G696="","",E696/G696)</f>
        <v/>
      </c>
      <c r="I696" s="19">
        <f>IF(G696="","",F696/G696)</f>
        <v/>
      </c>
      <c r="J696" s="26">
        <f>IFERROR(IF(OR(E696="",INDEX(E:E,MATCH(DATE(YEAR($A696)-1,MONTH($A696),DAY($A696)),$A:$A,0))=""),"",E696/INDEX(E:E,MATCH(DATE(YEAR($A696)-1,MONTH($A696),DAY($A696)),$A:$A,0))-1),"")</f>
        <v/>
      </c>
      <c r="K696" s="19">
        <f>IFERROR(IF(OR(F696="",INDEX(F:F,MATCH(DATE(YEAR($A696)-1,MONTH($A696),DAY($A696)),$A:$A,0))=""),"",F696/INDEX(F:F,MATCH(DATE(YEAR($A696)-1,MONTH($A696),DAY($A696)),$A:$A,0))-1),"")</f>
        <v/>
      </c>
      <c r="L696" s="19">
        <f>IFERROR(IF(OR(G696="",INDEX(G:G,MATCH(DATE(YEAR($A696)-1,MONTH($A696),DAY($A696)),$A:$A,0))=""),"",G696/INDEX(G:G,MATCH(DATE(YEAR($A696)-1,MONTH($A696),DAY($A696)),$A:$A,0))-1),"")</f>
        <v/>
      </c>
      <c r="M696" s="19">
        <f>IF(OR(E696="",E695=""),"",E696/E695-1)</f>
        <v/>
      </c>
      <c r="N696" s="19">
        <f>IF(OR(F696="",F695=""),"",F696/F695-1)</f>
        <v/>
      </c>
      <c r="O696" s="19">
        <f>IF(OR(G696="",G695=""),"",G696/G695-1)</f>
        <v/>
      </c>
      <c r="P696" s="22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IF(R696="","",P696/R696)</f>
        <v/>
      </c>
      <c r="T696" s="23">
        <f>IF(R696="","",Q696/R696)</f>
        <v/>
      </c>
      <c r="U696" s="24">
        <f>IF(SUMIFS('Daily NSE Equity Options'!$M:$M,'Daily NSE Equity Options'!$A:$A,$A696)=0,"",SUMIFS('Daily NSE Equity Options'!$M:$M,'Daily NSE Equity Options'!$A:$A,$A696))</f>
        <v/>
      </c>
      <c r="V696" s="9">
        <f>IF(SUMIFS('Daily BSE Equity Options'!$M:$M,'Daily BSE Equity Options'!$A:$A,$A696)=0,"",SUMIFS('Daily BSE Equity Options'!$M:$M,'Daily BSE Equity Options'!$A:$A,$A696))</f>
        <v/>
      </c>
      <c r="W696" s="9">
        <f>IF(OR(U696="",V696=""),"",U696+V696)</f>
        <v/>
      </c>
      <c r="X696" s="25">
        <f>IF(W696="","",U696/W696)</f>
        <v/>
      </c>
      <c r="Y696" s="25">
        <f>IF(W696="","",V696/W696)</f>
        <v/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19">
        <f>IF(G697="","",E697/G697)</f>
        <v/>
      </c>
      <c r="I697" s="19">
        <f>IF(G697="","",F697/G697)</f>
        <v/>
      </c>
      <c r="J697" s="26">
        <f>IFERROR(IF(OR(E697="",INDEX(E:E,MATCH(DATE(YEAR($A697)-1,MONTH($A697),DAY($A697)),$A:$A,0))=""),"",E697/INDEX(E:E,MATCH(DATE(YEAR($A697)-1,MONTH($A697),DAY($A697)),$A:$A,0))-1),"")</f>
        <v/>
      </c>
      <c r="K697" s="19">
        <f>IFERROR(IF(OR(F697="",INDEX(F:F,MATCH(DATE(YEAR($A697)-1,MONTH($A697),DAY($A697)),$A:$A,0))=""),"",F697/INDEX(F:F,MATCH(DATE(YEAR($A697)-1,MONTH($A697),DAY($A697)),$A:$A,0))-1),"")</f>
        <v/>
      </c>
      <c r="L697" s="19">
        <f>IFERROR(IF(OR(G697="",INDEX(G:G,MATCH(DATE(YEAR($A697)-1,MONTH($A697),DAY($A697)),$A:$A,0))=""),"",G697/INDEX(G:G,MATCH(DATE(YEAR($A697)-1,MONTH($A697),DAY($A697)),$A:$A,0))-1),"")</f>
        <v/>
      </c>
      <c r="M697" s="19">
        <f>IF(OR(E697="",E696=""),"",E697/E696-1)</f>
        <v/>
      </c>
      <c r="N697" s="19">
        <f>IF(OR(F697="",F696=""),"",F697/F696-1)</f>
        <v/>
      </c>
      <c r="O697" s="19">
        <f>IF(OR(G697="",G696=""),"",G697/G696-1)</f>
        <v/>
      </c>
      <c r="P697" s="22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IF(R697="","",P697/R697)</f>
        <v/>
      </c>
      <c r="T697" s="23">
        <f>IF(R697="","",Q697/R697)</f>
        <v/>
      </c>
      <c r="U697" s="24">
        <f>IF(SUMIFS('Daily NSE Equity Options'!$M:$M,'Daily NSE Equity Options'!$A:$A,$A697)=0,"",SUMIFS('Daily NSE Equity Options'!$M:$M,'Daily NSE Equity Options'!$A:$A,$A697))</f>
        <v/>
      </c>
      <c r="V697" s="9">
        <f>IF(SUMIFS('Daily BSE Equity Options'!$M:$M,'Daily BSE Equity Options'!$A:$A,$A697)=0,"",SUMIFS('Daily BSE Equity Options'!$M:$M,'Daily BSE Equity Options'!$A:$A,$A697))</f>
        <v/>
      </c>
      <c r="W697" s="9">
        <f>IF(OR(U697="",V697=""),"",U697+V697)</f>
        <v/>
      </c>
      <c r="X697" s="25">
        <f>IF(W697="","",U697/W697)</f>
        <v/>
      </c>
      <c r="Y697" s="25">
        <f>IF(W697="","",V697/W697)</f>
        <v/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19">
        <f>IF(G698="","",E698/G698)</f>
        <v/>
      </c>
      <c r="I698" s="19">
        <f>IF(G698="","",F698/G698)</f>
        <v/>
      </c>
      <c r="J698" s="26">
        <f>IFERROR(IF(OR(E698="",INDEX(E:E,MATCH(DATE(YEAR($A698)-1,MONTH($A698),DAY($A698)),$A:$A,0))=""),"",E698/INDEX(E:E,MATCH(DATE(YEAR($A698)-1,MONTH($A698),DAY($A698)),$A:$A,0))-1),"")</f>
        <v/>
      </c>
      <c r="K698" s="19">
        <f>IFERROR(IF(OR(F698="",INDEX(F:F,MATCH(DATE(YEAR($A698)-1,MONTH($A698),DAY($A698)),$A:$A,0))=""),"",F698/INDEX(F:F,MATCH(DATE(YEAR($A698)-1,MONTH($A698),DAY($A698)),$A:$A,0))-1),"")</f>
        <v/>
      </c>
      <c r="L698" s="19">
        <f>IFERROR(IF(OR(G698="",INDEX(G:G,MATCH(DATE(YEAR($A698)-1,MONTH($A698),DAY($A698)),$A:$A,0))=""),"",G698/INDEX(G:G,MATCH(DATE(YEAR($A698)-1,MONTH($A698),DAY($A698)),$A:$A,0))-1),"")</f>
        <v/>
      </c>
      <c r="M698" s="19">
        <f>IF(OR(E698="",E697=""),"",E698/E697-1)</f>
        <v/>
      </c>
      <c r="N698" s="19">
        <f>IF(OR(F698="",F697=""),"",F698/F697-1)</f>
        <v/>
      </c>
      <c r="O698" s="19">
        <f>IF(OR(G698="",G697=""),"",G698/G697-1)</f>
        <v/>
      </c>
      <c r="P698" s="22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IF(R698="","",P698/R698)</f>
        <v/>
      </c>
      <c r="T698" s="23">
        <f>IF(R698="","",Q698/R698)</f>
        <v/>
      </c>
      <c r="U698" s="24">
        <f>IF(SUMIFS('Daily NSE Equity Options'!$M:$M,'Daily NSE Equity Options'!$A:$A,$A698)=0,"",SUMIFS('Daily NSE Equity Options'!$M:$M,'Daily NSE Equity Options'!$A:$A,$A698))</f>
        <v/>
      </c>
      <c r="V698" s="9">
        <f>IF(SUMIFS('Daily BSE Equity Options'!$M:$M,'Daily BSE Equity Options'!$A:$A,$A698)=0,"",SUMIFS('Daily BSE Equity Options'!$M:$M,'Daily BSE Equity Options'!$A:$A,$A698))</f>
        <v/>
      </c>
      <c r="W698" s="9">
        <f>IF(OR(U698="",V698=""),"",U698+V698)</f>
        <v/>
      </c>
      <c r="X698" s="25">
        <f>IF(W698="","",U698/W698)</f>
        <v/>
      </c>
      <c r="Y698" s="25">
        <f>IF(W698="","",V698/W698)</f>
        <v/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19">
        <f>IF(G699="","",E699/G699)</f>
        <v/>
      </c>
      <c r="I699" s="19">
        <f>IF(G699="","",F699/G699)</f>
        <v/>
      </c>
      <c r="J699" s="26">
        <f>IFERROR(IF(OR(E699="",INDEX(E:E,MATCH(DATE(YEAR($A699)-1,MONTH($A699),DAY($A699)),$A:$A,0))=""),"",E699/INDEX(E:E,MATCH(DATE(YEAR($A699)-1,MONTH($A699),DAY($A699)),$A:$A,0))-1),"")</f>
        <v/>
      </c>
      <c r="K699" s="19">
        <f>IFERROR(IF(OR(F699="",INDEX(F:F,MATCH(DATE(YEAR($A699)-1,MONTH($A699),DAY($A699)),$A:$A,0))=""),"",F699/INDEX(F:F,MATCH(DATE(YEAR($A699)-1,MONTH($A699),DAY($A699)),$A:$A,0))-1),"")</f>
        <v/>
      </c>
      <c r="L699" s="19">
        <f>IFERROR(IF(OR(G699="",INDEX(G:G,MATCH(DATE(YEAR($A699)-1,MONTH($A699),DAY($A699)),$A:$A,0))=""),"",G699/INDEX(G:G,MATCH(DATE(YEAR($A699)-1,MONTH($A699),DAY($A699)),$A:$A,0))-1),"")</f>
        <v/>
      </c>
      <c r="M699" s="19">
        <f>IF(OR(E699="",E698=""),"",E699/E698-1)</f>
        <v/>
      </c>
      <c r="N699" s="19">
        <f>IF(OR(F699="",F698=""),"",F699/F698-1)</f>
        <v/>
      </c>
      <c r="O699" s="19">
        <f>IF(OR(G699="",G698=""),"",G699/G698-1)</f>
        <v/>
      </c>
      <c r="P699" s="22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IF(R699="","",P699/R699)</f>
        <v/>
      </c>
      <c r="T699" s="23">
        <f>IF(R699="","",Q699/R699)</f>
        <v/>
      </c>
      <c r="U699" s="24">
        <f>IF(SUMIFS('Daily NSE Equity Options'!$M:$M,'Daily NSE Equity Options'!$A:$A,$A699)=0,"",SUMIFS('Daily NSE Equity Options'!$M:$M,'Daily NSE Equity Options'!$A:$A,$A699))</f>
        <v/>
      </c>
      <c r="V699" s="9">
        <f>IF(SUMIFS('Daily BSE Equity Options'!$M:$M,'Daily BSE Equity Options'!$A:$A,$A699)=0,"",SUMIFS('Daily BSE Equity Options'!$M:$M,'Daily BSE Equity Options'!$A:$A,$A699))</f>
        <v/>
      </c>
      <c r="W699" s="9">
        <f>IF(OR(U699="",V699=""),"",U699+V699)</f>
        <v/>
      </c>
      <c r="X699" s="25">
        <f>IF(W699="","",U699/W699)</f>
        <v/>
      </c>
      <c r="Y699" s="25">
        <f>IF(W699="","",V699/W699)</f>
        <v/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19">
        <f>IF(G700="","",E700/G700)</f>
        <v/>
      </c>
      <c r="I700" s="19">
        <f>IF(G700="","",F700/G700)</f>
        <v/>
      </c>
      <c r="J700" s="26">
        <f>IFERROR(IF(OR(E700="",INDEX(E:E,MATCH(DATE(YEAR($A700)-1,MONTH($A700),DAY($A700)),$A:$A,0))=""),"",E700/INDEX(E:E,MATCH(DATE(YEAR($A700)-1,MONTH($A700),DAY($A700)),$A:$A,0))-1),"")</f>
        <v/>
      </c>
      <c r="K700" s="19">
        <f>IFERROR(IF(OR(F700="",INDEX(F:F,MATCH(DATE(YEAR($A700)-1,MONTH($A700),DAY($A700)),$A:$A,0))=""),"",F700/INDEX(F:F,MATCH(DATE(YEAR($A700)-1,MONTH($A700),DAY($A700)),$A:$A,0))-1),"")</f>
        <v/>
      </c>
      <c r="L700" s="19">
        <f>IFERROR(IF(OR(G700="",INDEX(G:G,MATCH(DATE(YEAR($A700)-1,MONTH($A700),DAY($A700)),$A:$A,0))=""),"",G700/INDEX(G:G,MATCH(DATE(YEAR($A700)-1,MONTH($A700),DAY($A700)),$A:$A,0))-1),"")</f>
        <v/>
      </c>
      <c r="M700" s="19">
        <f>IF(OR(E700="",E699=""),"",E700/E699-1)</f>
        <v/>
      </c>
      <c r="N700" s="19">
        <f>IF(OR(F700="",F699=""),"",F700/F699-1)</f>
        <v/>
      </c>
      <c r="O700" s="19">
        <f>IF(OR(G700="",G699=""),"",G700/G699-1)</f>
        <v/>
      </c>
      <c r="P700" s="22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IF(R700="","",P700/R700)</f>
        <v/>
      </c>
      <c r="T700" s="23">
        <f>IF(R700="","",Q700/R700)</f>
        <v/>
      </c>
      <c r="U700" s="24">
        <f>IF(SUMIFS('Daily NSE Equity Options'!$M:$M,'Daily NSE Equity Options'!$A:$A,$A700)=0,"",SUMIFS('Daily NSE Equity Options'!$M:$M,'Daily NSE Equity Options'!$A:$A,$A700))</f>
        <v/>
      </c>
      <c r="V700" s="9">
        <f>IF(SUMIFS('Daily BSE Equity Options'!$M:$M,'Daily BSE Equity Options'!$A:$A,$A700)=0,"",SUMIFS('Daily BSE Equity Options'!$M:$M,'Daily BSE Equity Options'!$A:$A,$A700))</f>
        <v/>
      </c>
      <c r="W700" s="9">
        <f>IF(OR(U700="",V700=""),"",U700+V700)</f>
        <v/>
      </c>
      <c r="X700" s="25">
        <f>IF(W700="","",U700/W700)</f>
        <v/>
      </c>
      <c r="Y700" s="25">
        <f>IF(W700="","",V700/W700)</f>
        <v/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19">
        <f>IF(G701="","",E701/G701)</f>
        <v/>
      </c>
      <c r="I701" s="19">
        <f>IF(G701="","",F701/G701)</f>
        <v/>
      </c>
      <c r="J701" s="26">
        <f>IFERROR(IF(OR(E701="",INDEX(E:E,MATCH(DATE(YEAR($A701)-1,MONTH($A701),DAY($A701)),$A:$A,0))=""),"",E701/INDEX(E:E,MATCH(DATE(YEAR($A701)-1,MONTH($A701),DAY($A701)),$A:$A,0))-1),"")</f>
        <v/>
      </c>
      <c r="K701" s="19">
        <f>IFERROR(IF(OR(F701="",INDEX(F:F,MATCH(DATE(YEAR($A701)-1,MONTH($A701),DAY($A701)),$A:$A,0))=""),"",F701/INDEX(F:F,MATCH(DATE(YEAR($A701)-1,MONTH($A701),DAY($A701)),$A:$A,0))-1),"")</f>
        <v/>
      </c>
      <c r="L701" s="19">
        <f>IFERROR(IF(OR(G701="",INDEX(G:G,MATCH(DATE(YEAR($A701)-1,MONTH($A701),DAY($A701)),$A:$A,0))=""),"",G701/INDEX(G:G,MATCH(DATE(YEAR($A701)-1,MONTH($A701),DAY($A701)),$A:$A,0))-1),"")</f>
        <v/>
      </c>
      <c r="M701" s="19">
        <f>IF(OR(E701="",E700=""),"",E701/E700-1)</f>
        <v/>
      </c>
      <c r="N701" s="19">
        <f>IF(OR(F701="",F700=""),"",F701/F700-1)</f>
        <v/>
      </c>
      <c r="O701" s="19">
        <f>IF(OR(G701="",G700=""),"",G701/G700-1)</f>
        <v/>
      </c>
      <c r="P701" s="22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IF(R701="","",P701/R701)</f>
        <v/>
      </c>
      <c r="T701" s="23">
        <f>IF(R701="","",Q701/R701)</f>
        <v/>
      </c>
      <c r="U701" s="24">
        <f>IF(SUMIFS('Daily NSE Equity Options'!$M:$M,'Daily NSE Equity Options'!$A:$A,$A701)=0,"",SUMIFS('Daily NSE Equity Options'!$M:$M,'Daily NSE Equity Options'!$A:$A,$A701))</f>
        <v/>
      </c>
      <c r="V701" s="9">
        <f>IF(SUMIFS('Daily BSE Equity Options'!$M:$M,'Daily BSE Equity Options'!$A:$A,$A701)=0,"",SUMIFS('Daily BSE Equity Options'!$M:$M,'Daily BSE Equity Options'!$A:$A,$A701))</f>
        <v/>
      </c>
      <c r="W701" s="9">
        <f>IF(OR(U701="",V701=""),"",U701+V701)</f>
        <v/>
      </c>
      <c r="X701" s="25">
        <f>IF(W701="","",U701/W701)</f>
        <v/>
      </c>
      <c r="Y701" s="25">
        <f>IF(W701="","",V701/W701)</f>
        <v/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19">
        <f>IF(G702="","",E702/G702)</f>
        <v/>
      </c>
      <c r="I702" s="19">
        <f>IF(G702="","",F702/G702)</f>
        <v/>
      </c>
      <c r="J702" s="26">
        <f>IFERROR(IF(OR(E702="",INDEX(E:E,MATCH(DATE(YEAR($A702)-1,MONTH($A702),DAY($A702)),$A:$A,0))=""),"",E702/INDEX(E:E,MATCH(DATE(YEAR($A702)-1,MONTH($A702),DAY($A702)),$A:$A,0))-1),"")</f>
        <v/>
      </c>
      <c r="K702" s="19">
        <f>IFERROR(IF(OR(F702="",INDEX(F:F,MATCH(DATE(YEAR($A702)-1,MONTH($A702),DAY($A702)),$A:$A,0))=""),"",F702/INDEX(F:F,MATCH(DATE(YEAR($A702)-1,MONTH($A702),DAY($A702)),$A:$A,0))-1),"")</f>
        <v/>
      </c>
      <c r="L702" s="19">
        <f>IFERROR(IF(OR(G702="",INDEX(G:G,MATCH(DATE(YEAR($A702)-1,MONTH($A702),DAY($A702)),$A:$A,0))=""),"",G702/INDEX(G:G,MATCH(DATE(YEAR($A702)-1,MONTH($A702),DAY($A702)),$A:$A,0))-1),"")</f>
        <v/>
      </c>
      <c r="M702" s="19">
        <f>IF(OR(E702="",E701=""),"",E702/E701-1)</f>
        <v/>
      </c>
      <c r="N702" s="19">
        <f>IF(OR(F702="",F701=""),"",F702/F701-1)</f>
        <v/>
      </c>
      <c r="O702" s="19">
        <f>IF(OR(G702="",G701=""),"",G702/G701-1)</f>
        <v/>
      </c>
      <c r="P702" s="22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IF(R702="","",P702/R702)</f>
        <v/>
      </c>
      <c r="T702" s="23">
        <f>IF(R702="","",Q702/R702)</f>
        <v/>
      </c>
      <c r="U702" s="24">
        <f>IF(SUMIFS('Daily NSE Equity Options'!$M:$M,'Daily NSE Equity Options'!$A:$A,$A702)=0,"",SUMIFS('Daily NSE Equity Options'!$M:$M,'Daily NSE Equity Options'!$A:$A,$A702))</f>
        <v/>
      </c>
      <c r="V702" s="9">
        <f>IF(SUMIFS('Daily BSE Equity Options'!$M:$M,'Daily BSE Equity Options'!$A:$A,$A702)=0,"",SUMIFS('Daily BSE Equity Options'!$M:$M,'Daily BSE Equity Options'!$A:$A,$A702))</f>
        <v/>
      </c>
      <c r="W702" s="9">
        <f>IF(OR(U702="",V702=""),"",U702+V702)</f>
        <v/>
      </c>
      <c r="X702" s="25">
        <f>IF(W702="","",U702/W702)</f>
        <v/>
      </c>
      <c r="Y702" s="25">
        <f>IF(W702="","",V702/W702)</f>
        <v/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19">
        <f>IF(G703="","",E703/G703)</f>
        <v/>
      </c>
      <c r="I703" s="19">
        <f>IF(G703="","",F703/G703)</f>
        <v/>
      </c>
      <c r="J703" s="26">
        <f>IFERROR(IF(OR(E703="",INDEX(E:E,MATCH(DATE(YEAR($A703)-1,MONTH($A703),DAY($A703)),$A:$A,0))=""),"",E703/INDEX(E:E,MATCH(DATE(YEAR($A703)-1,MONTH($A703),DAY($A703)),$A:$A,0))-1),"")</f>
        <v/>
      </c>
      <c r="K703" s="19">
        <f>IFERROR(IF(OR(F703="",INDEX(F:F,MATCH(DATE(YEAR($A703)-1,MONTH($A703),DAY($A703)),$A:$A,0))=""),"",F703/INDEX(F:F,MATCH(DATE(YEAR($A703)-1,MONTH($A703),DAY($A703)),$A:$A,0))-1),"")</f>
        <v/>
      </c>
      <c r="L703" s="19">
        <f>IFERROR(IF(OR(G703="",INDEX(G:G,MATCH(DATE(YEAR($A703)-1,MONTH($A703),DAY($A703)),$A:$A,0))=""),"",G703/INDEX(G:G,MATCH(DATE(YEAR($A703)-1,MONTH($A703),DAY($A703)),$A:$A,0))-1),"")</f>
        <v/>
      </c>
      <c r="M703" s="19">
        <f>IF(OR(E703="",E702=""),"",E703/E702-1)</f>
        <v/>
      </c>
      <c r="N703" s="19">
        <f>IF(OR(F703="",F702=""),"",F703/F702-1)</f>
        <v/>
      </c>
      <c r="O703" s="19">
        <f>IF(OR(G703="",G702=""),"",G703/G702-1)</f>
        <v/>
      </c>
      <c r="P703" s="22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IF(R703="","",P703/R703)</f>
        <v/>
      </c>
      <c r="T703" s="23">
        <f>IF(R703="","",Q703/R703)</f>
        <v/>
      </c>
      <c r="U703" s="24">
        <f>IF(SUMIFS('Daily NSE Equity Options'!$M:$M,'Daily NSE Equity Options'!$A:$A,$A703)=0,"",SUMIFS('Daily NSE Equity Options'!$M:$M,'Daily NSE Equity Options'!$A:$A,$A703))</f>
        <v/>
      </c>
      <c r="V703" s="9">
        <f>IF(SUMIFS('Daily BSE Equity Options'!$M:$M,'Daily BSE Equity Options'!$A:$A,$A703)=0,"",SUMIFS('Daily BSE Equity Options'!$M:$M,'Daily BSE Equity Options'!$A:$A,$A703))</f>
        <v/>
      </c>
      <c r="W703" s="9">
        <f>IF(OR(U703="",V703=""),"",U703+V703)</f>
        <v/>
      </c>
      <c r="X703" s="25">
        <f>IF(W703="","",U703/W703)</f>
        <v/>
      </c>
      <c r="Y703" s="25">
        <f>IF(W703="","",V703/W703)</f>
        <v/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19">
        <f>IF(G704="","",E704/G704)</f>
        <v/>
      </c>
      <c r="I704" s="19">
        <f>IF(G704="","",F704/G704)</f>
        <v/>
      </c>
      <c r="J704" s="26">
        <f>IFERROR(IF(OR(E704="",INDEX(E:E,MATCH(DATE(YEAR($A704)-1,MONTH($A704),DAY($A704)),$A:$A,0))=""),"",E704/INDEX(E:E,MATCH(DATE(YEAR($A704)-1,MONTH($A704),DAY($A704)),$A:$A,0))-1),"")</f>
        <v/>
      </c>
      <c r="K704" s="19">
        <f>IFERROR(IF(OR(F704="",INDEX(F:F,MATCH(DATE(YEAR($A704)-1,MONTH($A704),DAY($A704)),$A:$A,0))=""),"",F704/INDEX(F:F,MATCH(DATE(YEAR($A704)-1,MONTH($A704),DAY($A704)),$A:$A,0))-1),"")</f>
        <v/>
      </c>
      <c r="L704" s="19">
        <f>IFERROR(IF(OR(G704="",INDEX(G:G,MATCH(DATE(YEAR($A704)-1,MONTH($A704),DAY($A704)),$A:$A,0))=""),"",G704/INDEX(G:G,MATCH(DATE(YEAR($A704)-1,MONTH($A704),DAY($A704)),$A:$A,0))-1),"")</f>
        <v/>
      </c>
      <c r="M704" s="19">
        <f>IF(OR(E704="",E703=""),"",E704/E703-1)</f>
        <v/>
      </c>
      <c r="N704" s="19">
        <f>IF(OR(F704="",F703=""),"",F704/F703-1)</f>
        <v/>
      </c>
      <c r="O704" s="19">
        <f>IF(OR(G704="",G703=""),"",G704/G703-1)</f>
        <v/>
      </c>
      <c r="P704" s="22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IF(R704="","",P704/R704)</f>
        <v/>
      </c>
      <c r="T704" s="23">
        <f>IF(R704="","",Q704/R704)</f>
        <v/>
      </c>
      <c r="U704" s="24">
        <f>IF(SUMIFS('Daily NSE Equity Options'!$M:$M,'Daily NSE Equity Options'!$A:$A,$A704)=0,"",SUMIFS('Daily NSE Equity Options'!$M:$M,'Daily NSE Equity Options'!$A:$A,$A704))</f>
        <v/>
      </c>
      <c r="V704" s="9">
        <f>IF(SUMIFS('Daily BSE Equity Options'!$M:$M,'Daily BSE Equity Options'!$A:$A,$A704)=0,"",SUMIFS('Daily BSE Equity Options'!$M:$M,'Daily BSE Equity Options'!$A:$A,$A704))</f>
        <v/>
      </c>
      <c r="W704" s="9">
        <f>IF(OR(U704="",V704=""),"",U704+V704)</f>
        <v/>
      </c>
      <c r="X704" s="25">
        <f>IF(W704="","",U704/W704)</f>
        <v/>
      </c>
      <c r="Y704" s="25">
        <f>IF(W704="","",V704/W704)</f>
        <v/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19">
        <f>IF(G705="","",E705/G705)</f>
        <v/>
      </c>
      <c r="I705" s="19">
        <f>IF(G705="","",F705/G705)</f>
        <v/>
      </c>
      <c r="J705" s="26">
        <f>IFERROR(IF(OR(E705="",INDEX(E:E,MATCH(DATE(YEAR($A705)-1,MONTH($A705),DAY($A705)),$A:$A,0))=""),"",E705/INDEX(E:E,MATCH(DATE(YEAR($A705)-1,MONTH($A705),DAY($A705)),$A:$A,0))-1),"")</f>
        <v/>
      </c>
      <c r="K705" s="19">
        <f>IFERROR(IF(OR(F705="",INDEX(F:F,MATCH(DATE(YEAR($A705)-1,MONTH($A705),DAY($A705)),$A:$A,0))=""),"",F705/INDEX(F:F,MATCH(DATE(YEAR($A705)-1,MONTH($A705),DAY($A705)),$A:$A,0))-1),"")</f>
        <v/>
      </c>
      <c r="L705" s="19">
        <f>IFERROR(IF(OR(G705="",INDEX(G:G,MATCH(DATE(YEAR($A705)-1,MONTH($A705),DAY($A705)),$A:$A,0))=""),"",G705/INDEX(G:G,MATCH(DATE(YEAR($A705)-1,MONTH($A705),DAY($A705)),$A:$A,0))-1),"")</f>
        <v/>
      </c>
      <c r="M705" s="19">
        <f>IF(OR(E705="",E704=""),"",E705/E704-1)</f>
        <v/>
      </c>
      <c r="N705" s="19">
        <f>IF(OR(F705="",F704=""),"",F705/F704-1)</f>
        <v/>
      </c>
      <c r="O705" s="19">
        <f>IF(OR(G705="",G704=""),"",G705/G704-1)</f>
        <v/>
      </c>
      <c r="P705" s="22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IF(R705="","",P705/R705)</f>
        <v/>
      </c>
      <c r="T705" s="23">
        <f>IF(R705="","",Q705/R705)</f>
        <v/>
      </c>
      <c r="U705" s="24">
        <f>IF(SUMIFS('Daily NSE Equity Options'!$M:$M,'Daily NSE Equity Options'!$A:$A,$A705)=0,"",SUMIFS('Daily NSE Equity Options'!$M:$M,'Daily NSE Equity Options'!$A:$A,$A705))</f>
        <v/>
      </c>
      <c r="V705" s="9">
        <f>IF(SUMIFS('Daily BSE Equity Options'!$M:$M,'Daily BSE Equity Options'!$A:$A,$A705)=0,"",SUMIFS('Daily BSE Equity Options'!$M:$M,'Daily BSE Equity Options'!$A:$A,$A705))</f>
        <v/>
      </c>
      <c r="W705" s="9">
        <f>IF(OR(U705="",V705=""),"",U705+V705)</f>
        <v/>
      </c>
      <c r="X705" s="25">
        <f>IF(W705="","",U705/W705)</f>
        <v/>
      </c>
      <c r="Y705" s="25">
        <f>IF(W705="","",V705/W705)</f>
        <v/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19">
        <f>IF(G706="","",E706/G706)</f>
        <v/>
      </c>
      <c r="I706" s="19">
        <f>IF(G706="","",F706/G706)</f>
        <v/>
      </c>
      <c r="J706" s="26">
        <f>IFERROR(IF(OR(E706="",INDEX(E:E,MATCH(DATE(YEAR($A706)-1,MONTH($A706),DAY($A706)),$A:$A,0))=""),"",E706/INDEX(E:E,MATCH(DATE(YEAR($A706)-1,MONTH($A706),DAY($A706)),$A:$A,0))-1),"")</f>
        <v/>
      </c>
      <c r="K706" s="19">
        <f>IFERROR(IF(OR(F706="",INDEX(F:F,MATCH(DATE(YEAR($A706)-1,MONTH($A706),DAY($A706)),$A:$A,0))=""),"",F706/INDEX(F:F,MATCH(DATE(YEAR($A706)-1,MONTH($A706),DAY($A706)),$A:$A,0))-1),"")</f>
        <v/>
      </c>
      <c r="L706" s="19">
        <f>IFERROR(IF(OR(G706="",INDEX(G:G,MATCH(DATE(YEAR($A706)-1,MONTH($A706),DAY($A706)),$A:$A,0))=""),"",G706/INDEX(G:G,MATCH(DATE(YEAR($A706)-1,MONTH($A706),DAY($A706)),$A:$A,0))-1),"")</f>
        <v/>
      </c>
      <c r="M706" s="19">
        <f>IF(OR(E706="",E705=""),"",E706/E705-1)</f>
        <v/>
      </c>
      <c r="N706" s="19">
        <f>IF(OR(F706="",F705=""),"",F706/F705-1)</f>
        <v/>
      </c>
      <c r="O706" s="19">
        <f>IF(OR(G706="",G705=""),"",G706/G705-1)</f>
        <v/>
      </c>
      <c r="P706" s="22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IF(R706="","",P706/R706)</f>
        <v/>
      </c>
      <c r="T706" s="23">
        <f>IF(R706="","",Q706/R706)</f>
        <v/>
      </c>
      <c r="U706" s="24">
        <f>IF(SUMIFS('Daily NSE Equity Options'!$M:$M,'Daily NSE Equity Options'!$A:$A,$A706)=0,"",SUMIFS('Daily NSE Equity Options'!$M:$M,'Daily NSE Equity Options'!$A:$A,$A706))</f>
        <v/>
      </c>
      <c r="V706" s="9">
        <f>IF(SUMIFS('Daily BSE Equity Options'!$M:$M,'Daily BSE Equity Options'!$A:$A,$A706)=0,"",SUMIFS('Daily BSE Equity Options'!$M:$M,'Daily BSE Equity Options'!$A:$A,$A706))</f>
        <v/>
      </c>
      <c r="W706" s="9">
        <f>IF(OR(U706="",V706=""),"",U706+V706)</f>
        <v/>
      </c>
      <c r="X706" s="25">
        <f>IF(W706="","",U706/W706)</f>
        <v/>
      </c>
      <c r="Y706" s="25">
        <f>IF(W706="","",V706/W706)</f>
        <v/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19">
        <f>IF(G707="","",E707/G707)</f>
        <v/>
      </c>
      <c r="I707" s="19">
        <f>IF(G707="","",F707/G707)</f>
        <v/>
      </c>
      <c r="J707" s="26">
        <f>IFERROR(IF(OR(E707="",INDEX(E:E,MATCH(DATE(YEAR($A707)-1,MONTH($A707),DAY($A707)),$A:$A,0))=""),"",E707/INDEX(E:E,MATCH(DATE(YEAR($A707)-1,MONTH($A707),DAY($A707)),$A:$A,0))-1),"")</f>
        <v/>
      </c>
      <c r="K707" s="19">
        <f>IFERROR(IF(OR(F707="",INDEX(F:F,MATCH(DATE(YEAR($A707)-1,MONTH($A707),DAY($A707)),$A:$A,0))=""),"",F707/INDEX(F:F,MATCH(DATE(YEAR($A707)-1,MONTH($A707),DAY($A707)),$A:$A,0))-1),"")</f>
        <v/>
      </c>
      <c r="L707" s="19">
        <f>IFERROR(IF(OR(G707="",INDEX(G:G,MATCH(DATE(YEAR($A707)-1,MONTH($A707),DAY($A707)),$A:$A,0))=""),"",G707/INDEX(G:G,MATCH(DATE(YEAR($A707)-1,MONTH($A707),DAY($A707)),$A:$A,0))-1),"")</f>
        <v/>
      </c>
      <c r="M707" s="19">
        <f>IF(OR(E707="",E706=""),"",E707/E706-1)</f>
        <v/>
      </c>
      <c r="N707" s="19">
        <f>IF(OR(F707="",F706=""),"",F707/F706-1)</f>
        <v/>
      </c>
      <c r="O707" s="19">
        <f>IF(OR(G707="",G706=""),"",G707/G706-1)</f>
        <v/>
      </c>
      <c r="P707" s="22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IF(R707="","",P707/R707)</f>
        <v/>
      </c>
      <c r="T707" s="23">
        <f>IF(R707="","",Q707/R707)</f>
        <v/>
      </c>
      <c r="U707" s="24">
        <f>IF(SUMIFS('Daily NSE Equity Options'!$M:$M,'Daily NSE Equity Options'!$A:$A,$A707)=0,"",SUMIFS('Daily NSE Equity Options'!$M:$M,'Daily NSE Equity Options'!$A:$A,$A707))</f>
        <v/>
      </c>
      <c r="V707" s="9">
        <f>IF(SUMIFS('Daily BSE Equity Options'!$M:$M,'Daily BSE Equity Options'!$A:$A,$A707)=0,"",SUMIFS('Daily BSE Equity Options'!$M:$M,'Daily BSE Equity Options'!$A:$A,$A707))</f>
        <v/>
      </c>
      <c r="W707" s="9">
        <f>IF(OR(U707="",V707=""),"",U707+V707)</f>
        <v/>
      </c>
      <c r="X707" s="25">
        <f>IF(W707="","",U707/W707)</f>
        <v/>
      </c>
      <c r="Y707" s="25">
        <f>IF(W707="","",V707/W707)</f>
        <v/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19">
        <f>IF(G708="","",E708/G708)</f>
        <v/>
      </c>
      <c r="I708" s="19">
        <f>IF(G708="","",F708/G708)</f>
        <v/>
      </c>
      <c r="J708" s="26">
        <f>IFERROR(IF(OR(E708="",INDEX(E:E,MATCH(DATE(YEAR($A708)-1,MONTH($A708),DAY($A708)),$A:$A,0))=""),"",E708/INDEX(E:E,MATCH(DATE(YEAR($A708)-1,MONTH($A708),DAY($A708)),$A:$A,0))-1),"")</f>
        <v/>
      </c>
      <c r="K708" s="19">
        <f>IFERROR(IF(OR(F708="",INDEX(F:F,MATCH(DATE(YEAR($A708)-1,MONTH($A708),DAY($A708)),$A:$A,0))=""),"",F708/INDEX(F:F,MATCH(DATE(YEAR($A708)-1,MONTH($A708),DAY($A708)),$A:$A,0))-1),"")</f>
        <v/>
      </c>
      <c r="L708" s="19">
        <f>IFERROR(IF(OR(G708="",INDEX(G:G,MATCH(DATE(YEAR($A708)-1,MONTH($A708),DAY($A708)),$A:$A,0))=""),"",G708/INDEX(G:G,MATCH(DATE(YEAR($A708)-1,MONTH($A708),DAY($A708)),$A:$A,0))-1),"")</f>
        <v/>
      </c>
      <c r="M708" s="19">
        <f>IF(OR(E708="",E707=""),"",E708/E707-1)</f>
        <v/>
      </c>
      <c r="N708" s="19">
        <f>IF(OR(F708="",F707=""),"",F708/F707-1)</f>
        <v/>
      </c>
      <c r="O708" s="19">
        <f>IF(OR(G708="",G707=""),"",G708/G707-1)</f>
        <v/>
      </c>
      <c r="P708" s="22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IF(R708="","",P708/R708)</f>
        <v/>
      </c>
      <c r="T708" s="23">
        <f>IF(R708="","",Q708/R708)</f>
        <v/>
      </c>
      <c r="U708" s="24">
        <f>IF(SUMIFS('Daily NSE Equity Options'!$M:$M,'Daily NSE Equity Options'!$A:$A,$A708)=0,"",SUMIFS('Daily NSE Equity Options'!$M:$M,'Daily NSE Equity Options'!$A:$A,$A708))</f>
        <v/>
      </c>
      <c r="V708" s="9">
        <f>IF(SUMIFS('Daily BSE Equity Options'!$M:$M,'Daily BSE Equity Options'!$A:$A,$A708)=0,"",SUMIFS('Daily BSE Equity Options'!$M:$M,'Daily BSE Equity Options'!$A:$A,$A708))</f>
        <v/>
      </c>
      <c r="W708" s="9">
        <f>IF(OR(U708="",V708=""),"",U708+V708)</f>
        <v/>
      </c>
      <c r="X708" s="25">
        <f>IF(W708="","",U708/W708)</f>
        <v/>
      </c>
      <c r="Y708" s="25">
        <f>IF(W708="","",V708/W708)</f>
        <v/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19">
        <f>IF(G709="","",E709/G709)</f>
        <v/>
      </c>
      <c r="I709" s="19">
        <f>IF(G709="","",F709/G709)</f>
        <v/>
      </c>
      <c r="J709" s="26">
        <f>IFERROR(IF(OR(E709="",INDEX(E:E,MATCH(DATE(YEAR($A709)-1,MONTH($A709),DAY($A709)),$A:$A,0))=""),"",E709/INDEX(E:E,MATCH(DATE(YEAR($A709)-1,MONTH($A709),DAY($A709)),$A:$A,0))-1),"")</f>
        <v/>
      </c>
      <c r="K709" s="19">
        <f>IFERROR(IF(OR(F709="",INDEX(F:F,MATCH(DATE(YEAR($A709)-1,MONTH($A709),DAY($A709)),$A:$A,0))=""),"",F709/INDEX(F:F,MATCH(DATE(YEAR($A709)-1,MONTH($A709),DAY($A709)),$A:$A,0))-1),"")</f>
        <v/>
      </c>
      <c r="L709" s="19">
        <f>IFERROR(IF(OR(G709="",INDEX(G:G,MATCH(DATE(YEAR($A709)-1,MONTH($A709),DAY($A709)),$A:$A,0))=""),"",G709/INDEX(G:G,MATCH(DATE(YEAR($A709)-1,MONTH($A709),DAY($A709)),$A:$A,0))-1),"")</f>
        <v/>
      </c>
      <c r="M709" s="19">
        <f>IF(OR(E709="",E708=""),"",E709/E708-1)</f>
        <v/>
      </c>
      <c r="N709" s="19">
        <f>IF(OR(F709="",F708=""),"",F709/F708-1)</f>
        <v/>
      </c>
      <c r="O709" s="19">
        <f>IF(OR(G709="",G708=""),"",G709/G708-1)</f>
        <v/>
      </c>
      <c r="P709" s="22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IF(R709="","",P709/R709)</f>
        <v/>
      </c>
      <c r="T709" s="23">
        <f>IF(R709="","",Q709/R709)</f>
        <v/>
      </c>
      <c r="U709" s="24">
        <f>IF(SUMIFS('Daily NSE Equity Options'!$M:$M,'Daily NSE Equity Options'!$A:$A,$A709)=0,"",SUMIFS('Daily NSE Equity Options'!$M:$M,'Daily NSE Equity Options'!$A:$A,$A709))</f>
        <v/>
      </c>
      <c r="V709" s="9">
        <f>IF(SUMIFS('Daily BSE Equity Options'!$M:$M,'Daily BSE Equity Options'!$A:$A,$A709)=0,"",SUMIFS('Daily BSE Equity Options'!$M:$M,'Daily BSE Equity Options'!$A:$A,$A709))</f>
        <v/>
      </c>
      <c r="W709" s="9">
        <f>IF(OR(U709="",V709=""),"",U709+V709)</f>
        <v/>
      </c>
      <c r="X709" s="25">
        <f>IF(W709="","",U709/W709)</f>
        <v/>
      </c>
      <c r="Y709" s="25">
        <f>IF(W709="","",V709/W709)</f>
        <v/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19">
        <f>IF(G710="","",E710/G710)</f>
        <v/>
      </c>
      <c r="I710" s="19">
        <f>IF(G710="","",F710/G710)</f>
        <v/>
      </c>
      <c r="J710" s="26">
        <f>IFERROR(IF(OR(E710="",INDEX(E:E,MATCH(DATE(YEAR($A710)-1,MONTH($A710),DAY($A710)),$A:$A,0))=""),"",E710/INDEX(E:E,MATCH(DATE(YEAR($A710)-1,MONTH($A710),DAY($A710)),$A:$A,0))-1),"")</f>
        <v/>
      </c>
      <c r="K710" s="19">
        <f>IFERROR(IF(OR(F710="",INDEX(F:F,MATCH(DATE(YEAR($A710)-1,MONTH($A710),DAY($A710)),$A:$A,0))=""),"",F710/INDEX(F:F,MATCH(DATE(YEAR($A710)-1,MONTH($A710),DAY($A710)),$A:$A,0))-1),"")</f>
        <v/>
      </c>
      <c r="L710" s="19">
        <f>IFERROR(IF(OR(G710="",INDEX(G:G,MATCH(DATE(YEAR($A710)-1,MONTH($A710),DAY($A710)),$A:$A,0))=""),"",G710/INDEX(G:G,MATCH(DATE(YEAR($A710)-1,MONTH($A710),DAY($A710)),$A:$A,0))-1),"")</f>
        <v/>
      </c>
      <c r="M710" s="19">
        <f>IF(OR(E710="",E709=""),"",E710/E709-1)</f>
        <v/>
      </c>
      <c r="N710" s="19">
        <f>IF(OR(F710="",F709=""),"",F710/F709-1)</f>
        <v/>
      </c>
      <c r="O710" s="19">
        <f>IF(OR(G710="",G709=""),"",G710/G709-1)</f>
        <v/>
      </c>
      <c r="P710" s="22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IF(R710="","",P710/R710)</f>
        <v/>
      </c>
      <c r="T710" s="23">
        <f>IF(R710="","",Q710/R710)</f>
        <v/>
      </c>
      <c r="U710" s="24">
        <f>IF(SUMIFS('Daily NSE Equity Options'!$M:$M,'Daily NSE Equity Options'!$A:$A,$A710)=0,"",SUMIFS('Daily NSE Equity Options'!$M:$M,'Daily NSE Equity Options'!$A:$A,$A710))</f>
        <v/>
      </c>
      <c r="V710" s="9">
        <f>IF(SUMIFS('Daily BSE Equity Options'!$M:$M,'Daily BSE Equity Options'!$A:$A,$A710)=0,"",SUMIFS('Daily BSE Equity Options'!$M:$M,'Daily BSE Equity Options'!$A:$A,$A710))</f>
        <v/>
      </c>
      <c r="W710" s="9">
        <f>IF(OR(U710="",V710=""),"",U710+V710)</f>
        <v/>
      </c>
      <c r="X710" s="25">
        <f>IF(W710="","",U710/W710)</f>
        <v/>
      </c>
      <c r="Y710" s="25">
        <f>IF(W710="","",V710/W710)</f>
        <v/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19">
        <f>IF(G711="","",E711/G711)</f>
        <v/>
      </c>
      <c r="I711" s="19">
        <f>IF(G711="","",F711/G711)</f>
        <v/>
      </c>
      <c r="J711" s="26">
        <f>IFERROR(IF(OR(E711="",INDEX(E:E,MATCH(DATE(YEAR($A711)-1,MONTH($A711),DAY($A711)),$A:$A,0))=""),"",E711/INDEX(E:E,MATCH(DATE(YEAR($A711)-1,MONTH($A711),DAY($A711)),$A:$A,0))-1),"")</f>
        <v/>
      </c>
      <c r="K711" s="19">
        <f>IFERROR(IF(OR(F711="",INDEX(F:F,MATCH(DATE(YEAR($A711)-1,MONTH($A711),DAY($A711)),$A:$A,0))=""),"",F711/INDEX(F:F,MATCH(DATE(YEAR($A711)-1,MONTH($A711),DAY($A711)),$A:$A,0))-1),"")</f>
        <v/>
      </c>
      <c r="L711" s="19">
        <f>IFERROR(IF(OR(G711="",INDEX(G:G,MATCH(DATE(YEAR($A711)-1,MONTH($A711),DAY($A711)),$A:$A,0))=""),"",G711/INDEX(G:G,MATCH(DATE(YEAR($A711)-1,MONTH($A711),DAY($A711)),$A:$A,0))-1),"")</f>
        <v/>
      </c>
      <c r="M711" s="19">
        <f>IF(OR(E711="",E710=""),"",E711/E710-1)</f>
        <v/>
      </c>
      <c r="N711" s="19">
        <f>IF(OR(F711="",F710=""),"",F711/F710-1)</f>
        <v/>
      </c>
      <c r="O711" s="19">
        <f>IF(OR(G711="",G710=""),"",G711/G710-1)</f>
        <v/>
      </c>
      <c r="P711" s="22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IF(R711="","",P711/R711)</f>
        <v/>
      </c>
      <c r="T711" s="23">
        <f>IF(R711="","",Q711/R711)</f>
        <v/>
      </c>
      <c r="U711" s="24">
        <f>IF(SUMIFS('Daily NSE Equity Options'!$M:$M,'Daily NSE Equity Options'!$A:$A,$A711)=0,"",SUMIFS('Daily NSE Equity Options'!$M:$M,'Daily NSE Equity Options'!$A:$A,$A711))</f>
        <v/>
      </c>
      <c r="V711" s="9">
        <f>IF(SUMIFS('Daily BSE Equity Options'!$M:$M,'Daily BSE Equity Options'!$A:$A,$A711)=0,"",SUMIFS('Daily BSE Equity Options'!$M:$M,'Daily BSE Equity Options'!$A:$A,$A711))</f>
        <v/>
      </c>
      <c r="W711" s="9">
        <f>IF(OR(U711="",V711=""),"",U711+V711)</f>
        <v/>
      </c>
      <c r="X711" s="25">
        <f>IF(W711="","",U711/W711)</f>
        <v/>
      </c>
      <c r="Y711" s="25">
        <f>IF(W711="","",V711/W711)</f>
        <v/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19">
        <f>IF(G712="","",E712/G712)</f>
        <v/>
      </c>
      <c r="I712" s="19">
        <f>IF(G712="","",F712/G712)</f>
        <v/>
      </c>
      <c r="J712" s="26">
        <f>IFERROR(IF(OR(E712="",INDEX(E:E,MATCH(DATE(YEAR($A712)-1,MONTH($A712),DAY($A712)),$A:$A,0))=""),"",E712/INDEX(E:E,MATCH(DATE(YEAR($A712)-1,MONTH($A712),DAY($A712)),$A:$A,0))-1),"")</f>
        <v/>
      </c>
      <c r="K712" s="19">
        <f>IFERROR(IF(OR(F712="",INDEX(F:F,MATCH(DATE(YEAR($A712)-1,MONTH($A712),DAY($A712)),$A:$A,0))=""),"",F712/INDEX(F:F,MATCH(DATE(YEAR($A712)-1,MONTH($A712),DAY($A712)),$A:$A,0))-1),"")</f>
        <v/>
      </c>
      <c r="L712" s="19">
        <f>IFERROR(IF(OR(G712="",INDEX(G:G,MATCH(DATE(YEAR($A712)-1,MONTH($A712),DAY($A712)),$A:$A,0))=""),"",G712/INDEX(G:G,MATCH(DATE(YEAR($A712)-1,MONTH($A712),DAY($A712)),$A:$A,0))-1),"")</f>
        <v/>
      </c>
      <c r="M712" s="19">
        <f>IF(OR(E712="",E711=""),"",E712/E711-1)</f>
        <v/>
      </c>
      <c r="N712" s="19">
        <f>IF(OR(F712="",F711=""),"",F712/F711-1)</f>
        <v/>
      </c>
      <c r="O712" s="19">
        <f>IF(OR(G712="",G711=""),"",G712/G711-1)</f>
        <v/>
      </c>
      <c r="P712" s="22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IF(R712="","",P712/R712)</f>
        <v/>
      </c>
      <c r="T712" s="23">
        <f>IF(R712="","",Q712/R712)</f>
        <v/>
      </c>
      <c r="U712" s="24">
        <f>IF(SUMIFS('Daily NSE Equity Options'!$M:$M,'Daily NSE Equity Options'!$A:$A,$A712)=0,"",SUMIFS('Daily NSE Equity Options'!$M:$M,'Daily NSE Equity Options'!$A:$A,$A712))</f>
        <v/>
      </c>
      <c r="V712" s="9">
        <f>IF(SUMIFS('Daily BSE Equity Options'!$M:$M,'Daily BSE Equity Options'!$A:$A,$A712)=0,"",SUMIFS('Daily BSE Equity Options'!$M:$M,'Daily BSE Equity Options'!$A:$A,$A712))</f>
        <v/>
      </c>
      <c r="W712" s="9">
        <f>IF(OR(U712="",V712=""),"",U712+V712)</f>
        <v/>
      </c>
      <c r="X712" s="25">
        <f>IF(W712="","",U712/W712)</f>
        <v/>
      </c>
      <c r="Y712" s="25">
        <f>IF(W712="","",V712/W712)</f>
        <v/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19">
        <f>IF(G713="","",E713/G713)</f>
        <v/>
      </c>
      <c r="I713" s="19">
        <f>IF(G713="","",F713/G713)</f>
        <v/>
      </c>
      <c r="J713" s="26">
        <f>IFERROR(IF(OR(E713="",INDEX(E:E,MATCH(DATE(YEAR($A713)-1,MONTH($A713),DAY($A713)),$A:$A,0))=""),"",E713/INDEX(E:E,MATCH(DATE(YEAR($A713)-1,MONTH($A713),DAY($A713)),$A:$A,0))-1),"")</f>
        <v/>
      </c>
      <c r="K713" s="19">
        <f>IFERROR(IF(OR(F713="",INDEX(F:F,MATCH(DATE(YEAR($A713)-1,MONTH($A713),DAY($A713)),$A:$A,0))=""),"",F713/INDEX(F:F,MATCH(DATE(YEAR($A713)-1,MONTH($A713),DAY($A713)),$A:$A,0))-1),"")</f>
        <v/>
      </c>
      <c r="L713" s="19">
        <f>IFERROR(IF(OR(G713="",INDEX(G:G,MATCH(DATE(YEAR($A713)-1,MONTH($A713),DAY($A713)),$A:$A,0))=""),"",G713/INDEX(G:G,MATCH(DATE(YEAR($A713)-1,MONTH($A713),DAY($A713)),$A:$A,0))-1),"")</f>
        <v/>
      </c>
      <c r="M713" s="19">
        <f>IF(OR(E713="",E712=""),"",E713/E712-1)</f>
        <v/>
      </c>
      <c r="N713" s="19">
        <f>IF(OR(F713="",F712=""),"",F713/F712-1)</f>
        <v/>
      </c>
      <c r="O713" s="19">
        <f>IF(OR(G713="",G712=""),"",G713/G712-1)</f>
        <v/>
      </c>
      <c r="P713" s="22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IF(R713="","",P713/R713)</f>
        <v/>
      </c>
      <c r="T713" s="23">
        <f>IF(R713="","",Q713/R713)</f>
        <v/>
      </c>
      <c r="U713" s="24">
        <f>IF(SUMIFS('Daily NSE Equity Options'!$M:$M,'Daily NSE Equity Options'!$A:$A,$A713)=0,"",SUMIFS('Daily NSE Equity Options'!$M:$M,'Daily NSE Equity Options'!$A:$A,$A713))</f>
        <v/>
      </c>
      <c r="V713" s="9">
        <f>IF(SUMIFS('Daily BSE Equity Options'!$M:$M,'Daily BSE Equity Options'!$A:$A,$A713)=0,"",SUMIFS('Daily BSE Equity Options'!$M:$M,'Daily BSE Equity Options'!$A:$A,$A713))</f>
        <v/>
      </c>
      <c r="W713" s="9">
        <f>IF(OR(U713="",V713=""),"",U713+V713)</f>
        <v/>
      </c>
      <c r="X713" s="25">
        <f>IF(W713="","",U713/W713)</f>
        <v/>
      </c>
      <c r="Y713" s="25">
        <f>IF(W713="","",V713/W713)</f>
        <v/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19">
        <f>IF(G714="","",E714/G714)</f>
        <v/>
      </c>
      <c r="I714" s="19">
        <f>IF(G714="","",F714/G714)</f>
        <v/>
      </c>
      <c r="J714" s="26">
        <f>IFERROR(IF(OR(E714="",INDEX(E:E,MATCH(DATE(YEAR($A714)-1,MONTH($A714),DAY($A714)),$A:$A,0))=""),"",E714/INDEX(E:E,MATCH(DATE(YEAR($A714)-1,MONTH($A714),DAY($A714)),$A:$A,0))-1),"")</f>
        <v/>
      </c>
      <c r="K714" s="19">
        <f>IFERROR(IF(OR(F714="",INDEX(F:F,MATCH(DATE(YEAR($A714)-1,MONTH($A714),DAY($A714)),$A:$A,0))=""),"",F714/INDEX(F:F,MATCH(DATE(YEAR($A714)-1,MONTH($A714),DAY($A714)),$A:$A,0))-1),"")</f>
        <v/>
      </c>
      <c r="L714" s="19">
        <f>IFERROR(IF(OR(G714="",INDEX(G:G,MATCH(DATE(YEAR($A714)-1,MONTH($A714),DAY($A714)),$A:$A,0))=""),"",G714/INDEX(G:G,MATCH(DATE(YEAR($A714)-1,MONTH($A714),DAY($A714)),$A:$A,0))-1),"")</f>
        <v/>
      </c>
      <c r="M714" s="19">
        <f>IF(OR(E714="",E713=""),"",E714/E713-1)</f>
        <v/>
      </c>
      <c r="N714" s="19">
        <f>IF(OR(F714="",F713=""),"",F714/F713-1)</f>
        <v/>
      </c>
      <c r="O714" s="19">
        <f>IF(OR(G714="",G713=""),"",G714/G713-1)</f>
        <v/>
      </c>
      <c r="P714" s="22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IF(R714="","",P714/R714)</f>
        <v/>
      </c>
      <c r="T714" s="23">
        <f>IF(R714="","",Q714/R714)</f>
        <v/>
      </c>
      <c r="U714" s="24">
        <f>IF(SUMIFS('Daily NSE Equity Options'!$M:$M,'Daily NSE Equity Options'!$A:$A,$A714)=0,"",SUMIFS('Daily NSE Equity Options'!$M:$M,'Daily NSE Equity Options'!$A:$A,$A714))</f>
        <v/>
      </c>
      <c r="V714" s="9">
        <f>IF(SUMIFS('Daily BSE Equity Options'!$M:$M,'Daily BSE Equity Options'!$A:$A,$A714)=0,"",SUMIFS('Daily BSE Equity Options'!$M:$M,'Daily BSE Equity Options'!$A:$A,$A714))</f>
        <v/>
      </c>
      <c r="W714" s="9">
        <f>IF(OR(U714="",V714=""),"",U714+V714)</f>
        <v/>
      </c>
      <c r="X714" s="25">
        <f>IF(W714="","",U714/W714)</f>
        <v/>
      </c>
      <c r="Y714" s="25">
        <f>IF(W714="","",V714/W714)</f>
        <v/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19">
        <f>IF(G715="","",E715/G715)</f>
        <v/>
      </c>
      <c r="I715" s="19">
        <f>IF(G715="","",F715/G715)</f>
        <v/>
      </c>
      <c r="J715" s="26">
        <f>IFERROR(IF(OR(E715="",INDEX(E:E,MATCH(DATE(YEAR($A715)-1,MONTH($A715),DAY($A715)),$A:$A,0))=""),"",E715/INDEX(E:E,MATCH(DATE(YEAR($A715)-1,MONTH($A715),DAY($A715)),$A:$A,0))-1),"")</f>
        <v/>
      </c>
      <c r="K715" s="19">
        <f>IFERROR(IF(OR(F715="",INDEX(F:F,MATCH(DATE(YEAR($A715)-1,MONTH($A715),DAY($A715)),$A:$A,0))=""),"",F715/INDEX(F:F,MATCH(DATE(YEAR($A715)-1,MONTH($A715),DAY($A715)),$A:$A,0))-1),"")</f>
        <v/>
      </c>
      <c r="L715" s="19">
        <f>IFERROR(IF(OR(G715="",INDEX(G:G,MATCH(DATE(YEAR($A715)-1,MONTH($A715),DAY($A715)),$A:$A,0))=""),"",G715/INDEX(G:G,MATCH(DATE(YEAR($A715)-1,MONTH($A715),DAY($A715)),$A:$A,0))-1),"")</f>
        <v/>
      </c>
      <c r="M715" s="19">
        <f>IF(OR(E715="",E714=""),"",E715/E714-1)</f>
        <v/>
      </c>
      <c r="N715" s="19">
        <f>IF(OR(F715="",F714=""),"",F715/F714-1)</f>
        <v/>
      </c>
      <c r="O715" s="19">
        <f>IF(OR(G715="",G714=""),"",G715/G714-1)</f>
        <v/>
      </c>
      <c r="P715" s="22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IF(R715="","",P715/R715)</f>
        <v/>
      </c>
      <c r="T715" s="23">
        <f>IF(R715="","",Q715/R715)</f>
        <v/>
      </c>
      <c r="U715" s="24">
        <f>IF(SUMIFS('Daily NSE Equity Options'!$M:$M,'Daily NSE Equity Options'!$A:$A,$A715)=0,"",SUMIFS('Daily NSE Equity Options'!$M:$M,'Daily NSE Equity Options'!$A:$A,$A715))</f>
        <v/>
      </c>
      <c r="V715" s="9">
        <f>IF(SUMIFS('Daily BSE Equity Options'!$M:$M,'Daily BSE Equity Options'!$A:$A,$A715)=0,"",SUMIFS('Daily BSE Equity Options'!$M:$M,'Daily BSE Equity Options'!$A:$A,$A715))</f>
        <v/>
      </c>
      <c r="W715" s="9">
        <f>IF(OR(U715="",V715=""),"",U715+V715)</f>
        <v/>
      </c>
      <c r="X715" s="25">
        <f>IF(W715="","",U715/W715)</f>
        <v/>
      </c>
      <c r="Y715" s="25">
        <f>IF(W715="","",V715/W715)</f>
        <v/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19">
        <f>IF(G716="","",E716/G716)</f>
        <v/>
      </c>
      <c r="I716" s="19">
        <f>IF(G716="","",F716/G716)</f>
        <v/>
      </c>
      <c r="J716" s="26">
        <f>IFERROR(IF(OR(E716="",INDEX(E:E,MATCH(DATE(YEAR($A716)-1,MONTH($A716),DAY($A716)),$A:$A,0))=""),"",E716/INDEX(E:E,MATCH(DATE(YEAR($A716)-1,MONTH($A716),DAY($A716)),$A:$A,0))-1),"")</f>
        <v/>
      </c>
      <c r="K716" s="19">
        <f>IFERROR(IF(OR(F716="",INDEX(F:F,MATCH(DATE(YEAR($A716)-1,MONTH($A716),DAY($A716)),$A:$A,0))=""),"",F716/INDEX(F:F,MATCH(DATE(YEAR($A716)-1,MONTH($A716),DAY($A716)),$A:$A,0))-1),"")</f>
        <v/>
      </c>
      <c r="L716" s="19">
        <f>IFERROR(IF(OR(G716="",INDEX(G:G,MATCH(DATE(YEAR($A716)-1,MONTH($A716),DAY($A716)),$A:$A,0))=""),"",G716/INDEX(G:G,MATCH(DATE(YEAR($A716)-1,MONTH($A716),DAY($A716)),$A:$A,0))-1),"")</f>
        <v/>
      </c>
      <c r="M716" s="19">
        <f>IF(OR(E716="",E715=""),"",E716/E715-1)</f>
        <v/>
      </c>
      <c r="N716" s="19">
        <f>IF(OR(F716="",F715=""),"",F716/F715-1)</f>
        <v/>
      </c>
      <c r="O716" s="19">
        <f>IF(OR(G716="",G715=""),"",G716/G715-1)</f>
        <v/>
      </c>
      <c r="P716" s="22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IF(R716="","",P716/R716)</f>
        <v/>
      </c>
      <c r="T716" s="23">
        <f>IF(R716="","",Q716/R716)</f>
        <v/>
      </c>
      <c r="U716" s="24">
        <f>IF(SUMIFS('Daily NSE Equity Options'!$M:$M,'Daily NSE Equity Options'!$A:$A,$A716)=0,"",SUMIFS('Daily NSE Equity Options'!$M:$M,'Daily NSE Equity Options'!$A:$A,$A716))</f>
        <v/>
      </c>
      <c r="V716" s="9">
        <f>IF(SUMIFS('Daily BSE Equity Options'!$M:$M,'Daily BSE Equity Options'!$A:$A,$A716)=0,"",SUMIFS('Daily BSE Equity Options'!$M:$M,'Daily BSE Equity Options'!$A:$A,$A716))</f>
        <v/>
      </c>
      <c r="W716" s="9">
        <f>IF(OR(U716="",V716=""),"",U716+V716)</f>
        <v/>
      </c>
      <c r="X716" s="25">
        <f>IF(W716="","",U716/W716)</f>
        <v/>
      </c>
      <c r="Y716" s="25">
        <f>IF(W716="","",V716/W716)</f>
        <v/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19">
        <f>IF(G717="","",E717/G717)</f>
        <v/>
      </c>
      <c r="I717" s="19">
        <f>IF(G717="","",F717/G717)</f>
        <v/>
      </c>
      <c r="J717" s="26">
        <f>IFERROR(IF(OR(E717="",INDEX(E:E,MATCH(DATE(YEAR($A717)-1,MONTH($A717),DAY($A717)),$A:$A,0))=""),"",E717/INDEX(E:E,MATCH(DATE(YEAR($A717)-1,MONTH($A717),DAY($A717)),$A:$A,0))-1),"")</f>
        <v/>
      </c>
      <c r="K717" s="19">
        <f>IFERROR(IF(OR(F717="",INDEX(F:F,MATCH(DATE(YEAR($A717)-1,MONTH($A717),DAY($A717)),$A:$A,0))=""),"",F717/INDEX(F:F,MATCH(DATE(YEAR($A717)-1,MONTH($A717),DAY($A717)),$A:$A,0))-1),"")</f>
        <v/>
      </c>
      <c r="L717" s="19">
        <f>IFERROR(IF(OR(G717="",INDEX(G:G,MATCH(DATE(YEAR($A717)-1,MONTH($A717),DAY($A717)),$A:$A,0))=""),"",G717/INDEX(G:G,MATCH(DATE(YEAR($A717)-1,MONTH($A717),DAY($A717)),$A:$A,0))-1),"")</f>
        <v/>
      </c>
      <c r="M717" s="19">
        <f>IF(OR(E717="",E716=""),"",E717/E716-1)</f>
        <v/>
      </c>
      <c r="N717" s="19">
        <f>IF(OR(F717="",F716=""),"",F717/F716-1)</f>
        <v/>
      </c>
      <c r="O717" s="19">
        <f>IF(OR(G717="",G716=""),"",G717/G716-1)</f>
        <v/>
      </c>
      <c r="P717" s="22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IF(R717="","",P717/R717)</f>
        <v/>
      </c>
      <c r="T717" s="23">
        <f>IF(R717="","",Q717/R717)</f>
        <v/>
      </c>
      <c r="U717" s="24">
        <f>IF(SUMIFS('Daily NSE Equity Options'!$M:$M,'Daily NSE Equity Options'!$A:$A,$A717)=0,"",SUMIFS('Daily NSE Equity Options'!$M:$M,'Daily NSE Equity Options'!$A:$A,$A717))</f>
        <v/>
      </c>
      <c r="V717" s="9">
        <f>IF(SUMIFS('Daily BSE Equity Options'!$M:$M,'Daily BSE Equity Options'!$A:$A,$A717)=0,"",SUMIFS('Daily BSE Equity Options'!$M:$M,'Daily BSE Equity Options'!$A:$A,$A717))</f>
        <v/>
      </c>
      <c r="W717" s="9">
        <f>IF(OR(U717="",V717=""),"",U717+V717)</f>
        <v/>
      </c>
      <c r="X717" s="25">
        <f>IF(W717="","",U717/W717)</f>
        <v/>
      </c>
      <c r="Y717" s="25">
        <f>IF(W717="","",V717/W717)</f>
        <v/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19">
        <f>IF(G718="","",E718/G718)</f>
        <v/>
      </c>
      <c r="I718" s="19">
        <f>IF(G718="","",F718/G718)</f>
        <v/>
      </c>
      <c r="J718" s="26">
        <f>IFERROR(IF(OR(E718="",INDEX(E:E,MATCH(DATE(YEAR($A718)-1,MONTH($A718),DAY($A718)),$A:$A,0))=""),"",E718/INDEX(E:E,MATCH(DATE(YEAR($A718)-1,MONTH($A718),DAY($A718)),$A:$A,0))-1),"")</f>
        <v/>
      </c>
      <c r="K718" s="19">
        <f>IFERROR(IF(OR(F718="",INDEX(F:F,MATCH(DATE(YEAR($A718)-1,MONTH($A718),DAY($A718)),$A:$A,0))=""),"",F718/INDEX(F:F,MATCH(DATE(YEAR($A718)-1,MONTH($A718),DAY($A718)),$A:$A,0))-1),"")</f>
        <v/>
      </c>
      <c r="L718" s="19">
        <f>IFERROR(IF(OR(G718="",INDEX(G:G,MATCH(DATE(YEAR($A718)-1,MONTH($A718),DAY($A718)),$A:$A,0))=""),"",G718/INDEX(G:G,MATCH(DATE(YEAR($A718)-1,MONTH($A718),DAY($A718)),$A:$A,0))-1),"")</f>
        <v/>
      </c>
      <c r="M718" s="19">
        <f>IF(OR(E718="",E717=""),"",E718/E717-1)</f>
        <v/>
      </c>
      <c r="N718" s="19">
        <f>IF(OR(F718="",F717=""),"",F718/F717-1)</f>
        <v/>
      </c>
      <c r="O718" s="19">
        <f>IF(OR(G718="",G717=""),"",G718/G717-1)</f>
        <v/>
      </c>
      <c r="P718" s="22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IF(R718="","",P718/R718)</f>
        <v/>
      </c>
      <c r="T718" s="23">
        <f>IF(R718="","",Q718/R718)</f>
        <v/>
      </c>
      <c r="U718" s="24">
        <f>IF(SUMIFS('Daily NSE Equity Options'!$M:$M,'Daily NSE Equity Options'!$A:$A,$A718)=0,"",SUMIFS('Daily NSE Equity Options'!$M:$M,'Daily NSE Equity Options'!$A:$A,$A718))</f>
        <v/>
      </c>
      <c r="V718" s="9">
        <f>IF(SUMIFS('Daily BSE Equity Options'!$M:$M,'Daily BSE Equity Options'!$A:$A,$A718)=0,"",SUMIFS('Daily BSE Equity Options'!$M:$M,'Daily BSE Equity Options'!$A:$A,$A718))</f>
        <v/>
      </c>
      <c r="W718" s="9">
        <f>IF(OR(U718="",V718=""),"",U718+V718)</f>
        <v/>
      </c>
      <c r="X718" s="25">
        <f>IF(W718="","",U718/W718)</f>
        <v/>
      </c>
      <c r="Y718" s="25">
        <f>IF(W718="","",V718/W718)</f>
        <v/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19">
        <f>IF(G719="","",E719/G719)</f>
        <v/>
      </c>
      <c r="I719" s="19">
        <f>IF(G719="","",F719/G719)</f>
        <v/>
      </c>
      <c r="J719" s="26">
        <f>IFERROR(IF(OR(E719="",INDEX(E:E,MATCH(DATE(YEAR($A719)-1,MONTH($A719),DAY($A719)),$A:$A,0))=""),"",E719/INDEX(E:E,MATCH(DATE(YEAR($A719)-1,MONTH($A719),DAY($A719)),$A:$A,0))-1),"")</f>
        <v/>
      </c>
      <c r="K719" s="19">
        <f>IFERROR(IF(OR(F719="",INDEX(F:F,MATCH(DATE(YEAR($A719)-1,MONTH($A719),DAY($A719)),$A:$A,0))=""),"",F719/INDEX(F:F,MATCH(DATE(YEAR($A719)-1,MONTH($A719),DAY($A719)),$A:$A,0))-1),"")</f>
        <v/>
      </c>
      <c r="L719" s="19">
        <f>IFERROR(IF(OR(G719="",INDEX(G:G,MATCH(DATE(YEAR($A719)-1,MONTH($A719),DAY($A719)),$A:$A,0))=""),"",G719/INDEX(G:G,MATCH(DATE(YEAR($A719)-1,MONTH($A719),DAY($A719)),$A:$A,0))-1),"")</f>
        <v/>
      </c>
      <c r="M719" s="19">
        <f>IF(OR(E719="",E718=""),"",E719/E718-1)</f>
        <v/>
      </c>
      <c r="N719" s="19">
        <f>IF(OR(F719="",F718=""),"",F719/F718-1)</f>
        <v/>
      </c>
      <c r="O719" s="19">
        <f>IF(OR(G719="",G718=""),"",G719/G718-1)</f>
        <v/>
      </c>
      <c r="P719" s="22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IF(R719="","",P719/R719)</f>
        <v/>
      </c>
      <c r="T719" s="23">
        <f>IF(R719="","",Q719/R719)</f>
        <v/>
      </c>
      <c r="U719" s="24">
        <f>IF(SUMIFS('Daily NSE Equity Options'!$M:$M,'Daily NSE Equity Options'!$A:$A,$A719)=0,"",SUMIFS('Daily NSE Equity Options'!$M:$M,'Daily NSE Equity Options'!$A:$A,$A719))</f>
        <v/>
      </c>
      <c r="V719" s="9">
        <f>IF(SUMIFS('Daily BSE Equity Options'!$M:$M,'Daily BSE Equity Options'!$A:$A,$A719)=0,"",SUMIFS('Daily BSE Equity Options'!$M:$M,'Daily BSE Equity Options'!$A:$A,$A719))</f>
        <v/>
      </c>
      <c r="W719" s="9">
        <f>IF(OR(U719="",V719=""),"",U719+V719)</f>
        <v/>
      </c>
      <c r="X719" s="25">
        <f>IF(W719="","",U719/W719)</f>
        <v/>
      </c>
      <c r="Y719" s="25">
        <f>IF(W719="","",V719/W719)</f>
        <v/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19">
        <f>IF(G720="","",E720/G720)</f>
        <v/>
      </c>
      <c r="I720" s="19">
        <f>IF(G720="","",F720/G720)</f>
        <v/>
      </c>
      <c r="J720" s="26">
        <f>IFERROR(IF(OR(E720="",INDEX(E:E,MATCH(DATE(YEAR($A720)-1,MONTH($A720),DAY($A720)),$A:$A,0))=""),"",E720/INDEX(E:E,MATCH(DATE(YEAR($A720)-1,MONTH($A720),DAY($A720)),$A:$A,0))-1),"")</f>
        <v/>
      </c>
      <c r="K720" s="19">
        <f>IFERROR(IF(OR(F720="",INDEX(F:F,MATCH(DATE(YEAR($A720)-1,MONTH($A720),DAY($A720)),$A:$A,0))=""),"",F720/INDEX(F:F,MATCH(DATE(YEAR($A720)-1,MONTH($A720),DAY($A720)),$A:$A,0))-1),"")</f>
        <v/>
      </c>
      <c r="L720" s="19">
        <f>IFERROR(IF(OR(G720="",INDEX(G:G,MATCH(DATE(YEAR($A720)-1,MONTH($A720),DAY($A720)),$A:$A,0))=""),"",G720/INDEX(G:G,MATCH(DATE(YEAR($A720)-1,MONTH($A720),DAY($A720)),$A:$A,0))-1),"")</f>
        <v/>
      </c>
      <c r="M720" s="19">
        <f>IF(OR(E720="",E719=""),"",E720/E719-1)</f>
        <v/>
      </c>
      <c r="N720" s="19">
        <f>IF(OR(F720="",F719=""),"",F720/F719-1)</f>
        <v/>
      </c>
      <c r="O720" s="19">
        <f>IF(OR(G720="",G719=""),"",G720/G719-1)</f>
        <v/>
      </c>
      <c r="P720" s="22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IF(R720="","",P720/R720)</f>
        <v/>
      </c>
      <c r="T720" s="23">
        <f>IF(R720="","",Q720/R720)</f>
        <v/>
      </c>
      <c r="U720" s="24">
        <f>IF(SUMIFS('Daily NSE Equity Options'!$M:$M,'Daily NSE Equity Options'!$A:$A,$A720)=0,"",SUMIFS('Daily NSE Equity Options'!$M:$M,'Daily NSE Equity Options'!$A:$A,$A720))</f>
        <v/>
      </c>
      <c r="V720" s="9">
        <f>IF(SUMIFS('Daily BSE Equity Options'!$M:$M,'Daily BSE Equity Options'!$A:$A,$A720)=0,"",SUMIFS('Daily BSE Equity Options'!$M:$M,'Daily BSE Equity Options'!$A:$A,$A720))</f>
        <v/>
      </c>
      <c r="W720" s="9">
        <f>IF(OR(U720="",V720=""),"",U720+V720)</f>
        <v/>
      </c>
      <c r="X720" s="25">
        <f>IF(W720="","",U720/W720)</f>
        <v/>
      </c>
      <c r="Y720" s="25">
        <f>IF(W720="","",V720/W720)</f>
        <v/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19">
        <f>IF(G721="","",E721/G721)</f>
        <v/>
      </c>
      <c r="I721" s="19">
        <f>IF(G721="","",F721/G721)</f>
        <v/>
      </c>
      <c r="J721" s="26">
        <f>IFERROR(IF(OR(E721="",INDEX(E:E,MATCH(DATE(YEAR($A721)-1,MONTH($A721),DAY($A721)),$A:$A,0))=""),"",E721/INDEX(E:E,MATCH(DATE(YEAR($A721)-1,MONTH($A721),DAY($A721)),$A:$A,0))-1),"")</f>
        <v/>
      </c>
      <c r="K721" s="19">
        <f>IFERROR(IF(OR(F721="",INDEX(F:F,MATCH(DATE(YEAR($A721)-1,MONTH($A721),DAY($A721)),$A:$A,0))=""),"",F721/INDEX(F:F,MATCH(DATE(YEAR($A721)-1,MONTH($A721),DAY($A721)),$A:$A,0))-1),"")</f>
        <v/>
      </c>
      <c r="L721" s="19">
        <f>IFERROR(IF(OR(G721="",INDEX(G:G,MATCH(DATE(YEAR($A721)-1,MONTH($A721),DAY($A721)),$A:$A,0))=""),"",G721/INDEX(G:G,MATCH(DATE(YEAR($A721)-1,MONTH($A721),DAY($A721)),$A:$A,0))-1),"")</f>
        <v/>
      </c>
      <c r="M721" s="19">
        <f>IF(OR(E721="",E720=""),"",E721/E720-1)</f>
        <v/>
      </c>
      <c r="N721" s="19">
        <f>IF(OR(F721="",F720=""),"",F721/F720-1)</f>
        <v/>
      </c>
      <c r="O721" s="19">
        <f>IF(OR(G721="",G720=""),"",G721/G720-1)</f>
        <v/>
      </c>
      <c r="P721" s="22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IF(R721="","",P721/R721)</f>
        <v/>
      </c>
      <c r="T721" s="23">
        <f>IF(R721="","",Q721/R721)</f>
        <v/>
      </c>
      <c r="U721" s="24">
        <f>IF(SUMIFS('Daily NSE Equity Options'!$M:$M,'Daily NSE Equity Options'!$A:$A,$A721)=0,"",SUMIFS('Daily NSE Equity Options'!$M:$M,'Daily NSE Equity Options'!$A:$A,$A721))</f>
        <v/>
      </c>
      <c r="V721" s="9">
        <f>IF(SUMIFS('Daily BSE Equity Options'!$M:$M,'Daily BSE Equity Options'!$A:$A,$A721)=0,"",SUMIFS('Daily BSE Equity Options'!$M:$M,'Daily BSE Equity Options'!$A:$A,$A721))</f>
        <v/>
      </c>
      <c r="W721" s="9">
        <f>IF(OR(U721="",V721=""),"",U721+V721)</f>
        <v/>
      </c>
      <c r="X721" s="25">
        <f>IF(W721="","",U721/W721)</f>
        <v/>
      </c>
      <c r="Y721" s="25">
        <f>IF(W721="","",V721/W721)</f>
        <v/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19">
        <f>IF(G722="","",E722/G722)</f>
        <v/>
      </c>
      <c r="I722" s="19">
        <f>IF(G722="","",F722/G722)</f>
        <v/>
      </c>
      <c r="J722" s="26">
        <f>IFERROR(IF(OR(E722="",INDEX(E:E,MATCH(DATE(YEAR($A722)-1,MONTH($A722),DAY($A722)),$A:$A,0))=""),"",E722/INDEX(E:E,MATCH(DATE(YEAR($A722)-1,MONTH($A722),DAY($A722)),$A:$A,0))-1),"")</f>
        <v/>
      </c>
      <c r="K722" s="19">
        <f>IFERROR(IF(OR(F722="",INDEX(F:F,MATCH(DATE(YEAR($A722)-1,MONTH($A722),DAY($A722)),$A:$A,0))=""),"",F722/INDEX(F:F,MATCH(DATE(YEAR($A722)-1,MONTH($A722),DAY($A722)),$A:$A,0))-1),"")</f>
        <v/>
      </c>
      <c r="L722" s="19">
        <f>IFERROR(IF(OR(G722="",INDEX(G:G,MATCH(DATE(YEAR($A722)-1,MONTH($A722),DAY($A722)),$A:$A,0))=""),"",G722/INDEX(G:G,MATCH(DATE(YEAR($A722)-1,MONTH($A722),DAY($A722)),$A:$A,0))-1),"")</f>
        <v/>
      </c>
      <c r="M722" s="19">
        <f>IF(OR(E722="",E721=""),"",E722/E721-1)</f>
        <v/>
      </c>
      <c r="N722" s="19">
        <f>IF(OR(F722="",F721=""),"",F722/F721-1)</f>
        <v/>
      </c>
      <c r="O722" s="19">
        <f>IF(OR(G722="",G721=""),"",G722/G721-1)</f>
        <v/>
      </c>
      <c r="P722" s="22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IF(R722="","",P722/R722)</f>
        <v/>
      </c>
      <c r="T722" s="23">
        <f>IF(R722="","",Q722/R722)</f>
        <v/>
      </c>
      <c r="U722" s="24">
        <f>IF(SUMIFS('Daily NSE Equity Options'!$M:$M,'Daily NSE Equity Options'!$A:$A,$A722)=0,"",SUMIFS('Daily NSE Equity Options'!$M:$M,'Daily NSE Equity Options'!$A:$A,$A722))</f>
        <v/>
      </c>
      <c r="V722" s="9">
        <f>IF(SUMIFS('Daily BSE Equity Options'!$M:$M,'Daily BSE Equity Options'!$A:$A,$A722)=0,"",SUMIFS('Daily BSE Equity Options'!$M:$M,'Daily BSE Equity Options'!$A:$A,$A722))</f>
        <v/>
      </c>
      <c r="W722" s="9">
        <f>IF(OR(U722="",V722=""),"",U722+V722)</f>
        <v/>
      </c>
      <c r="X722" s="25">
        <f>IF(W722="","",U722/W722)</f>
        <v/>
      </c>
      <c r="Y722" s="25">
        <f>IF(W722="","",V722/W722)</f>
        <v/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19">
        <f>IF(G723="","",E723/G723)</f>
        <v/>
      </c>
      <c r="I723" s="19">
        <f>IF(G723="","",F723/G723)</f>
        <v/>
      </c>
      <c r="J723" s="26">
        <f>IFERROR(IF(OR(E723="",INDEX(E:E,MATCH(DATE(YEAR($A723)-1,MONTH($A723),DAY($A723)),$A:$A,0))=""),"",E723/INDEX(E:E,MATCH(DATE(YEAR($A723)-1,MONTH($A723),DAY($A723)),$A:$A,0))-1),"")</f>
        <v/>
      </c>
      <c r="K723" s="19">
        <f>IFERROR(IF(OR(F723="",INDEX(F:F,MATCH(DATE(YEAR($A723)-1,MONTH($A723),DAY($A723)),$A:$A,0))=""),"",F723/INDEX(F:F,MATCH(DATE(YEAR($A723)-1,MONTH($A723),DAY($A723)),$A:$A,0))-1),"")</f>
        <v/>
      </c>
      <c r="L723" s="19">
        <f>IFERROR(IF(OR(G723="",INDEX(G:G,MATCH(DATE(YEAR($A723)-1,MONTH($A723),DAY($A723)),$A:$A,0))=""),"",G723/INDEX(G:G,MATCH(DATE(YEAR($A723)-1,MONTH($A723),DAY($A723)),$A:$A,0))-1),"")</f>
        <v/>
      </c>
      <c r="M723" s="19">
        <f>IF(OR(E723="",E722=""),"",E723/E722-1)</f>
        <v/>
      </c>
      <c r="N723" s="19">
        <f>IF(OR(F723="",F722=""),"",F723/F722-1)</f>
        <v/>
      </c>
      <c r="O723" s="19">
        <f>IF(OR(G723="",G722=""),"",G723/G722-1)</f>
        <v/>
      </c>
      <c r="P723" s="22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IF(R723="","",P723/R723)</f>
        <v/>
      </c>
      <c r="T723" s="23">
        <f>IF(R723="","",Q723/R723)</f>
        <v/>
      </c>
      <c r="U723" s="24">
        <f>IF(SUMIFS('Daily NSE Equity Options'!$M:$M,'Daily NSE Equity Options'!$A:$A,$A723)=0,"",SUMIFS('Daily NSE Equity Options'!$M:$M,'Daily NSE Equity Options'!$A:$A,$A723))</f>
        <v/>
      </c>
      <c r="V723" s="9">
        <f>IF(SUMIFS('Daily BSE Equity Options'!$M:$M,'Daily BSE Equity Options'!$A:$A,$A723)=0,"",SUMIFS('Daily BSE Equity Options'!$M:$M,'Daily BSE Equity Options'!$A:$A,$A723))</f>
        <v/>
      </c>
      <c r="W723" s="9">
        <f>IF(OR(U723="",V723=""),"",U723+V723)</f>
        <v/>
      </c>
      <c r="X723" s="25">
        <f>IF(W723="","",U723/W723)</f>
        <v/>
      </c>
      <c r="Y723" s="25">
        <f>IF(W723="","",V723/W723)</f>
        <v/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19">
        <f>IF(G724="","",E724/G724)</f>
        <v/>
      </c>
      <c r="I724" s="19">
        <f>IF(G724="","",F724/G724)</f>
        <v/>
      </c>
      <c r="J724" s="26">
        <f>IFERROR(IF(OR(E724="",INDEX(E:E,MATCH(DATE(YEAR($A724)-1,MONTH($A724),DAY($A724)),$A:$A,0))=""),"",E724/INDEX(E:E,MATCH(DATE(YEAR($A724)-1,MONTH($A724),DAY($A724)),$A:$A,0))-1),"")</f>
        <v/>
      </c>
      <c r="K724" s="19">
        <f>IFERROR(IF(OR(F724="",INDEX(F:F,MATCH(DATE(YEAR($A724)-1,MONTH($A724),DAY($A724)),$A:$A,0))=""),"",F724/INDEX(F:F,MATCH(DATE(YEAR($A724)-1,MONTH($A724),DAY($A724)),$A:$A,0))-1),"")</f>
        <v/>
      </c>
      <c r="L724" s="19">
        <f>IFERROR(IF(OR(G724="",INDEX(G:G,MATCH(DATE(YEAR($A724)-1,MONTH($A724),DAY($A724)),$A:$A,0))=""),"",G724/INDEX(G:G,MATCH(DATE(YEAR($A724)-1,MONTH($A724),DAY($A724)),$A:$A,0))-1),"")</f>
        <v/>
      </c>
      <c r="M724" s="19">
        <f>IF(OR(E724="",E723=""),"",E724/E723-1)</f>
        <v/>
      </c>
      <c r="N724" s="19">
        <f>IF(OR(F724="",F723=""),"",F724/F723-1)</f>
        <v/>
      </c>
      <c r="O724" s="19">
        <f>IF(OR(G724="",G723=""),"",G724/G723-1)</f>
        <v/>
      </c>
      <c r="P724" s="22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IF(R724="","",P724/R724)</f>
        <v/>
      </c>
      <c r="T724" s="23">
        <f>IF(R724="","",Q724/R724)</f>
        <v/>
      </c>
      <c r="U724" s="24">
        <f>IF(SUMIFS('Daily NSE Equity Options'!$M:$M,'Daily NSE Equity Options'!$A:$A,$A724)=0,"",SUMIFS('Daily NSE Equity Options'!$M:$M,'Daily NSE Equity Options'!$A:$A,$A724))</f>
        <v/>
      </c>
      <c r="V724" s="9">
        <f>IF(SUMIFS('Daily BSE Equity Options'!$M:$M,'Daily BSE Equity Options'!$A:$A,$A724)=0,"",SUMIFS('Daily BSE Equity Options'!$M:$M,'Daily BSE Equity Options'!$A:$A,$A724))</f>
        <v/>
      </c>
      <c r="W724" s="9">
        <f>IF(OR(U724="",V724=""),"",U724+V724)</f>
        <v/>
      </c>
      <c r="X724" s="25">
        <f>IF(W724="","",U724/W724)</f>
        <v/>
      </c>
      <c r="Y724" s="25">
        <f>IF(W724="","",V724/W724)</f>
        <v/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19">
        <f>IF(G725="","",E725/G725)</f>
        <v/>
      </c>
      <c r="I725" s="19">
        <f>IF(G725="","",F725/G725)</f>
        <v/>
      </c>
      <c r="J725" s="26">
        <f>IFERROR(IF(OR(E725="",INDEX(E:E,MATCH(DATE(YEAR($A725)-1,MONTH($A725),DAY($A725)),$A:$A,0))=""),"",E725/INDEX(E:E,MATCH(DATE(YEAR($A725)-1,MONTH($A725),DAY($A725)),$A:$A,0))-1),"")</f>
        <v/>
      </c>
      <c r="K725" s="19">
        <f>IFERROR(IF(OR(F725="",INDEX(F:F,MATCH(DATE(YEAR($A725)-1,MONTH($A725),DAY($A725)),$A:$A,0))=""),"",F725/INDEX(F:F,MATCH(DATE(YEAR($A725)-1,MONTH($A725),DAY($A725)),$A:$A,0))-1),"")</f>
        <v/>
      </c>
      <c r="L725" s="19">
        <f>IFERROR(IF(OR(G725="",INDEX(G:G,MATCH(DATE(YEAR($A725)-1,MONTH($A725),DAY($A725)),$A:$A,0))=""),"",G725/INDEX(G:G,MATCH(DATE(YEAR($A725)-1,MONTH($A725),DAY($A725)),$A:$A,0))-1),"")</f>
        <v/>
      </c>
      <c r="M725" s="19">
        <f>IF(OR(E725="",E724=""),"",E725/E724-1)</f>
        <v/>
      </c>
      <c r="N725" s="19">
        <f>IF(OR(F725="",F724=""),"",F725/F724-1)</f>
        <v/>
      </c>
      <c r="O725" s="19">
        <f>IF(OR(G725="",G724=""),"",G725/G724-1)</f>
        <v/>
      </c>
      <c r="P725" s="22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IF(R725="","",P725/R725)</f>
        <v/>
      </c>
      <c r="T725" s="23">
        <f>IF(R725="","",Q725/R725)</f>
        <v/>
      </c>
      <c r="U725" s="24">
        <f>IF(SUMIFS('Daily NSE Equity Options'!$M:$M,'Daily NSE Equity Options'!$A:$A,$A725)=0,"",SUMIFS('Daily NSE Equity Options'!$M:$M,'Daily NSE Equity Options'!$A:$A,$A725))</f>
        <v/>
      </c>
      <c r="V725" s="9">
        <f>IF(SUMIFS('Daily BSE Equity Options'!$M:$M,'Daily BSE Equity Options'!$A:$A,$A725)=0,"",SUMIFS('Daily BSE Equity Options'!$M:$M,'Daily BSE Equity Options'!$A:$A,$A725))</f>
        <v/>
      </c>
      <c r="W725" s="9">
        <f>IF(OR(U725="",V725=""),"",U725+V725)</f>
        <v/>
      </c>
      <c r="X725" s="25">
        <f>IF(W725="","",U725/W725)</f>
        <v/>
      </c>
      <c r="Y725" s="25">
        <f>IF(W725="","",V725/W725)</f>
        <v/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19">
        <f>IF(G726="","",E726/G726)</f>
        <v/>
      </c>
      <c r="I726" s="19">
        <f>IF(G726="","",F726/G726)</f>
        <v/>
      </c>
      <c r="J726" s="26">
        <f>IFERROR(IF(OR(E726="",INDEX(E:E,MATCH(DATE(YEAR($A726)-1,MONTH($A726),DAY($A726)),$A:$A,0))=""),"",E726/INDEX(E:E,MATCH(DATE(YEAR($A726)-1,MONTH($A726),DAY($A726)),$A:$A,0))-1),"")</f>
        <v/>
      </c>
      <c r="K726" s="19">
        <f>IFERROR(IF(OR(F726="",INDEX(F:F,MATCH(DATE(YEAR($A726)-1,MONTH($A726),DAY($A726)),$A:$A,0))=""),"",F726/INDEX(F:F,MATCH(DATE(YEAR($A726)-1,MONTH($A726),DAY($A726)),$A:$A,0))-1),"")</f>
        <v/>
      </c>
      <c r="L726" s="19">
        <f>IFERROR(IF(OR(G726="",INDEX(G:G,MATCH(DATE(YEAR($A726)-1,MONTH($A726),DAY($A726)),$A:$A,0))=""),"",G726/INDEX(G:G,MATCH(DATE(YEAR($A726)-1,MONTH($A726),DAY($A726)),$A:$A,0))-1),"")</f>
        <v/>
      </c>
      <c r="M726" s="19">
        <f>IF(OR(E726="",E725=""),"",E726/E725-1)</f>
        <v/>
      </c>
      <c r="N726" s="19">
        <f>IF(OR(F726="",F725=""),"",F726/F725-1)</f>
        <v/>
      </c>
      <c r="O726" s="19">
        <f>IF(OR(G726="",G725=""),"",G726/G725-1)</f>
        <v/>
      </c>
      <c r="P726" s="22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IF(R726="","",P726/R726)</f>
        <v/>
      </c>
      <c r="T726" s="23">
        <f>IF(R726="","",Q726/R726)</f>
        <v/>
      </c>
      <c r="U726" s="24">
        <f>IF(SUMIFS('Daily NSE Equity Options'!$M:$M,'Daily NSE Equity Options'!$A:$A,$A726)=0,"",SUMIFS('Daily NSE Equity Options'!$M:$M,'Daily NSE Equity Options'!$A:$A,$A726))</f>
        <v/>
      </c>
      <c r="V726" s="9">
        <f>IF(SUMIFS('Daily BSE Equity Options'!$M:$M,'Daily BSE Equity Options'!$A:$A,$A726)=0,"",SUMIFS('Daily BSE Equity Options'!$M:$M,'Daily BSE Equity Options'!$A:$A,$A726))</f>
        <v/>
      </c>
      <c r="W726" s="9">
        <f>IF(OR(U726="",V726=""),"",U726+V726)</f>
        <v/>
      </c>
      <c r="X726" s="25">
        <f>IF(W726="","",U726/W726)</f>
        <v/>
      </c>
      <c r="Y726" s="25">
        <f>IF(W726="","",V726/W726)</f>
        <v/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19">
        <f>IF(G727="","",E727/G727)</f>
        <v/>
      </c>
      <c r="I727" s="19">
        <f>IF(G727="","",F727/G727)</f>
        <v/>
      </c>
      <c r="J727" s="26">
        <f>IFERROR(IF(OR(E727="",INDEX(E:E,MATCH(DATE(YEAR($A727)-1,MONTH($A727),DAY($A727)),$A:$A,0))=""),"",E727/INDEX(E:E,MATCH(DATE(YEAR($A727)-1,MONTH($A727),DAY($A727)),$A:$A,0))-1),"")</f>
        <v/>
      </c>
      <c r="K727" s="19">
        <f>IFERROR(IF(OR(F727="",INDEX(F:F,MATCH(DATE(YEAR($A727)-1,MONTH($A727),DAY($A727)),$A:$A,0))=""),"",F727/INDEX(F:F,MATCH(DATE(YEAR($A727)-1,MONTH($A727),DAY($A727)),$A:$A,0))-1),"")</f>
        <v/>
      </c>
      <c r="L727" s="19">
        <f>IFERROR(IF(OR(G727="",INDEX(G:G,MATCH(DATE(YEAR($A727)-1,MONTH($A727),DAY($A727)),$A:$A,0))=""),"",G727/INDEX(G:G,MATCH(DATE(YEAR($A727)-1,MONTH($A727),DAY($A727)),$A:$A,0))-1),"")</f>
        <v/>
      </c>
      <c r="M727" s="19">
        <f>IF(OR(E727="",E726=""),"",E727/E726-1)</f>
        <v/>
      </c>
      <c r="N727" s="19">
        <f>IF(OR(F727="",F726=""),"",F727/F726-1)</f>
        <v/>
      </c>
      <c r="O727" s="19">
        <f>IF(OR(G727="",G726=""),"",G727/G726-1)</f>
        <v/>
      </c>
      <c r="P727" s="22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IF(R727="","",P727/R727)</f>
        <v/>
      </c>
      <c r="T727" s="23">
        <f>IF(R727="","",Q727/R727)</f>
        <v/>
      </c>
      <c r="U727" s="24">
        <f>IF(SUMIFS('Daily NSE Equity Options'!$M:$M,'Daily NSE Equity Options'!$A:$A,$A727)=0,"",SUMIFS('Daily NSE Equity Options'!$M:$M,'Daily NSE Equity Options'!$A:$A,$A727))</f>
        <v/>
      </c>
      <c r="V727" s="9">
        <f>IF(SUMIFS('Daily BSE Equity Options'!$M:$M,'Daily BSE Equity Options'!$A:$A,$A727)=0,"",SUMIFS('Daily BSE Equity Options'!$M:$M,'Daily BSE Equity Options'!$A:$A,$A727))</f>
        <v/>
      </c>
      <c r="W727" s="9">
        <f>IF(OR(U727="",V727=""),"",U727+V727)</f>
        <v/>
      </c>
      <c r="X727" s="25">
        <f>IF(W727="","",U727/W727)</f>
        <v/>
      </c>
      <c r="Y727" s="25">
        <f>IF(W727="","",V727/W727)</f>
        <v/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19">
        <f>IF(G728="","",E728/G728)</f>
        <v/>
      </c>
      <c r="I728" s="19">
        <f>IF(G728="","",F728/G728)</f>
        <v/>
      </c>
      <c r="J728" s="26">
        <f>IFERROR(IF(OR(E728="",INDEX(E:E,MATCH(DATE(YEAR($A728)-1,MONTH($A728),DAY($A728)),$A:$A,0))=""),"",E728/INDEX(E:E,MATCH(DATE(YEAR($A728)-1,MONTH($A728),DAY($A728)),$A:$A,0))-1),"")</f>
        <v/>
      </c>
      <c r="K728" s="19">
        <f>IFERROR(IF(OR(F728="",INDEX(F:F,MATCH(DATE(YEAR($A728)-1,MONTH($A728),DAY($A728)),$A:$A,0))=""),"",F728/INDEX(F:F,MATCH(DATE(YEAR($A728)-1,MONTH($A728),DAY($A728)),$A:$A,0))-1),"")</f>
        <v/>
      </c>
      <c r="L728" s="19">
        <f>IFERROR(IF(OR(G728="",INDEX(G:G,MATCH(DATE(YEAR($A728)-1,MONTH($A728),DAY($A728)),$A:$A,0))=""),"",G728/INDEX(G:G,MATCH(DATE(YEAR($A728)-1,MONTH($A728),DAY($A728)),$A:$A,0))-1),"")</f>
        <v/>
      </c>
      <c r="M728" s="19">
        <f>IF(OR(E728="",E727=""),"",E728/E727-1)</f>
        <v/>
      </c>
      <c r="N728" s="19">
        <f>IF(OR(F728="",F727=""),"",F728/F727-1)</f>
        <v/>
      </c>
      <c r="O728" s="19">
        <f>IF(OR(G728="",G727=""),"",G728/G727-1)</f>
        <v/>
      </c>
      <c r="P728" s="22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IF(R728="","",P728/R728)</f>
        <v/>
      </c>
      <c r="T728" s="23">
        <f>IF(R728="","",Q728/R728)</f>
        <v/>
      </c>
      <c r="U728" s="24">
        <f>IF(SUMIFS('Daily NSE Equity Options'!$M:$M,'Daily NSE Equity Options'!$A:$A,$A728)=0,"",SUMIFS('Daily NSE Equity Options'!$M:$M,'Daily NSE Equity Options'!$A:$A,$A728))</f>
        <v/>
      </c>
      <c r="V728" s="9">
        <f>IF(SUMIFS('Daily BSE Equity Options'!$M:$M,'Daily BSE Equity Options'!$A:$A,$A728)=0,"",SUMIFS('Daily BSE Equity Options'!$M:$M,'Daily BSE Equity Options'!$A:$A,$A728))</f>
        <v/>
      </c>
      <c r="W728" s="9">
        <f>IF(OR(U728="",V728=""),"",U728+V728)</f>
        <v/>
      </c>
      <c r="X728" s="25">
        <f>IF(W728="","",U728/W728)</f>
        <v/>
      </c>
      <c r="Y728" s="25">
        <f>IF(W728="","",V728/W728)</f>
        <v/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19">
        <f>IF(G729="","",E729/G729)</f>
        <v/>
      </c>
      <c r="I729" s="19">
        <f>IF(G729="","",F729/G729)</f>
        <v/>
      </c>
      <c r="J729" s="26">
        <f>IFERROR(IF(OR(E729="",INDEX(E:E,MATCH(DATE(YEAR($A729)-1,MONTH($A729),DAY($A729)),$A:$A,0))=""),"",E729/INDEX(E:E,MATCH(DATE(YEAR($A729)-1,MONTH($A729),DAY($A729)),$A:$A,0))-1),"")</f>
        <v/>
      </c>
      <c r="K729" s="19">
        <f>IFERROR(IF(OR(F729="",INDEX(F:F,MATCH(DATE(YEAR($A729)-1,MONTH($A729),DAY($A729)),$A:$A,0))=""),"",F729/INDEX(F:F,MATCH(DATE(YEAR($A729)-1,MONTH($A729),DAY($A729)),$A:$A,0))-1),"")</f>
        <v/>
      </c>
      <c r="L729" s="19">
        <f>IFERROR(IF(OR(G729="",INDEX(G:G,MATCH(DATE(YEAR($A729)-1,MONTH($A729),DAY($A729)),$A:$A,0))=""),"",G729/INDEX(G:G,MATCH(DATE(YEAR($A729)-1,MONTH($A729),DAY($A729)),$A:$A,0))-1),"")</f>
        <v/>
      </c>
      <c r="M729" s="19">
        <f>IF(OR(E729="",E728=""),"",E729/E728-1)</f>
        <v/>
      </c>
      <c r="N729" s="19">
        <f>IF(OR(F729="",F728=""),"",F729/F728-1)</f>
        <v/>
      </c>
      <c r="O729" s="19">
        <f>IF(OR(G729="",G728=""),"",G729/G728-1)</f>
        <v/>
      </c>
      <c r="P729" s="22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IF(R729="","",P729/R729)</f>
        <v/>
      </c>
      <c r="T729" s="23">
        <f>IF(R729="","",Q729/R729)</f>
        <v/>
      </c>
      <c r="U729" s="24">
        <f>IF(SUMIFS('Daily NSE Equity Options'!$M:$M,'Daily NSE Equity Options'!$A:$A,$A729)=0,"",SUMIFS('Daily NSE Equity Options'!$M:$M,'Daily NSE Equity Options'!$A:$A,$A729))</f>
        <v/>
      </c>
      <c r="V729" s="9">
        <f>IF(SUMIFS('Daily BSE Equity Options'!$M:$M,'Daily BSE Equity Options'!$A:$A,$A729)=0,"",SUMIFS('Daily BSE Equity Options'!$M:$M,'Daily BSE Equity Options'!$A:$A,$A729))</f>
        <v/>
      </c>
      <c r="W729" s="9">
        <f>IF(OR(U729="",V729=""),"",U729+V729)</f>
        <v/>
      </c>
      <c r="X729" s="25">
        <f>IF(W729="","",U729/W729)</f>
        <v/>
      </c>
      <c r="Y729" s="25">
        <f>IF(W729="","",V729/W729)</f>
        <v/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19">
        <f>IF(G730="","",E730/G730)</f>
        <v/>
      </c>
      <c r="I730" s="19">
        <f>IF(G730="","",F730/G730)</f>
        <v/>
      </c>
      <c r="J730" s="26">
        <f>IFERROR(IF(OR(E730="",INDEX(E:E,MATCH(DATE(YEAR($A730)-1,MONTH($A730),DAY($A730)),$A:$A,0))=""),"",E730/INDEX(E:E,MATCH(DATE(YEAR($A730)-1,MONTH($A730),DAY($A730)),$A:$A,0))-1),"")</f>
        <v/>
      </c>
      <c r="K730" s="19">
        <f>IFERROR(IF(OR(F730="",INDEX(F:F,MATCH(DATE(YEAR($A730)-1,MONTH($A730),DAY($A730)),$A:$A,0))=""),"",F730/INDEX(F:F,MATCH(DATE(YEAR($A730)-1,MONTH($A730),DAY($A730)),$A:$A,0))-1),"")</f>
        <v/>
      </c>
      <c r="L730" s="19">
        <f>IFERROR(IF(OR(G730="",INDEX(G:G,MATCH(DATE(YEAR($A730)-1,MONTH($A730),DAY($A730)),$A:$A,0))=""),"",G730/INDEX(G:G,MATCH(DATE(YEAR($A730)-1,MONTH($A730),DAY($A730)),$A:$A,0))-1),"")</f>
        <v/>
      </c>
      <c r="M730" s="19">
        <f>IF(OR(E730="",E729=""),"",E730/E729-1)</f>
        <v/>
      </c>
      <c r="N730" s="19">
        <f>IF(OR(F730="",F729=""),"",F730/F729-1)</f>
        <v/>
      </c>
      <c r="O730" s="19">
        <f>IF(OR(G730="",G729=""),"",G730/G729-1)</f>
        <v/>
      </c>
      <c r="P730" s="22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IF(R730="","",P730/R730)</f>
        <v/>
      </c>
      <c r="T730" s="23">
        <f>IF(R730="","",Q730/R730)</f>
        <v/>
      </c>
      <c r="U730" s="24">
        <f>IF(SUMIFS('Daily NSE Equity Options'!$M:$M,'Daily NSE Equity Options'!$A:$A,$A730)=0,"",SUMIFS('Daily NSE Equity Options'!$M:$M,'Daily NSE Equity Options'!$A:$A,$A730))</f>
        <v/>
      </c>
      <c r="V730" s="9">
        <f>IF(SUMIFS('Daily BSE Equity Options'!$M:$M,'Daily BSE Equity Options'!$A:$A,$A730)=0,"",SUMIFS('Daily BSE Equity Options'!$M:$M,'Daily BSE Equity Options'!$A:$A,$A730))</f>
        <v/>
      </c>
      <c r="W730" s="9">
        <f>IF(OR(U730="",V730=""),"",U730+V730)</f>
        <v/>
      </c>
      <c r="X730" s="25">
        <f>IF(W730="","",U730/W730)</f>
        <v/>
      </c>
      <c r="Y730" s="25">
        <f>IF(W730="","",V730/W730)</f>
        <v/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19">
        <f>IF(G731="","",E731/G731)</f>
        <v/>
      </c>
      <c r="I731" s="19">
        <f>IF(G731="","",F731/G731)</f>
        <v/>
      </c>
      <c r="J731" s="26">
        <f>IFERROR(IF(OR(E731="",INDEX(E:E,MATCH(DATE(YEAR($A731)-1,MONTH($A731),DAY($A731)),$A:$A,0))=""),"",E731/INDEX(E:E,MATCH(DATE(YEAR($A731)-1,MONTH($A731),DAY($A731)),$A:$A,0))-1),"")</f>
        <v/>
      </c>
      <c r="K731" s="19">
        <f>IFERROR(IF(OR(F731="",INDEX(F:F,MATCH(DATE(YEAR($A731)-1,MONTH($A731),DAY($A731)),$A:$A,0))=""),"",F731/INDEX(F:F,MATCH(DATE(YEAR($A731)-1,MONTH($A731),DAY($A731)),$A:$A,0))-1),"")</f>
        <v/>
      </c>
      <c r="L731" s="19">
        <f>IFERROR(IF(OR(G731="",INDEX(G:G,MATCH(DATE(YEAR($A731)-1,MONTH($A731),DAY($A731)),$A:$A,0))=""),"",G731/INDEX(G:G,MATCH(DATE(YEAR($A731)-1,MONTH($A731),DAY($A731)),$A:$A,0))-1),"")</f>
        <v/>
      </c>
      <c r="M731" s="19">
        <f>IF(OR(E731="",E730=""),"",E731/E730-1)</f>
        <v/>
      </c>
      <c r="N731" s="19">
        <f>IF(OR(F731="",F730=""),"",F731/F730-1)</f>
        <v/>
      </c>
      <c r="O731" s="19">
        <f>IF(OR(G731="",G730=""),"",G731/G730-1)</f>
        <v/>
      </c>
      <c r="P731" s="22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IF(R731="","",P731/R731)</f>
        <v/>
      </c>
      <c r="T731" s="23">
        <f>IF(R731="","",Q731/R731)</f>
        <v/>
      </c>
      <c r="U731" s="24">
        <f>IF(SUMIFS('Daily NSE Equity Options'!$M:$M,'Daily NSE Equity Options'!$A:$A,$A731)=0,"",SUMIFS('Daily NSE Equity Options'!$M:$M,'Daily NSE Equity Options'!$A:$A,$A731))</f>
        <v/>
      </c>
      <c r="V731" s="9">
        <f>IF(SUMIFS('Daily BSE Equity Options'!$M:$M,'Daily BSE Equity Options'!$A:$A,$A731)=0,"",SUMIFS('Daily BSE Equity Options'!$M:$M,'Daily BSE Equity Options'!$A:$A,$A731))</f>
        <v/>
      </c>
      <c r="W731" s="9">
        <f>IF(OR(U731="",V731=""),"",U731+V731)</f>
        <v/>
      </c>
      <c r="X731" s="25">
        <f>IF(W731="","",U731/W731)</f>
        <v/>
      </c>
      <c r="Y731" s="25">
        <f>IF(W731="","",V731/W731)</f>
        <v/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19">
        <f>IF(G732="","",E732/G732)</f>
        <v/>
      </c>
      <c r="I732" s="19">
        <f>IF(G732="","",F732/G732)</f>
        <v/>
      </c>
      <c r="J732" s="26">
        <f>IFERROR(IF(OR(E732="",INDEX(E:E,MATCH(DATE(YEAR($A732)-1,MONTH($A732),DAY($A732)),$A:$A,0))=""),"",E732/INDEX(E:E,MATCH(DATE(YEAR($A732)-1,MONTH($A732),DAY($A732)),$A:$A,0))-1),"")</f>
        <v/>
      </c>
      <c r="K732" s="19">
        <f>IFERROR(IF(OR(F732="",INDEX(F:F,MATCH(DATE(YEAR($A732)-1,MONTH($A732),DAY($A732)),$A:$A,0))=""),"",F732/INDEX(F:F,MATCH(DATE(YEAR($A732)-1,MONTH($A732),DAY($A732)),$A:$A,0))-1),"")</f>
        <v/>
      </c>
      <c r="L732" s="19">
        <f>IFERROR(IF(OR(G732="",INDEX(G:G,MATCH(DATE(YEAR($A732)-1,MONTH($A732),DAY($A732)),$A:$A,0))=""),"",G732/INDEX(G:G,MATCH(DATE(YEAR($A732)-1,MONTH($A732),DAY($A732)),$A:$A,0))-1),"")</f>
        <v/>
      </c>
      <c r="M732" s="19">
        <f>IF(OR(E732="",E731=""),"",E732/E731-1)</f>
        <v/>
      </c>
      <c r="N732" s="19">
        <f>IF(OR(F732="",F731=""),"",F732/F731-1)</f>
        <v/>
      </c>
      <c r="O732" s="19">
        <f>IF(OR(G732="",G731=""),"",G732/G731-1)</f>
        <v/>
      </c>
      <c r="P732" s="22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IF(R732="","",P732/R732)</f>
        <v/>
      </c>
      <c r="T732" s="23">
        <f>IF(R732="","",Q732/R732)</f>
        <v/>
      </c>
      <c r="U732" s="24">
        <f>IF(SUMIFS('Daily NSE Equity Options'!$M:$M,'Daily NSE Equity Options'!$A:$A,$A732)=0,"",SUMIFS('Daily NSE Equity Options'!$M:$M,'Daily NSE Equity Options'!$A:$A,$A732))</f>
        <v/>
      </c>
      <c r="V732" s="9">
        <f>IF(SUMIFS('Daily BSE Equity Options'!$M:$M,'Daily BSE Equity Options'!$A:$A,$A732)=0,"",SUMIFS('Daily BSE Equity Options'!$M:$M,'Daily BSE Equity Options'!$A:$A,$A732))</f>
        <v/>
      </c>
      <c r="W732" s="9">
        <f>IF(OR(U732="",V732=""),"",U732+V732)</f>
        <v/>
      </c>
      <c r="X732" s="25">
        <f>IF(W732="","",U732/W732)</f>
        <v/>
      </c>
      <c r="Y732" s="25">
        <f>IF(W732="","",V732/W732)</f>
        <v/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19">
        <f>IF(G733="","",E733/G733)</f>
        <v/>
      </c>
      <c r="I733" s="19">
        <f>IF(G733="","",F733/G733)</f>
        <v/>
      </c>
      <c r="J733" s="26">
        <f>IFERROR(IF(OR(E733="",INDEX(E:E,MATCH(DATE(YEAR($A733)-1,MONTH($A733),DAY($A733)),$A:$A,0))=""),"",E733/INDEX(E:E,MATCH(DATE(YEAR($A733)-1,MONTH($A733),DAY($A733)),$A:$A,0))-1),"")</f>
        <v/>
      </c>
      <c r="K733" s="19">
        <f>IFERROR(IF(OR(F733="",INDEX(F:F,MATCH(DATE(YEAR($A733)-1,MONTH($A733),DAY($A733)),$A:$A,0))=""),"",F733/INDEX(F:F,MATCH(DATE(YEAR($A733)-1,MONTH($A733),DAY($A733)),$A:$A,0))-1),"")</f>
        <v/>
      </c>
      <c r="L733" s="19">
        <f>IFERROR(IF(OR(G733="",INDEX(G:G,MATCH(DATE(YEAR($A733)-1,MONTH($A733),DAY($A733)),$A:$A,0))=""),"",G733/INDEX(G:G,MATCH(DATE(YEAR($A733)-1,MONTH($A733),DAY($A733)),$A:$A,0))-1),"")</f>
        <v/>
      </c>
      <c r="M733" s="19">
        <f>IF(OR(E733="",E732=""),"",E733/E732-1)</f>
        <v/>
      </c>
      <c r="N733" s="19">
        <f>IF(OR(F733="",F732=""),"",F733/F732-1)</f>
        <v/>
      </c>
      <c r="O733" s="19">
        <f>IF(OR(G733="",G732=""),"",G733/G732-1)</f>
        <v/>
      </c>
      <c r="P733" s="22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IF(R733="","",P733/R733)</f>
        <v/>
      </c>
      <c r="T733" s="23">
        <f>IF(R733="","",Q733/R733)</f>
        <v/>
      </c>
      <c r="U733" s="24">
        <f>IF(SUMIFS('Daily NSE Equity Options'!$M:$M,'Daily NSE Equity Options'!$A:$A,$A733)=0,"",SUMIFS('Daily NSE Equity Options'!$M:$M,'Daily NSE Equity Options'!$A:$A,$A733))</f>
        <v/>
      </c>
      <c r="V733" s="9">
        <f>IF(SUMIFS('Daily BSE Equity Options'!$M:$M,'Daily BSE Equity Options'!$A:$A,$A733)=0,"",SUMIFS('Daily BSE Equity Options'!$M:$M,'Daily BSE Equity Options'!$A:$A,$A733))</f>
        <v/>
      </c>
      <c r="W733" s="9">
        <f>IF(OR(U733="",V733=""),"",U733+V733)</f>
        <v/>
      </c>
      <c r="X733" s="25">
        <f>IF(W733="","",U733/W733)</f>
        <v/>
      </c>
      <c r="Y733" s="25">
        <f>IF(W733="","",V733/W733)</f>
        <v/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19">
        <f>IF(G734="","",E734/G734)</f>
        <v/>
      </c>
      <c r="I734" s="19">
        <f>IF(G734="","",F734/G734)</f>
        <v/>
      </c>
      <c r="J734" s="26">
        <f>IFERROR(IF(OR(E734="",INDEX(E:E,MATCH(DATE(YEAR($A734)-1,MONTH($A734),DAY($A734)),$A:$A,0))=""),"",E734/INDEX(E:E,MATCH(DATE(YEAR($A734)-1,MONTH($A734),DAY($A734)),$A:$A,0))-1),"")</f>
        <v/>
      </c>
      <c r="K734" s="19">
        <f>IFERROR(IF(OR(F734="",INDEX(F:F,MATCH(DATE(YEAR($A734)-1,MONTH($A734),DAY($A734)),$A:$A,0))=""),"",F734/INDEX(F:F,MATCH(DATE(YEAR($A734)-1,MONTH($A734),DAY($A734)),$A:$A,0))-1),"")</f>
        <v/>
      </c>
      <c r="L734" s="19">
        <f>IFERROR(IF(OR(G734="",INDEX(G:G,MATCH(DATE(YEAR($A734)-1,MONTH($A734),DAY($A734)),$A:$A,0))=""),"",G734/INDEX(G:G,MATCH(DATE(YEAR($A734)-1,MONTH($A734),DAY($A734)),$A:$A,0))-1),"")</f>
        <v/>
      </c>
      <c r="M734" s="19">
        <f>IF(OR(E734="",E733=""),"",E734/E733-1)</f>
        <v/>
      </c>
      <c r="N734" s="19">
        <f>IF(OR(F734="",F733=""),"",F734/F733-1)</f>
        <v/>
      </c>
      <c r="O734" s="19">
        <f>IF(OR(G734="",G733=""),"",G734/G733-1)</f>
        <v/>
      </c>
      <c r="P734" s="22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IF(R734="","",P734/R734)</f>
        <v/>
      </c>
      <c r="T734" s="23">
        <f>IF(R734="","",Q734/R734)</f>
        <v/>
      </c>
      <c r="U734" s="24">
        <f>IF(SUMIFS('Daily NSE Equity Options'!$M:$M,'Daily NSE Equity Options'!$A:$A,$A734)=0,"",SUMIFS('Daily NSE Equity Options'!$M:$M,'Daily NSE Equity Options'!$A:$A,$A734))</f>
        <v/>
      </c>
      <c r="V734" s="9">
        <f>IF(SUMIFS('Daily BSE Equity Options'!$M:$M,'Daily BSE Equity Options'!$A:$A,$A734)=0,"",SUMIFS('Daily BSE Equity Options'!$M:$M,'Daily BSE Equity Options'!$A:$A,$A734))</f>
        <v/>
      </c>
      <c r="W734" s="9">
        <f>IF(OR(U734="",V734=""),"",U734+V734)</f>
        <v/>
      </c>
      <c r="X734" s="25">
        <f>IF(W734="","",U734/W734)</f>
        <v/>
      </c>
      <c r="Y734" s="25">
        <f>IF(W734="","",V734/W734)</f>
        <v/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19">
        <f>IF(G735="","",E735/G735)</f>
        <v/>
      </c>
      <c r="I735" s="19">
        <f>IF(G735="","",F735/G735)</f>
        <v/>
      </c>
      <c r="J735" s="26">
        <f>IFERROR(IF(OR(E735="",INDEX(E:E,MATCH(DATE(YEAR($A735)-1,MONTH($A735),DAY($A735)),$A:$A,0))=""),"",E735/INDEX(E:E,MATCH(DATE(YEAR($A735)-1,MONTH($A735),DAY($A735)),$A:$A,0))-1),"")</f>
        <v/>
      </c>
      <c r="K735" s="19">
        <f>IFERROR(IF(OR(F735="",INDEX(F:F,MATCH(DATE(YEAR($A735)-1,MONTH($A735),DAY($A735)),$A:$A,0))=""),"",F735/INDEX(F:F,MATCH(DATE(YEAR($A735)-1,MONTH($A735),DAY($A735)),$A:$A,0))-1),"")</f>
        <v/>
      </c>
      <c r="L735" s="19">
        <f>IFERROR(IF(OR(G735="",INDEX(G:G,MATCH(DATE(YEAR($A735)-1,MONTH($A735),DAY($A735)),$A:$A,0))=""),"",G735/INDEX(G:G,MATCH(DATE(YEAR($A735)-1,MONTH($A735),DAY($A735)),$A:$A,0))-1),"")</f>
        <v/>
      </c>
      <c r="M735" s="19">
        <f>IF(OR(E735="",E734=""),"",E735/E734-1)</f>
        <v/>
      </c>
      <c r="N735" s="19">
        <f>IF(OR(F735="",F734=""),"",F735/F734-1)</f>
        <v/>
      </c>
      <c r="O735" s="19">
        <f>IF(OR(G735="",G734=""),"",G735/G734-1)</f>
        <v/>
      </c>
      <c r="P735" s="22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IF(R735="","",P735/R735)</f>
        <v/>
      </c>
      <c r="T735" s="23">
        <f>IF(R735="","",Q735/R735)</f>
        <v/>
      </c>
      <c r="U735" s="24">
        <f>IF(SUMIFS('Daily NSE Equity Options'!$M:$M,'Daily NSE Equity Options'!$A:$A,$A735)=0,"",SUMIFS('Daily NSE Equity Options'!$M:$M,'Daily NSE Equity Options'!$A:$A,$A735))</f>
        <v/>
      </c>
      <c r="V735" s="9">
        <f>IF(SUMIFS('Daily BSE Equity Options'!$M:$M,'Daily BSE Equity Options'!$A:$A,$A735)=0,"",SUMIFS('Daily BSE Equity Options'!$M:$M,'Daily BSE Equity Options'!$A:$A,$A735))</f>
        <v/>
      </c>
      <c r="W735" s="9">
        <f>IF(OR(U735="",V735=""),"",U735+V735)</f>
        <v/>
      </c>
      <c r="X735" s="25">
        <f>IF(W735="","",U735/W735)</f>
        <v/>
      </c>
      <c r="Y735" s="25">
        <f>IF(W735="","",V735/W735)</f>
        <v/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19">
        <f>IF(G736="","",E736/G736)</f>
        <v/>
      </c>
      <c r="I736" s="19">
        <f>IF(G736="","",F736/G736)</f>
        <v/>
      </c>
      <c r="J736" s="26">
        <f>IFERROR(IF(OR(E736="",INDEX(E:E,MATCH(DATE(YEAR($A736)-1,MONTH($A736),DAY($A736)),$A:$A,0))=""),"",E736/INDEX(E:E,MATCH(DATE(YEAR($A736)-1,MONTH($A736),DAY($A736)),$A:$A,0))-1),"")</f>
        <v/>
      </c>
      <c r="K736" s="19">
        <f>IFERROR(IF(OR(F736="",INDEX(F:F,MATCH(DATE(YEAR($A736)-1,MONTH($A736),DAY($A736)),$A:$A,0))=""),"",F736/INDEX(F:F,MATCH(DATE(YEAR($A736)-1,MONTH($A736),DAY($A736)),$A:$A,0))-1),"")</f>
        <v/>
      </c>
      <c r="L736" s="19">
        <f>IFERROR(IF(OR(G736="",INDEX(G:G,MATCH(DATE(YEAR($A736)-1,MONTH($A736),DAY($A736)),$A:$A,0))=""),"",G736/INDEX(G:G,MATCH(DATE(YEAR($A736)-1,MONTH($A736),DAY($A736)),$A:$A,0))-1),"")</f>
        <v/>
      </c>
      <c r="M736" s="19">
        <f>IF(OR(E736="",E735=""),"",E736/E735-1)</f>
        <v/>
      </c>
      <c r="N736" s="19">
        <f>IF(OR(F736="",F735=""),"",F736/F735-1)</f>
        <v/>
      </c>
      <c r="O736" s="19">
        <f>IF(OR(G736="",G735=""),"",G736/G735-1)</f>
        <v/>
      </c>
      <c r="P736" s="22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IF(R736="","",P736/R736)</f>
        <v/>
      </c>
      <c r="T736" s="23">
        <f>IF(R736="","",Q736/R736)</f>
        <v/>
      </c>
      <c r="U736" s="24">
        <f>IF(SUMIFS('Daily NSE Equity Options'!$M:$M,'Daily NSE Equity Options'!$A:$A,$A736)=0,"",SUMIFS('Daily NSE Equity Options'!$M:$M,'Daily NSE Equity Options'!$A:$A,$A736))</f>
        <v/>
      </c>
      <c r="V736" s="9">
        <f>IF(SUMIFS('Daily BSE Equity Options'!$M:$M,'Daily BSE Equity Options'!$A:$A,$A736)=0,"",SUMIFS('Daily BSE Equity Options'!$M:$M,'Daily BSE Equity Options'!$A:$A,$A736))</f>
        <v/>
      </c>
      <c r="W736" s="9">
        <f>IF(OR(U736="",V736=""),"",U736+V736)</f>
        <v/>
      </c>
      <c r="X736" s="25">
        <f>IF(W736="","",U736/W736)</f>
        <v/>
      </c>
      <c r="Y736" s="25">
        <f>IF(W736="","",V736/W736)</f>
        <v/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19">
        <f>IF(G737="","",E737/G737)</f>
        <v/>
      </c>
      <c r="I737" s="19">
        <f>IF(G737="","",F737/G737)</f>
        <v/>
      </c>
      <c r="J737" s="26">
        <f>IFERROR(IF(OR(E737="",INDEX(E:E,MATCH(DATE(YEAR($A737)-1,MONTH($A737),DAY($A737)),$A:$A,0))=""),"",E737/INDEX(E:E,MATCH(DATE(YEAR($A737)-1,MONTH($A737),DAY($A737)),$A:$A,0))-1),"")</f>
        <v/>
      </c>
      <c r="K737" s="19">
        <f>IFERROR(IF(OR(F737="",INDEX(F:F,MATCH(DATE(YEAR($A737)-1,MONTH($A737),DAY($A737)),$A:$A,0))=""),"",F737/INDEX(F:F,MATCH(DATE(YEAR($A737)-1,MONTH($A737),DAY($A737)),$A:$A,0))-1),"")</f>
        <v/>
      </c>
      <c r="L737" s="19">
        <f>IFERROR(IF(OR(G737="",INDEX(G:G,MATCH(DATE(YEAR($A737)-1,MONTH($A737),DAY($A737)),$A:$A,0))=""),"",G737/INDEX(G:G,MATCH(DATE(YEAR($A737)-1,MONTH($A737),DAY($A737)),$A:$A,0))-1),"")</f>
        <v/>
      </c>
      <c r="M737" s="19">
        <f>IF(OR(E737="",E736=""),"",E737/E736-1)</f>
        <v/>
      </c>
      <c r="N737" s="19">
        <f>IF(OR(F737="",F736=""),"",F737/F736-1)</f>
        <v/>
      </c>
      <c r="O737" s="19">
        <f>IF(OR(G737="",G736=""),"",G737/G736-1)</f>
        <v/>
      </c>
      <c r="P737" s="22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IF(R737="","",P737/R737)</f>
        <v/>
      </c>
      <c r="T737" s="23">
        <f>IF(R737="","",Q737/R737)</f>
        <v/>
      </c>
      <c r="U737" s="24">
        <f>IF(SUMIFS('Daily NSE Equity Options'!$M:$M,'Daily NSE Equity Options'!$A:$A,$A737)=0,"",SUMIFS('Daily NSE Equity Options'!$M:$M,'Daily NSE Equity Options'!$A:$A,$A737))</f>
        <v/>
      </c>
      <c r="V737" s="9">
        <f>IF(SUMIFS('Daily BSE Equity Options'!$M:$M,'Daily BSE Equity Options'!$A:$A,$A737)=0,"",SUMIFS('Daily BSE Equity Options'!$M:$M,'Daily BSE Equity Options'!$A:$A,$A737))</f>
        <v/>
      </c>
      <c r="W737" s="9">
        <f>IF(OR(U737="",V737=""),"",U737+V737)</f>
        <v/>
      </c>
      <c r="X737" s="25">
        <f>IF(W737="","",U737/W737)</f>
        <v/>
      </c>
      <c r="Y737" s="25">
        <f>IF(W737="","",V737/W737)</f>
        <v/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19">
        <f>IF(G738="","",E738/G738)</f>
        <v/>
      </c>
      <c r="I738" s="19">
        <f>IF(G738="","",F738/G738)</f>
        <v/>
      </c>
      <c r="J738" s="26">
        <f>IFERROR(IF(OR(E738="",INDEX(E:E,MATCH(DATE(YEAR($A738)-1,MONTH($A738),DAY($A738)),$A:$A,0))=""),"",E738/INDEX(E:E,MATCH(DATE(YEAR($A738)-1,MONTH($A738),DAY($A738)),$A:$A,0))-1),"")</f>
        <v/>
      </c>
      <c r="K738" s="19">
        <f>IFERROR(IF(OR(F738="",INDEX(F:F,MATCH(DATE(YEAR($A738)-1,MONTH($A738),DAY($A738)),$A:$A,0))=""),"",F738/INDEX(F:F,MATCH(DATE(YEAR($A738)-1,MONTH($A738),DAY($A738)),$A:$A,0))-1),"")</f>
        <v/>
      </c>
      <c r="L738" s="19">
        <f>IFERROR(IF(OR(G738="",INDEX(G:G,MATCH(DATE(YEAR($A738)-1,MONTH($A738),DAY($A738)),$A:$A,0))=""),"",G738/INDEX(G:G,MATCH(DATE(YEAR($A738)-1,MONTH($A738),DAY($A738)),$A:$A,0))-1),"")</f>
        <v/>
      </c>
      <c r="M738" s="19">
        <f>IF(OR(E738="",E737=""),"",E738/E737-1)</f>
        <v/>
      </c>
      <c r="N738" s="19">
        <f>IF(OR(F738="",F737=""),"",F738/F737-1)</f>
        <v/>
      </c>
      <c r="O738" s="19">
        <f>IF(OR(G738="",G737=""),"",G738/G737-1)</f>
        <v/>
      </c>
      <c r="P738" s="22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IF(R738="","",P738/R738)</f>
        <v/>
      </c>
      <c r="T738" s="23">
        <f>IF(R738="","",Q738/R738)</f>
        <v/>
      </c>
      <c r="U738" s="24">
        <f>IF(SUMIFS('Daily NSE Equity Options'!$M:$M,'Daily NSE Equity Options'!$A:$A,$A738)=0,"",SUMIFS('Daily NSE Equity Options'!$M:$M,'Daily NSE Equity Options'!$A:$A,$A738))</f>
        <v/>
      </c>
      <c r="V738" s="9">
        <f>IF(SUMIFS('Daily BSE Equity Options'!$M:$M,'Daily BSE Equity Options'!$A:$A,$A738)=0,"",SUMIFS('Daily BSE Equity Options'!$M:$M,'Daily BSE Equity Options'!$A:$A,$A738))</f>
        <v/>
      </c>
      <c r="W738" s="9">
        <f>IF(OR(U738="",V738=""),"",U738+V738)</f>
        <v/>
      </c>
      <c r="X738" s="25">
        <f>IF(W738="","",U738/W738)</f>
        <v/>
      </c>
      <c r="Y738" s="25">
        <f>IF(W738="","",V738/W738)</f>
        <v/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19">
        <f>IF(G739="","",E739/G739)</f>
        <v/>
      </c>
      <c r="I739" s="19">
        <f>IF(G739="","",F739/G739)</f>
        <v/>
      </c>
      <c r="J739" s="26">
        <f>IFERROR(IF(OR(E739="",INDEX(E:E,MATCH(DATE(YEAR($A739)-1,MONTH($A739),DAY($A739)),$A:$A,0))=""),"",E739/INDEX(E:E,MATCH(DATE(YEAR($A739)-1,MONTH($A739),DAY($A739)),$A:$A,0))-1),"")</f>
        <v/>
      </c>
      <c r="K739" s="19">
        <f>IFERROR(IF(OR(F739="",INDEX(F:F,MATCH(DATE(YEAR($A739)-1,MONTH($A739),DAY($A739)),$A:$A,0))=""),"",F739/INDEX(F:F,MATCH(DATE(YEAR($A739)-1,MONTH($A739),DAY($A739)),$A:$A,0))-1),"")</f>
        <v/>
      </c>
      <c r="L739" s="19">
        <f>IFERROR(IF(OR(G739="",INDEX(G:G,MATCH(DATE(YEAR($A739)-1,MONTH($A739),DAY($A739)),$A:$A,0))=""),"",G739/INDEX(G:G,MATCH(DATE(YEAR($A739)-1,MONTH($A739),DAY($A739)),$A:$A,0))-1),"")</f>
        <v/>
      </c>
      <c r="M739" s="19">
        <f>IF(OR(E739="",E738=""),"",E739/E738-1)</f>
        <v/>
      </c>
      <c r="N739" s="19">
        <f>IF(OR(F739="",F738=""),"",F739/F738-1)</f>
        <v/>
      </c>
      <c r="O739" s="19">
        <f>IF(OR(G739="",G738=""),"",G739/G738-1)</f>
        <v/>
      </c>
      <c r="P739" s="22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IF(R739="","",P739/R739)</f>
        <v/>
      </c>
      <c r="T739" s="23">
        <f>IF(R739="","",Q739/R739)</f>
        <v/>
      </c>
      <c r="U739" s="24">
        <f>IF(SUMIFS('Daily NSE Equity Options'!$M:$M,'Daily NSE Equity Options'!$A:$A,$A739)=0,"",SUMIFS('Daily NSE Equity Options'!$M:$M,'Daily NSE Equity Options'!$A:$A,$A739))</f>
        <v/>
      </c>
      <c r="V739" s="9">
        <f>IF(SUMIFS('Daily BSE Equity Options'!$M:$M,'Daily BSE Equity Options'!$A:$A,$A739)=0,"",SUMIFS('Daily BSE Equity Options'!$M:$M,'Daily BSE Equity Options'!$A:$A,$A739))</f>
        <v/>
      </c>
      <c r="W739" s="9">
        <f>IF(OR(U739="",V739=""),"",U739+V739)</f>
        <v/>
      </c>
      <c r="X739" s="25">
        <f>IF(W739="","",U739/W739)</f>
        <v/>
      </c>
      <c r="Y739" s="25">
        <f>IF(W739="","",V739/W739)</f>
        <v/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19">
        <f>IF(G740="","",E740/G740)</f>
        <v/>
      </c>
      <c r="I740" s="19">
        <f>IF(G740="","",F740/G740)</f>
        <v/>
      </c>
      <c r="J740" s="26">
        <f>IFERROR(IF(OR(E740="",INDEX(E:E,MATCH(DATE(YEAR($A740)-1,MONTH($A740),DAY($A740)),$A:$A,0))=""),"",E740/INDEX(E:E,MATCH(DATE(YEAR($A740)-1,MONTH($A740),DAY($A740)),$A:$A,0))-1),"")</f>
        <v/>
      </c>
      <c r="K740" s="19">
        <f>IFERROR(IF(OR(F740="",INDEX(F:F,MATCH(DATE(YEAR($A740)-1,MONTH($A740),DAY($A740)),$A:$A,0))=""),"",F740/INDEX(F:F,MATCH(DATE(YEAR($A740)-1,MONTH($A740),DAY($A740)),$A:$A,0))-1),"")</f>
        <v/>
      </c>
      <c r="L740" s="19">
        <f>IFERROR(IF(OR(G740="",INDEX(G:G,MATCH(DATE(YEAR($A740)-1,MONTH($A740),DAY($A740)),$A:$A,0))=""),"",G740/INDEX(G:G,MATCH(DATE(YEAR($A740)-1,MONTH($A740),DAY($A740)),$A:$A,0))-1),"")</f>
        <v/>
      </c>
      <c r="M740" s="19">
        <f>IF(OR(E740="",E739=""),"",E740/E739-1)</f>
        <v/>
      </c>
      <c r="N740" s="19">
        <f>IF(OR(F740="",F739=""),"",F740/F739-1)</f>
        <v/>
      </c>
      <c r="O740" s="19">
        <f>IF(OR(G740="",G739=""),"",G740/G739-1)</f>
        <v/>
      </c>
      <c r="P740" s="22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IF(R740="","",P740/R740)</f>
        <v/>
      </c>
      <c r="T740" s="23">
        <f>IF(R740="","",Q740/R740)</f>
        <v/>
      </c>
      <c r="U740" s="24">
        <f>IF(SUMIFS('Daily NSE Equity Options'!$M:$M,'Daily NSE Equity Options'!$A:$A,$A740)=0,"",SUMIFS('Daily NSE Equity Options'!$M:$M,'Daily NSE Equity Options'!$A:$A,$A740))</f>
        <v/>
      </c>
      <c r="V740" s="9">
        <f>IF(SUMIFS('Daily BSE Equity Options'!$M:$M,'Daily BSE Equity Options'!$A:$A,$A740)=0,"",SUMIFS('Daily BSE Equity Options'!$M:$M,'Daily BSE Equity Options'!$A:$A,$A740))</f>
        <v/>
      </c>
      <c r="W740" s="9">
        <f>IF(OR(U740="",V740=""),"",U740+V740)</f>
        <v/>
      </c>
      <c r="X740" s="25">
        <f>IF(W740="","",U740/W740)</f>
        <v/>
      </c>
      <c r="Y740" s="25">
        <f>IF(W740="","",V740/W740)</f>
        <v/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19">
        <f>IF(G741="","",E741/G741)</f>
        <v/>
      </c>
      <c r="I741" s="19">
        <f>IF(G741="","",F741/G741)</f>
        <v/>
      </c>
      <c r="J741" s="26">
        <f>IFERROR(IF(OR(E741="",INDEX(E:E,MATCH(DATE(YEAR($A741)-1,MONTH($A741),DAY($A741)),$A:$A,0))=""),"",E741/INDEX(E:E,MATCH(DATE(YEAR($A741)-1,MONTH($A741),DAY($A741)),$A:$A,0))-1),"")</f>
        <v/>
      </c>
      <c r="K741" s="19">
        <f>IFERROR(IF(OR(F741="",INDEX(F:F,MATCH(DATE(YEAR($A741)-1,MONTH($A741),DAY($A741)),$A:$A,0))=""),"",F741/INDEX(F:F,MATCH(DATE(YEAR($A741)-1,MONTH($A741),DAY($A741)),$A:$A,0))-1),"")</f>
        <v/>
      </c>
      <c r="L741" s="19">
        <f>IFERROR(IF(OR(G741="",INDEX(G:G,MATCH(DATE(YEAR($A741)-1,MONTH($A741),DAY($A741)),$A:$A,0))=""),"",G741/INDEX(G:G,MATCH(DATE(YEAR($A741)-1,MONTH($A741),DAY($A741)),$A:$A,0))-1),"")</f>
        <v/>
      </c>
      <c r="M741" s="19">
        <f>IF(OR(E741="",E740=""),"",E741/E740-1)</f>
        <v/>
      </c>
      <c r="N741" s="19">
        <f>IF(OR(F741="",F740=""),"",F741/F740-1)</f>
        <v/>
      </c>
      <c r="O741" s="19">
        <f>IF(OR(G741="",G740=""),"",G741/G740-1)</f>
        <v/>
      </c>
      <c r="P741" s="22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IF(R741="","",P741/R741)</f>
        <v/>
      </c>
      <c r="T741" s="23">
        <f>IF(R741="","",Q741/R741)</f>
        <v/>
      </c>
      <c r="U741" s="24">
        <f>IF(SUMIFS('Daily NSE Equity Options'!$M:$M,'Daily NSE Equity Options'!$A:$A,$A741)=0,"",SUMIFS('Daily NSE Equity Options'!$M:$M,'Daily NSE Equity Options'!$A:$A,$A741))</f>
        <v/>
      </c>
      <c r="V741" s="9">
        <f>IF(SUMIFS('Daily BSE Equity Options'!$M:$M,'Daily BSE Equity Options'!$A:$A,$A741)=0,"",SUMIFS('Daily BSE Equity Options'!$M:$M,'Daily BSE Equity Options'!$A:$A,$A741))</f>
        <v/>
      </c>
      <c r="W741" s="9">
        <f>IF(OR(U741="",V741=""),"",U741+V741)</f>
        <v/>
      </c>
      <c r="X741" s="25">
        <f>IF(W741="","",U741/W741)</f>
        <v/>
      </c>
      <c r="Y741" s="25">
        <f>IF(W741="","",V741/W741)</f>
        <v/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19">
        <f>IF(G742="","",E742/G742)</f>
        <v/>
      </c>
      <c r="I742" s="19">
        <f>IF(G742="","",F742/G742)</f>
        <v/>
      </c>
      <c r="J742" s="26">
        <f>IFERROR(IF(OR(E742="",INDEX(E:E,MATCH(DATE(YEAR($A742)-1,MONTH($A742),DAY($A742)),$A:$A,0))=""),"",E742/INDEX(E:E,MATCH(DATE(YEAR($A742)-1,MONTH($A742),DAY($A742)),$A:$A,0))-1),"")</f>
        <v/>
      </c>
      <c r="K742" s="19">
        <f>IFERROR(IF(OR(F742="",INDEX(F:F,MATCH(DATE(YEAR($A742)-1,MONTH($A742),DAY($A742)),$A:$A,0))=""),"",F742/INDEX(F:F,MATCH(DATE(YEAR($A742)-1,MONTH($A742),DAY($A742)),$A:$A,0))-1),"")</f>
        <v/>
      </c>
      <c r="L742" s="19">
        <f>IFERROR(IF(OR(G742="",INDEX(G:G,MATCH(DATE(YEAR($A742)-1,MONTH($A742),DAY($A742)),$A:$A,0))=""),"",G742/INDEX(G:G,MATCH(DATE(YEAR($A742)-1,MONTH($A742),DAY($A742)),$A:$A,0))-1),"")</f>
        <v/>
      </c>
      <c r="M742" s="19">
        <f>IF(OR(E742="",E741=""),"",E742/E741-1)</f>
        <v/>
      </c>
      <c r="N742" s="19">
        <f>IF(OR(F742="",F741=""),"",F742/F741-1)</f>
        <v/>
      </c>
      <c r="O742" s="19">
        <f>IF(OR(G742="",G741=""),"",G742/G741-1)</f>
        <v/>
      </c>
      <c r="P742" s="22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IF(R742="","",P742/R742)</f>
        <v/>
      </c>
      <c r="T742" s="23">
        <f>IF(R742="","",Q742/R742)</f>
        <v/>
      </c>
      <c r="U742" s="24">
        <f>IF(SUMIFS('Daily NSE Equity Options'!$M:$M,'Daily NSE Equity Options'!$A:$A,$A742)=0,"",SUMIFS('Daily NSE Equity Options'!$M:$M,'Daily NSE Equity Options'!$A:$A,$A742))</f>
        <v/>
      </c>
      <c r="V742" s="9">
        <f>IF(SUMIFS('Daily BSE Equity Options'!$M:$M,'Daily BSE Equity Options'!$A:$A,$A742)=0,"",SUMIFS('Daily BSE Equity Options'!$M:$M,'Daily BSE Equity Options'!$A:$A,$A742))</f>
        <v/>
      </c>
      <c r="W742" s="9">
        <f>IF(OR(U742="",V742=""),"",U742+V742)</f>
        <v/>
      </c>
      <c r="X742" s="25">
        <f>IF(W742="","",U742/W742)</f>
        <v/>
      </c>
      <c r="Y742" s="25">
        <f>IF(W742="","",V742/W742)</f>
        <v/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19">
        <f>IF(G743="","",E743/G743)</f>
        <v/>
      </c>
      <c r="I743" s="19">
        <f>IF(G743="","",F743/G743)</f>
        <v/>
      </c>
      <c r="J743" s="26">
        <f>IFERROR(IF(OR(E743="",INDEX(E:E,MATCH(DATE(YEAR($A743)-1,MONTH($A743),DAY($A743)),$A:$A,0))=""),"",E743/INDEX(E:E,MATCH(DATE(YEAR($A743)-1,MONTH($A743),DAY($A743)),$A:$A,0))-1),"")</f>
        <v/>
      </c>
      <c r="K743" s="19">
        <f>IFERROR(IF(OR(F743="",INDEX(F:F,MATCH(DATE(YEAR($A743)-1,MONTH($A743),DAY($A743)),$A:$A,0))=""),"",F743/INDEX(F:F,MATCH(DATE(YEAR($A743)-1,MONTH($A743),DAY($A743)),$A:$A,0))-1),"")</f>
        <v/>
      </c>
      <c r="L743" s="19">
        <f>IFERROR(IF(OR(G743="",INDEX(G:G,MATCH(DATE(YEAR($A743)-1,MONTH($A743),DAY($A743)),$A:$A,0))=""),"",G743/INDEX(G:G,MATCH(DATE(YEAR($A743)-1,MONTH($A743),DAY($A743)),$A:$A,0))-1),"")</f>
        <v/>
      </c>
      <c r="M743" s="19">
        <f>IF(OR(E743="",E742=""),"",E743/E742-1)</f>
        <v/>
      </c>
      <c r="N743" s="19">
        <f>IF(OR(F743="",F742=""),"",F743/F742-1)</f>
        <v/>
      </c>
      <c r="O743" s="19">
        <f>IF(OR(G743="",G742=""),"",G743/G742-1)</f>
        <v/>
      </c>
      <c r="P743" s="22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IF(R743="","",P743/R743)</f>
        <v/>
      </c>
      <c r="T743" s="23">
        <f>IF(R743="","",Q743/R743)</f>
        <v/>
      </c>
      <c r="U743" s="24">
        <f>IF(SUMIFS('Daily NSE Equity Options'!$M:$M,'Daily NSE Equity Options'!$A:$A,$A743)=0,"",SUMIFS('Daily NSE Equity Options'!$M:$M,'Daily NSE Equity Options'!$A:$A,$A743))</f>
        <v/>
      </c>
      <c r="V743" s="9">
        <f>IF(SUMIFS('Daily BSE Equity Options'!$M:$M,'Daily BSE Equity Options'!$A:$A,$A743)=0,"",SUMIFS('Daily BSE Equity Options'!$M:$M,'Daily BSE Equity Options'!$A:$A,$A743))</f>
        <v/>
      </c>
      <c r="W743" s="9">
        <f>IF(OR(U743="",V743=""),"",U743+V743)</f>
        <v/>
      </c>
      <c r="X743" s="25">
        <f>IF(W743="","",U743/W743)</f>
        <v/>
      </c>
      <c r="Y743" s="25">
        <f>IF(W743="","",V743/W743)</f>
        <v/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19">
        <f>IF(G744="","",E744/G744)</f>
        <v/>
      </c>
      <c r="I744" s="19">
        <f>IF(G744="","",F744/G744)</f>
        <v/>
      </c>
      <c r="J744" s="26">
        <f>IFERROR(IF(OR(E744="",INDEX(E:E,MATCH(DATE(YEAR($A744)-1,MONTH($A744),DAY($A744)),$A:$A,0))=""),"",E744/INDEX(E:E,MATCH(DATE(YEAR($A744)-1,MONTH($A744),DAY($A744)),$A:$A,0))-1),"")</f>
        <v/>
      </c>
      <c r="K744" s="19">
        <f>IFERROR(IF(OR(F744="",INDEX(F:F,MATCH(DATE(YEAR($A744)-1,MONTH($A744),DAY($A744)),$A:$A,0))=""),"",F744/INDEX(F:F,MATCH(DATE(YEAR($A744)-1,MONTH($A744),DAY($A744)),$A:$A,0))-1),"")</f>
        <v/>
      </c>
      <c r="L744" s="19">
        <f>IFERROR(IF(OR(G744="",INDEX(G:G,MATCH(DATE(YEAR($A744)-1,MONTH($A744),DAY($A744)),$A:$A,0))=""),"",G744/INDEX(G:G,MATCH(DATE(YEAR($A744)-1,MONTH($A744),DAY($A744)),$A:$A,0))-1),"")</f>
        <v/>
      </c>
      <c r="M744" s="19">
        <f>IF(OR(E744="",E743=""),"",E744/E743-1)</f>
        <v/>
      </c>
      <c r="N744" s="19">
        <f>IF(OR(F744="",F743=""),"",F744/F743-1)</f>
        <v/>
      </c>
      <c r="O744" s="19">
        <f>IF(OR(G744="",G743=""),"",G744/G743-1)</f>
        <v/>
      </c>
      <c r="P744" s="22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IF(R744="","",P744/R744)</f>
        <v/>
      </c>
      <c r="T744" s="23">
        <f>IF(R744="","",Q744/R744)</f>
        <v/>
      </c>
      <c r="U744" s="24">
        <f>IF(SUMIFS('Daily NSE Equity Options'!$M:$M,'Daily NSE Equity Options'!$A:$A,$A744)=0,"",SUMIFS('Daily NSE Equity Options'!$M:$M,'Daily NSE Equity Options'!$A:$A,$A744))</f>
        <v/>
      </c>
      <c r="V744" s="9">
        <f>IF(SUMIFS('Daily BSE Equity Options'!$M:$M,'Daily BSE Equity Options'!$A:$A,$A744)=0,"",SUMIFS('Daily BSE Equity Options'!$M:$M,'Daily BSE Equity Options'!$A:$A,$A744))</f>
        <v/>
      </c>
      <c r="W744" s="9">
        <f>IF(OR(U744="",V744=""),"",U744+V744)</f>
        <v/>
      </c>
      <c r="X744" s="25">
        <f>IF(W744="","",U744/W744)</f>
        <v/>
      </c>
      <c r="Y744" s="25">
        <f>IF(W744="","",V744/W744)</f>
        <v/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19">
        <f>IF(G745="","",E745/G745)</f>
        <v/>
      </c>
      <c r="I745" s="19">
        <f>IF(G745="","",F745/G745)</f>
        <v/>
      </c>
      <c r="J745" s="26">
        <f>IFERROR(IF(OR(E745="",INDEX(E:E,MATCH(DATE(YEAR($A745)-1,MONTH($A745),DAY($A745)),$A:$A,0))=""),"",E745/INDEX(E:E,MATCH(DATE(YEAR($A745)-1,MONTH($A745),DAY($A745)),$A:$A,0))-1),"")</f>
        <v/>
      </c>
      <c r="K745" s="19">
        <f>IFERROR(IF(OR(F745="",INDEX(F:F,MATCH(DATE(YEAR($A745)-1,MONTH($A745),DAY($A745)),$A:$A,0))=""),"",F745/INDEX(F:F,MATCH(DATE(YEAR($A745)-1,MONTH($A745),DAY($A745)),$A:$A,0))-1),"")</f>
        <v/>
      </c>
      <c r="L745" s="19">
        <f>IFERROR(IF(OR(G745="",INDEX(G:G,MATCH(DATE(YEAR($A745)-1,MONTH($A745),DAY($A745)),$A:$A,0))=""),"",G745/INDEX(G:G,MATCH(DATE(YEAR($A745)-1,MONTH($A745),DAY($A745)),$A:$A,0))-1),"")</f>
        <v/>
      </c>
      <c r="M745" s="19">
        <f>IF(OR(E745="",E744=""),"",E745/E744-1)</f>
        <v/>
      </c>
      <c r="N745" s="19">
        <f>IF(OR(F745="",F744=""),"",F745/F744-1)</f>
        <v/>
      </c>
      <c r="O745" s="19">
        <f>IF(OR(G745="",G744=""),"",G745/G744-1)</f>
        <v/>
      </c>
      <c r="P745" s="22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IF(R745="","",P745/R745)</f>
        <v/>
      </c>
      <c r="T745" s="23">
        <f>IF(R745="","",Q745/R745)</f>
        <v/>
      </c>
      <c r="U745" s="24">
        <f>IF(SUMIFS('Daily NSE Equity Options'!$M:$M,'Daily NSE Equity Options'!$A:$A,$A745)=0,"",SUMIFS('Daily NSE Equity Options'!$M:$M,'Daily NSE Equity Options'!$A:$A,$A745))</f>
        <v/>
      </c>
      <c r="V745" s="9">
        <f>IF(SUMIFS('Daily BSE Equity Options'!$M:$M,'Daily BSE Equity Options'!$A:$A,$A745)=0,"",SUMIFS('Daily BSE Equity Options'!$M:$M,'Daily BSE Equity Options'!$A:$A,$A745))</f>
        <v/>
      </c>
      <c r="W745" s="9">
        <f>IF(OR(U745="",V745=""),"",U745+V745)</f>
        <v/>
      </c>
      <c r="X745" s="25">
        <f>IF(W745="","",U745/W745)</f>
        <v/>
      </c>
      <c r="Y745" s="25">
        <f>IF(W745="","",V745/W745)</f>
        <v/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19">
        <f>IF(G746="","",E746/G746)</f>
        <v/>
      </c>
      <c r="I746" s="19">
        <f>IF(G746="","",F746/G746)</f>
        <v/>
      </c>
      <c r="J746" s="26">
        <f>IFERROR(IF(OR(E746="",INDEX(E:E,MATCH(DATE(YEAR($A746)-1,MONTH($A746),DAY($A746)),$A:$A,0))=""),"",E746/INDEX(E:E,MATCH(DATE(YEAR($A746)-1,MONTH($A746),DAY($A746)),$A:$A,0))-1),"")</f>
        <v/>
      </c>
      <c r="K746" s="19">
        <f>IFERROR(IF(OR(F746="",INDEX(F:F,MATCH(DATE(YEAR($A746)-1,MONTH($A746),DAY($A746)),$A:$A,0))=""),"",F746/INDEX(F:F,MATCH(DATE(YEAR($A746)-1,MONTH($A746),DAY($A746)),$A:$A,0))-1),"")</f>
        <v/>
      </c>
      <c r="L746" s="19">
        <f>IFERROR(IF(OR(G746="",INDEX(G:G,MATCH(DATE(YEAR($A746)-1,MONTH($A746),DAY($A746)),$A:$A,0))=""),"",G746/INDEX(G:G,MATCH(DATE(YEAR($A746)-1,MONTH($A746),DAY($A746)),$A:$A,0))-1),"")</f>
        <v/>
      </c>
      <c r="M746" s="19">
        <f>IF(OR(E746="",E745=""),"",E746/E745-1)</f>
        <v/>
      </c>
      <c r="N746" s="19">
        <f>IF(OR(F746="",F745=""),"",F746/F745-1)</f>
        <v/>
      </c>
      <c r="O746" s="19">
        <f>IF(OR(G746="",G745=""),"",G746/G745-1)</f>
        <v/>
      </c>
      <c r="P746" s="22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IF(R746="","",P746/R746)</f>
        <v/>
      </c>
      <c r="T746" s="23">
        <f>IF(R746="","",Q746/R746)</f>
        <v/>
      </c>
      <c r="U746" s="24">
        <f>IF(SUMIFS('Daily NSE Equity Options'!$M:$M,'Daily NSE Equity Options'!$A:$A,$A746)=0,"",SUMIFS('Daily NSE Equity Options'!$M:$M,'Daily NSE Equity Options'!$A:$A,$A746))</f>
        <v/>
      </c>
      <c r="V746" s="9">
        <f>IF(SUMIFS('Daily BSE Equity Options'!$M:$M,'Daily BSE Equity Options'!$A:$A,$A746)=0,"",SUMIFS('Daily BSE Equity Options'!$M:$M,'Daily BSE Equity Options'!$A:$A,$A746))</f>
        <v/>
      </c>
      <c r="W746" s="9">
        <f>IF(OR(U746="",V746=""),"",U746+V746)</f>
        <v/>
      </c>
      <c r="X746" s="25">
        <f>IF(W746="","",U746/W746)</f>
        <v/>
      </c>
      <c r="Y746" s="25">
        <f>IF(W746="","",V746/W746)</f>
        <v/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19">
        <f>IF(G747="","",E747/G747)</f>
        <v/>
      </c>
      <c r="I747" s="19">
        <f>IF(G747="","",F747/G747)</f>
        <v/>
      </c>
      <c r="J747" s="26">
        <f>IFERROR(IF(OR(E747="",INDEX(E:E,MATCH(DATE(YEAR($A747)-1,MONTH($A747),DAY($A747)),$A:$A,0))=""),"",E747/INDEX(E:E,MATCH(DATE(YEAR($A747)-1,MONTH($A747),DAY($A747)),$A:$A,0))-1),"")</f>
        <v/>
      </c>
      <c r="K747" s="19">
        <f>IFERROR(IF(OR(F747="",INDEX(F:F,MATCH(DATE(YEAR($A747)-1,MONTH($A747),DAY($A747)),$A:$A,0))=""),"",F747/INDEX(F:F,MATCH(DATE(YEAR($A747)-1,MONTH($A747),DAY($A747)),$A:$A,0))-1),"")</f>
        <v/>
      </c>
      <c r="L747" s="19">
        <f>IFERROR(IF(OR(G747="",INDEX(G:G,MATCH(DATE(YEAR($A747)-1,MONTH($A747),DAY($A747)),$A:$A,0))=""),"",G747/INDEX(G:G,MATCH(DATE(YEAR($A747)-1,MONTH($A747),DAY($A747)),$A:$A,0))-1),"")</f>
        <v/>
      </c>
      <c r="M747" s="19">
        <f>IF(OR(E747="",E746=""),"",E747/E746-1)</f>
        <v/>
      </c>
      <c r="N747" s="19">
        <f>IF(OR(F747="",F746=""),"",F747/F746-1)</f>
        <v/>
      </c>
      <c r="O747" s="19">
        <f>IF(OR(G747="",G746=""),"",G747/G746-1)</f>
        <v/>
      </c>
      <c r="P747" s="22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IF(R747="","",P747/R747)</f>
        <v/>
      </c>
      <c r="T747" s="23">
        <f>IF(R747="","",Q747/R747)</f>
        <v/>
      </c>
      <c r="U747" s="24">
        <f>IF(SUMIFS('Daily NSE Equity Options'!$M:$M,'Daily NSE Equity Options'!$A:$A,$A747)=0,"",SUMIFS('Daily NSE Equity Options'!$M:$M,'Daily NSE Equity Options'!$A:$A,$A747))</f>
        <v/>
      </c>
      <c r="V747" s="9">
        <f>IF(SUMIFS('Daily BSE Equity Options'!$M:$M,'Daily BSE Equity Options'!$A:$A,$A747)=0,"",SUMIFS('Daily BSE Equity Options'!$M:$M,'Daily BSE Equity Options'!$A:$A,$A747))</f>
        <v/>
      </c>
      <c r="W747" s="9">
        <f>IF(OR(U747="",V747=""),"",U747+V747)</f>
        <v/>
      </c>
      <c r="X747" s="25">
        <f>IF(W747="","",U747/W747)</f>
        <v/>
      </c>
      <c r="Y747" s="25">
        <f>IF(W747="","",V747/W747)</f>
        <v/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19">
        <f>IF(G748="","",E748/G748)</f>
        <v/>
      </c>
      <c r="I748" s="19">
        <f>IF(G748="","",F748/G748)</f>
        <v/>
      </c>
      <c r="J748" s="26">
        <f>IFERROR(IF(OR(E748="",INDEX(E:E,MATCH(DATE(YEAR($A748)-1,MONTH($A748),DAY($A748)),$A:$A,0))=""),"",E748/INDEX(E:E,MATCH(DATE(YEAR($A748)-1,MONTH($A748),DAY($A748)),$A:$A,0))-1),"")</f>
        <v/>
      </c>
      <c r="K748" s="19">
        <f>IFERROR(IF(OR(F748="",INDEX(F:F,MATCH(DATE(YEAR($A748)-1,MONTH($A748),DAY($A748)),$A:$A,0))=""),"",F748/INDEX(F:F,MATCH(DATE(YEAR($A748)-1,MONTH($A748),DAY($A748)),$A:$A,0))-1),"")</f>
        <v/>
      </c>
      <c r="L748" s="19">
        <f>IFERROR(IF(OR(G748="",INDEX(G:G,MATCH(DATE(YEAR($A748)-1,MONTH($A748),DAY($A748)),$A:$A,0))=""),"",G748/INDEX(G:G,MATCH(DATE(YEAR($A748)-1,MONTH($A748),DAY($A748)),$A:$A,0))-1),"")</f>
        <v/>
      </c>
      <c r="M748" s="19">
        <f>IF(OR(E748="",E747=""),"",E748/E747-1)</f>
        <v/>
      </c>
      <c r="N748" s="19">
        <f>IF(OR(F748="",F747=""),"",F748/F747-1)</f>
        <v/>
      </c>
      <c r="O748" s="19">
        <f>IF(OR(G748="",G747=""),"",G748/G747-1)</f>
        <v/>
      </c>
      <c r="P748" s="22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IF(R748="","",P748/R748)</f>
        <v/>
      </c>
      <c r="T748" s="23">
        <f>IF(R748="","",Q748/R748)</f>
        <v/>
      </c>
      <c r="U748" s="24">
        <f>IF(SUMIFS('Daily NSE Equity Options'!$M:$M,'Daily NSE Equity Options'!$A:$A,$A748)=0,"",SUMIFS('Daily NSE Equity Options'!$M:$M,'Daily NSE Equity Options'!$A:$A,$A748))</f>
        <v/>
      </c>
      <c r="V748" s="9">
        <f>IF(SUMIFS('Daily BSE Equity Options'!$M:$M,'Daily BSE Equity Options'!$A:$A,$A748)=0,"",SUMIFS('Daily BSE Equity Options'!$M:$M,'Daily BSE Equity Options'!$A:$A,$A748))</f>
        <v/>
      </c>
      <c r="W748" s="9">
        <f>IF(OR(U748="",V748=""),"",U748+V748)</f>
        <v/>
      </c>
      <c r="X748" s="25">
        <f>IF(W748="","",U748/W748)</f>
        <v/>
      </c>
      <c r="Y748" s="25">
        <f>IF(W748="","",V748/W748)</f>
        <v/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19">
        <f>IF(G749="","",E749/G749)</f>
        <v/>
      </c>
      <c r="I749" s="19">
        <f>IF(G749="","",F749/G749)</f>
        <v/>
      </c>
      <c r="J749" s="26">
        <f>IFERROR(IF(OR(E749="",INDEX(E:E,MATCH(DATE(YEAR($A749)-1,MONTH($A749),DAY($A749)),$A:$A,0))=""),"",E749/INDEX(E:E,MATCH(DATE(YEAR($A749)-1,MONTH($A749),DAY($A749)),$A:$A,0))-1),"")</f>
        <v/>
      </c>
      <c r="K749" s="19">
        <f>IFERROR(IF(OR(F749="",INDEX(F:F,MATCH(DATE(YEAR($A749)-1,MONTH($A749),DAY($A749)),$A:$A,0))=""),"",F749/INDEX(F:F,MATCH(DATE(YEAR($A749)-1,MONTH($A749),DAY($A749)),$A:$A,0))-1),"")</f>
        <v/>
      </c>
      <c r="L749" s="19">
        <f>IFERROR(IF(OR(G749="",INDEX(G:G,MATCH(DATE(YEAR($A749)-1,MONTH($A749),DAY($A749)),$A:$A,0))=""),"",G749/INDEX(G:G,MATCH(DATE(YEAR($A749)-1,MONTH($A749),DAY($A749)),$A:$A,0))-1),"")</f>
        <v/>
      </c>
      <c r="M749" s="19">
        <f>IF(OR(E749="",E748=""),"",E749/E748-1)</f>
        <v/>
      </c>
      <c r="N749" s="19">
        <f>IF(OR(F749="",F748=""),"",F749/F748-1)</f>
        <v/>
      </c>
      <c r="O749" s="19">
        <f>IF(OR(G749="",G748=""),"",G749/G748-1)</f>
        <v/>
      </c>
      <c r="P749" s="22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IF(R749="","",Q749/R749)</f>
        <v/>
      </c>
      <c r="U749" s="24">
        <f>IF(SUMIFS('Daily NSE Equity Options'!$M:$M,'Daily NSE Equity Options'!$A:$A,$A749)=0,"",SUMIFS('Daily NSE Equity Options'!$M:$M,'Daily NSE Equity Options'!$A:$A,$A749))</f>
        <v/>
      </c>
      <c r="V749" s="9">
        <f>IF(SUMIFS('Daily BSE Equity Options'!$M:$M,'Daily BSE Equity Options'!$A:$A,$A749)=0,"",SUMIFS('Daily BSE Equity Options'!$M:$M,'Daily BSE Equity Options'!$A:$A,$A749))</f>
        <v/>
      </c>
      <c r="W749" s="9">
        <f>IF(OR(U749="",V749=""),"",U749+V749)</f>
        <v/>
      </c>
      <c r="X749" s="25">
        <f>IF(W749="","",U749/W749)</f>
        <v/>
      </c>
      <c r="Y749" s="25">
        <f>IF(W749="","",V749/W749)</f>
        <v/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19">
        <f>IF(G750="","",E750/G750)</f>
        <v/>
      </c>
      <c r="I750" s="19">
        <f>IF(G750="","",F750/G750)</f>
        <v/>
      </c>
      <c r="J750" s="26">
        <f>IFERROR(IF(OR(E750="",INDEX(E:E,MATCH(DATE(YEAR($A750)-1,MONTH($A750),DAY($A750)),$A:$A,0))=""),"",E750/INDEX(E:E,MATCH(DATE(YEAR($A750)-1,MONTH($A750),DAY($A750)),$A:$A,0))-1),"")</f>
        <v/>
      </c>
      <c r="K750" s="19">
        <f>IFERROR(IF(OR(F750="",INDEX(F:F,MATCH(DATE(YEAR($A750)-1,MONTH($A750),DAY($A750)),$A:$A,0))=""),"",F750/INDEX(F:F,MATCH(DATE(YEAR($A750)-1,MONTH($A750),DAY($A750)),$A:$A,0))-1),"")</f>
        <v/>
      </c>
      <c r="L750" s="19">
        <f>IFERROR(IF(OR(G750="",INDEX(G:G,MATCH(DATE(YEAR($A750)-1,MONTH($A750),DAY($A750)),$A:$A,0))=""),"",G750/INDEX(G:G,MATCH(DATE(YEAR($A750)-1,MONTH($A750),DAY($A750)),$A:$A,0))-1),"")</f>
        <v/>
      </c>
      <c r="M750" s="19">
        <f>IF(OR(E750="",E749=""),"",E750/E749-1)</f>
        <v/>
      </c>
      <c r="N750" s="19">
        <f>IF(OR(F750="",F749=""),"",F750/F749-1)</f>
        <v/>
      </c>
      <c r="O750" s="19">
        <f>IF(OR(G750="",G749=""),"",G750/G749-1)</f>
        <v/>
      </c>
      <c r="P750" s="22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IF(R750="","",P750/R750)</f>
        <v/>
      </c>
      <c r="T750" s="23">
        <f>IF(R750="","",Q750/R750)</f>
        <v/>
      </c>
      <c r="U750" s="24">
        <f>IF(SUMIFS('Daily NSE Equity Options'!$M:$M,'Daily NSE Equity Options'!$A:$A,$A750)=0,"",SUMIFS('Daily NSE Equity Options'!$M:$M,'Daily NSE Equity Options'!$A:$A,$A750))</f>
        <v/>
      </c>
      <c r="V750" s="9">
        <f>IF(SUMIFS('Daily BSE Equity Options'!$M:$M,'Daily BSE Equity Options'!$A:$A,$A750)=0,"",SUMIFS('Daily BSE Equity Options'!$M:$M,'Daily BSE Equity Options'!$A:$A,$A750))</f>
        <v/>
      </c>
      <c r="W750" s="9">
        <f>IF(OR(U750="",V750=""),"",U750+V750)</f>
        <v/>
      </c>
      <c r="X750" s="25">
        <f>IF(W750="","",U750/W750)</f>
        <v/>
      </c>
      <c r="Y750" s="25">
        <f>IF(W750="","",V750/W750)</f>
        <v/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19">
        <f>IF(G751="","",E751/G751)</f>
        <v/>
      </c>
      <c r="I751" s="19">
        <f>IF(G751="","",F751/G751)</f>
        <v/>
      </c>
      <c r="J751" s="26">
        <f>IFERROR(IF(OR(E751="",INDEX(E:E,MATCH(DATE(YEAR($A751)-1,MONTH($A751),DAY($A751)),$A:$A,0))=""),"",E751/INDEX(E:E,MATCH(DATE(YEAR($A751)-1,MONTH($A751),DAY($A751)),$A:$A,0))-1),"")</f>
        <v/>
      </c>
      <c r="K751" s="19">
        <f>IFERROR(IF(OR(F751="",INDEX(F:F,MATCH(DATE(YEAR($A751)-1,MONTH($A751),DAY($A751)),$A:$A,0))=""),"",F751/INDEX(F:F,MATCH(DATE(YEAR($A751)-1,MONTH($A751),DAY($A751)),$A:$A,0))-1),"")</f>
        <v/>
      </c>
      <c r="L751" s="19">
        <f>IFERROR(IF(OR(G751="",INDEX(G:G,MATCH(DATE(YEAR($A751)-1,MONTH($A751),DAY($A751)),$A:$A,0))=""),"",G751/INDEX(G:G,MATCH(DATE(YEAR($A751)-1,MONTH($A751),DAY($A751)),$A:$A,0))-1),"")</f>
        <v/>
      </c>
      <c r="M751" s="19">
        <f>IF(OR(E751="",E750=""),"",E751/E750-1)</f>
        <v/>
      </c>
      <c r="N751" s="19">
        <f>IF(OR(F751="",F750=""),"",F751/F750-1)</f>
        <v/>
      </c>
      <c r="O751" s="19">
        <f>IF(OR(G751="",G750=""),"",G751/G750-1)</f>
        <v/>
      </c>
      <c r="P751" s="22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IF(R751="","",P751/R751)</f>
        <v/>
      </c>
      <c r="T751" s="23">
        <f>IF(R751="","",Q751/R751)</f>
        <v/>
      </c>
      <c r="U751" s="24">
        <f>IF(SUMIFS('Daily NSE Equity Options'!$M:$M,'Daily NSE Equity Options'!$A:$A,$A751)=0,"",SUMIFS('Daily NSE Equity Options'!$M:$M,'Daily NSE Equity Options'!$A:$A,$A751))</f>
        <v/>
      </c>
      <c r="V751" s="9">
        <f>IF(SUMIFS('Daily BSE Equity Options'!$M:$M,'Daily BSE Equity Options'!$A:$A,$A751)=0,"",SUMIFS('Daily BSE Equity Options'!$M:$M,'Daily BSE Equity Options'!$A:$A,$A751))</f>
        <v/>
      </c>
      <c r="W751" s="9">
        <f>IF(OR(U751="",V751=""),"",U751+V751)</f>
        <v/>
      </c>
      <c r="X751" s="25">
        <f>IF(W751="","",U751/W751)</f>
        <v/>
      </c>
      <c r="Y751" s="25">
        <f>IF(W751="","",V751/W751)</f>
        <v/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19">
        <f>IF(G752="","",E752/G752)</f>
        <v/>
      </c>
      <c r="I752" s="19">
        <f>IF(G752="","",F752/G752)</f>
        <v/>
      </c>
      <c r="J752" s="26">
        <f>IFERROR(IF(OR(E752="",INDEX(E:E,MATCH(DATE(YEAR($A752)-1,MONTH($A752),DAY($A752)),$A:$A,0))=""),"",E752/INDEX(E:E,MATCH(DATE(YEAR($A752)-1,MONTH($A752),DAY($A752)),$A:$A,0))-1),"")</f>
        <v/>
      </c>
      <c r="K752" s="19">
        <f>IFERROR(IF(OR(F752="",INDEX(F:F,MATCH(DATE(YEAR($A752)-1,MONTH($A752),DAY($A752)),$A:$A,0))=""),"",F752/INDEX(F:F,MATCH(DATE(YEAR($A752)-1,MONTH($A752),DAY($A752)),$A:$A,0))-1),"")</f>
        <v/>
      </c>
      <c r="L752" s="19">
        <f>IFERROR(IF(OR(G752="",INDEX(G:G,MATCH(DATE(YEAR($A752)-1,MONTH($A752),DAY($A752)),$A:$A,0))=""),"",G752/INDEX(G:G,MATCH(DATE(YEAR($A752)-1,MONTH($A752),DAY($A752)),$A:$A,0))-1),"")</f>
        <v/>
      </c>
      <c r="M752" s="19">
        <f>IF(OR(E752="",E751=""),"",E752/E751-1)</f>
        <v/>
      </c>
      <c r="N752" s="19">
        <f>IF(OR(F752="",F751=""),"",F752/F751-1)</f>
        <v/>
      </c>
      <c r="O752" s="19">
        <f>IF(OR(G752="",G751=""),"",G752/G751-1)</f>
        <v/>
      </c>
      <c r="P752" s="22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IF(R752="","",P752/R752)</f>
        <v/>
      </c>
      <c r="T752" s="23">
        <f>IF(R752="","",Q752/R752)</f>
        <v/>
      </c>
      <c r="U752" s="24">
        <f>IF(SUMIFS('Daily NSE Equity Options'!$M:$M,'Daily NSE Equity Options'!$A:$A,$A752)=0,"",SUMIFS('Daily NSE Equity Options'!$M:$M,'Daily NSE Equity Options'!$A:$A,$A752))</f>
        <v/>
      </c>
      <c r="V752" s="9">
        <f>IF(SUMIFS('Daily BSE Equity Options'!$M:$M,'Daily BSE Equity Options'!$A:$A,$A752)=0,"",SUMIFS('Daily BSE Equity Options'!$M:$M,'Daily BSE Equity Options'!$A:$A,$A752))</f>
        <v/>
      </c>
      <c r="W752" s="9">
        <f>IF(OR(U752="",V752=""),"",U752+V752)</f>
        <v/>
      </c>
      <c r="X752" s="25">
        <f>IF(W752="","",U752/W752)</f>
        <v/>
      </c>
      <c r="Y752" s="25">
        <f>IF(W752="","",V752/W752)</f>
        <v/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19">
        <f>IF(G753="","",E753/G753)</f>
        <v/>
      </c>
      <c r="I753" s="19">
        <f>IF(G753="","",F753/G753)</f>
        <v/>
      </c>
      <c r="J753" s="26">
        <f>IFERROR(IF(OR(E753="",INDEX(E:E,MATCH(DATE(YEAR($A753)-1,MONTH($A753),DAY($A753)),$A:$A,0))=""),"",E753/INDEX(E:E,MATCH(DATE(YEAR($A753)-1,MONTH($A753),DAY($A753)),$A:$A,0))-1),"")</f>
        <v/>
      </c>
      <c r="K753" s="19">
        <f>IFERROR(IF(OR(F753="",INDEX(F:F,MATCH(DATE(YEAR($A753)-1,MONTH($A753),DAY($A753)),$A:$A,0))=""),"",F753/INDEX(F:F,MATCH(DATE(YEAR($A753)-1,MONTH($A753),DAY($A753)),$A:$A,0))-1),"")</f>
        <v/>
      </c>
      <c r="L753" s="19">
        <f>IFERROR(IF(OR(G753="",INDEX(G:G,MATCH(DATE(YEAR($A753)-1,MONTH($A753),DAY($A753)),$A:$A,0))=""),"",G753/INDEX(G:G,MATCH(DATE(YEAR($A753)-1,MONTH($A753),DAY($A753)),$A:$A,0))-1),"")</f>
        <v/>
      </c>
      <c r="M753" s="19">
        <f>IF(OR(E753="",E752=""),"",E753/E752-1)</f>
        <v/>
      </c>
      <c r="N753" s="19">
        <f>IF(OR(F753="",F752=""),"",F753/F752-1)</f>
        <v/>
      </c>
      <c r="O753" s="19">
        <f>IF(OR(G753="",G752=""),"",G753/G752-1)</f>
        <v/>
      </c>
      <c r="P753" s="22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IF(R753="","",P753/R753)</f>
        <v/>
      </c>
      <c r="T753" s="23">
        <f>IF(R753="","",Q753/R753)</f>
        <v/>
      </c>
      <c r="U753" s="24">
        <f>IF(SUMIFS('Daily NSE Equity Options'!$M:$M,'Daily NSE Equity Options'!$A:$A,$A753)=0,"",SUMIFS('Daily NSE Equity Options'!$M:$M,'Daily NSE Equity Options'!$A:$A,$A753))</f>
        <v/>
      </c>
      <c r="V753" s="9">
        <f>IF(SUMIFS('Daily BSE Equity Options'!$M:$M,'Daily BSE Equity Options'!$A:$A,$A753)=0,"",SUMIFS('Daily BSE Equity Options'!$M:$M,'Daily BSE Equity Options'!$A:$A,$A753))</f>
        <v/>
      </c>
      <c r="W753" s="9">
        <f>IF(OR(U753="",V753=""),"",U753+V753)</f>
        <v/>
      </c>
      <c r="X753" s="25">
        <f>IF(W753="","",U753/W753)</f>
        <v/>
      </c>
      <c r="Y753" s="25">
        <f>IF(W753="","",V753/W753)</f>
        <v/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19">
        <f>IF(G754="","",E754/G754)</f>
        <v/>
      </c>
      <c r="I754" s="19">
        <f>IF(G754="","",F754/G754)</f>
        <v/>
      </c>
      <c r="J754" s="26">
        <f>IFERROR(IF(OR(E754="",INDEX(E:E,MATCH(DATE(YEAR($A754)-1,MONTH($A754),DAY($A754)),$A:$A,0))=""),"",E754/INDEX(E:E,MATCH(DATE(YEAR($A754)-1,MONTH($A754),DAY($A754)),$A:$A,0))-1),"")</f>
        <v/>
      </c>
      <c r="K754" s="19">
        <f>IFERROR(IF(OR(F754="",INDEX(F:F,MATCH(DATE(YEAR($A754)-1,MONTH($A754),DAY($A754)),$A:$A,0))=""),"",F754/INDEX(F:F,MATCH(DATE(YEAR($A754)-1,MONTH($A754),DAY($A754)),$A:$A,0))-1),"")</f>
        <v/>
      </c>
      <c r="L754" s="19">
        <f>IFERROR(IF(OR(G754="",INDEX(G:G,MATCH(DATE(YEAR($A754)-1,MONTH($A754),DAY($A754)),$A:$A,0))=""),"",G754/INDEX(G:G,MATCH(DATE(YEAR($A754)-1,MONTH($A754),DAY($A754)),$A:$A,0))-1),"")</f>
        <v/>
      </c>
      <c r="M754" s="19">
        <f>IF(OR(E754="",E753=""),"",E754/E753-1)</f>
        <v/>
      </c>
      <c r="N754" s="19">
        <f>IF(OR(F754="",F753=""),"",F754/F753-1)</f>
        <v/>
      </c>
      <c r="O754" s="19">
        <f>IF(OR(G754="",G753=""),"",G754/G753-1)</f>
        <v/>
      </c>
      <c r="P754" s="22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IF(R754="","",P754/R754)</f>
        <v/>
      </c>
      <c r="T754" s="23">
        <f>IF(R754="","",Q754/R754)</f>
        <v/>
      </c>
      <c r="U754" s="24">
        <f>IF(SUMIFS('Daily NSE Equity Options'!$M:$M,'Daily NSE Equity Options'!$A:$A,$A754)=0,"",SUMIFS('Daily NSE Equity Options'!$M:$M,'Daily NSE Equity Options'!$A:$A,$A754))</f>
        <v/>
      </c>
      <c r="V754" s="9">
        <f>IF(SUMIFS('Daily BSE Equity Options'!$M:$M,'Daily BSE Equity Options'!$A:$A,$A754)=0,"",SUMIFS('Daily BSE Equity Options'!$M:$M,'Daily BSE Equity Options'!$A:$A,$A754))</f>
        <v/>
      </c>
      <c r="W754" s="9">
        <f>IF(OR(U754="",V754=""),"",U754+V754)</f>
        <v/>
      </c>
      <c r="X754" s="25">
        <f>IF(W754="","",U754/W754)</f>
        <v/>
      </c>
      <c r="Y754" s="25">
        <f>IF(W754="","",V754/W754)</f>
        <v/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19">
        <f>IF(G755="","",E755/G755)</f>
        <v/>
      </c>
      <c r="I755" s="19">
        <f>IF(G755="","",F755/G755)</f>
        <v/>
      </c>
      <c r="J755" s="26">
        <f>IFERROR(IF(OR(E755="",INDEX(E:E,MATCH(DATE(YEAR($A755)-1,MONTH($A755),DAY($A755)),$A:$A,0))=""),"",E755/INDEX(E:E,MATCH(DATE(YEAR($A755)-1,MONTH($A755),DAY($A755)),$A:$A,0))-1),"")</f>
        <v/>
      </c>
      <c r="K755" s="19">
        <f>IFERROR(IF(OR(F755="",INDEX(F:F,MATCH(DATE(YEAR($A755)-1,MONTH($A755),DAY($A755)),$A:$A,0))=""),"",F755/INDEX(F:F,MATCH(DATE(YEAR($A755)-1,MONTH($A755),DAY($A755)),$A:$A,0))-1),"")</f>
        <v/>
      </c>
      <c r="L755" s="19">
        <f>IFERROR(IF(OR(G755="",INDEX(G:G,MATCH(DATE(YEAR($A755)-1,MONTH($A755),DAY($A755)),$A:$A,0))=""),"",G755/INDEX(G:G,MATCH(DATE(YEAR($A755)-1,MONTH($A755),DAY($A755)),$A:$A,0))-1),"")</f>
        <v/>
      </c>
      <c r="M755" s="19">
        <f>IF(OR(E755="",E754=""),"",E755/E754-1)</f>
        <v/>
      </c>
      <c r="N755" s="19">
        <f>IF(OR(F755="",F754=""),"",F755/F754-1)</f>
        <v/>
      </c>
      <c r="O755" s="19">
        <f>IF(OR(G755="",G754=""),"",G755/G754-1)</f>
        <v/>
      </c>
      <c r="P755" s="22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IF(R755="","",P755/R755)</f>
        <v/>
      </c>
      <c r="T755" s="23">
        <f>IF(R755="","",Q755/R755)</f>
        <v/>
      </c>
      <c r="U755" s="24">
        <f>IF(SUMIFS('Daily NSE Equity Options'!$M:$M,'Daily NSE Equity Options'!$A:$A,$A755)=0,"",SUMIFS('Daily NSE Equity Options'!$M:$M,'Daily NSE Equity Options'!$A:$A,$A755))</f>
        <v/>
      </c>
      <c r="V755" s="9">
        <f>IF(SUMIFS('Daily BSE Equity Options'!$M:$M,'Daily BSE Equity Options'!$A:$A,$A755)=0,"",SUMIFS('Daily BSE Equity Options'!$M:$M,'Daily BSE Equity Options'!$A:$A,$A755))</f>
        <v/>
      </c>
      <c r="W755" s="9">
        <f>IF(OR(U755="",V755=""),"",U755+V755)</f>
        <v/>
      </c>
      <c r="X755" s="25">
        <f>IF(W755="","",U755/W755)</f>
        <v/>
      </c>
      <c r="Y755" s="25">
        <f>IF(W755="","",V755/W755)</f>
        <v/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19">
        <f>IF(G756="","",E756/G756)</f>
        <v/>
      </c>
      <c r="I756" s="19">
        <f>IF(G756="","",F756/G756)</f>
        <v/>
      </c>
      <c r="J756" s="26">
        <f>IFERROR(IF(OR(E756="",INDEX(E:E,MATCH(DATE(YEAR($A756)-1,MONTH($A756),DAY($A756)),$A:$A,0))=""),"",E756/INDEX(E:E,MATCH(DATE(YEAR($A756)-1,MONTH($A756),DAY($A756)),$A:$A,0))-1),"")</f>
        <v/>
      </c>
      <c r="K756" s="19">
        <f>IFERROR(IF(OR(F756="",INDEX(F:F,MATCH(DATE(YEAR($A756)-1,MONTH($A756),DAY($A756)),$A:$A,0))=""),"",F756/INDEX(F:F,MATCH(DATE(YEAR($A756)-1,MONTH($A756),DAY($A756)),$A:$A,0))-1),"")</f>
        <v/>
      </c>
      <c r="L756" s="19">
        <f>IFERROR(IF(OR(G756="",INDEX(G:G,MATCH(DATE(YEAR($A756)-1,MONTH($A756),DAY($A756)),$A:$A,0))=""),"",G756/INDEX(G:G,MATCH(DATE(YEAR($A756)-1,MONTH($A756),DAY($A756)),$A:$A,0))-1),"")</f>
        <v/>
      </c>
      <c r="M756" s="19">
        <f>IF(OR(E756="",E755=""),"",E756/E755-1)</f>
        <v/>
      </c>
      <c r="N756" s="19">
        <f>IF(OR(F756="",F755=""),"",F756/F755-1)</f>
        <v/>
      </c>
      <c r="O756" s="19">
        <f>IF(OR(G756="",G755=""),"",G756/G755-1)</f>
        <v/>
      </c>
      <c r="P756" s="22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IF(R756="","",P756/R756)</f>
        <v/>
      </c>
      <c r="T756" s="23">
        <f>IF(R756="","",Q756/R756)</f>
        <v/>
      </c>
      <c r="U756" s="24">
        <f>IF(SUMIFS('Daily NSE Equity Options'!$M:$M,'Daily NSE Equity Options'!$A:$A,$A756)=0,"",SUMIFS('Daily NSE Equity Options'!$M:$M,'Daily NSE Equity Options'!$A:$A,$A756))</f>
        <v/>
      </c>
      <c r="V756" s="9">
        <f>IF(SUMIFS('Daily BSE Equity Options'!$M:$M,'Daily BSE Equity Options'!$A:$A,$A756)=0,"",SUMIFS('Daily BSE Equity Options'!$M:$M,'Daily BSE Equity Options'!$A:$A,$A756))</f>
        <v/>
      </c>
      <c r="W756" s="9">
        <f>IF(OR(U756="",V756=""),"",U756+V756)</f>
        <v/>
      </c>
      <c r="X756" s="25">
        <f>IF(W756="","",U756/W756)</f>
        <v/>
      </c>
      <c r="Y756" s="25">
        <f>IF(W756="","",V756/W756)</f>
        <v/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19">
        <f>IF(G757="","",E757/G757)</f>
        <v/>
      </c>
      <c r="I757" s="19">
        <f>IF(G757="","",F757/G757)</f>
        <v/>
      </c>
      <c r="J757" s="26">
        <f>IFERROR(IF(OR(E757="",INDEX(E:E,MATCH(DATE(YEAR($A757)-1,MONTH($A757),DAY($A757)),$A:$A,0))=""),"",E757/INDEX(E:E,MATCH(DATE(YEAR($A757)-1,MONTH($A757),DAY($A757)),$A:$A,0))-1),"")</f>
        <v/>
      </c>
      <c r="K757" s="19">
        <f>IFERROR(IF(OR(F757="",INDEX(F:F,MATCH(DATE(YEAR($A757)-1,MONTH($A757),DAY($A757)),$A:$A,0))=""),"",F757/INDEX(F:F,MATCH(DATE(YEAR($A757)-1,MONTH($A757),DAY($A757)),$A:$A,0))-1),"")</f>
        <v/>
      </c>
      <c r="L757" s="19">
        <f>IFERROR(IF(OR(G757="",INDEX(G:G,MATCH(DATE(YEAR($A757)-1,MONTH($A757),DAY($A757)),$A:$A,0))=""),"",G757/INDEX(G:G,MATCH(DATE(YEAR($A757)-1,MONTH($A757),DAY($A757)),$A:$A,0))-1),"")</f>
        <v/>
      </c>
      <c r="M757" s="19">
        <f>IF(OR(E757="",E756=""),"",E757/E756-1)</f>
        <v/>
      </c>
      <c r="N757" s="19">
        <f>IF(OR(F757="",F756=""),"",F757/F756-1)</f>
        <v/>
      </c>
      <c r="O757" s="19">
        <f>IF(OR(G757="",G756=""),"",G757/G756-1)</f>
        <v/>
      </c>
      <c r="P757" s="22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IF(R757="","",P757/R757)</f>
        <v/>
      </c>
      <c r="T757" s="23">
        <f>IF(R757="","",Q757/R757)</f>
        <v/>
      </c>
      <c r="U757" s="24">
        <f>IF(SUMIFS('Daily NSE Equity Options'!$M:$M,'Daily NSE Equity Options'!$A:$A,$A757)=0,"",SUMIFS('Daily NSE Equity Options'!$M:$M,'Daily NSE Equity Options'!$A:$A,$A757))</f>
        <v/>
      </c>
      <c r="V757" s="9">
        <f>IF(SUMIFS('Daily BSE Equity Options'!$M:$M,'Daily BSE Equity Options'!$A:$A,$A757)=0,"",SUMIFS('Daily BSE Equity Options'!$M:$M,'Daily BSE Equity Options'!$A:$A,$A757))</f>
        <v/>
      </c>
      <c r="W757" s="9">
        <f>IF(OR(U757="",V757=""),"",U757+V757)</f>
        <v/>
      </c>
      <c r="X757" s="25">
        <f>IF(W757="","",U757/W757)</f>
        <v/>
      </c>
      <c r="Y757" s="25">
        <f>IF(W757="","",V757/W757)</f>
        <v/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19">
        <f>IF(G758="","",E758/G758)</f>
        <v/>
      </c>
      <c r="I758" s="19">
        <f>IF(G758="","",F758/G758)</f>
        <v/>
      </c>
      <c r="J758" s="26">
        <f>IFERROR(IF(OR(E758="",INDEX(E:E,MATCH(DATE(YEAR($A758)-1,MONTH($A758),DAY($A758)),$A:$A,0))=""),"",E758/INDEX(E:E,MATCH(DATE(YEAR($A758)-1,MONTH($A758),DAY($A758)),$A:$A,0))-1),"")</f>
        <v/>
      </c>
      <c r="K758" s="19">
        <f>IFERROR(IF(OR(F758="",INDEX(F:F,MATCH(DATE(YEAR($A758)-1,MONTH($A758),DAY($A758)),$A:$A,0))=""),"",F758/INDEX(F:F,MATCH(DATE(YEAR($A758)-1,MONTH($A758),DAY($A758)),$A:$A,0))-1),"")</f>
        <v/>
      </c>
      <c r="L758" s="19">
        <f>IFERROR(IF(OR(G758="",INDEX(G:G,MATCH(DATE(YEAR($A758)-1,MONTH($A758),DAY($A758)),$A:$A,0))=""),"",G758/INDEX(G:G,MATCH(DATE(YEAR($A758)-1,MONTH($A758),DAY($A758)),$A:$A,0))-1),"")</f>
        <v/>
      </c>
      <c r="M758" s="19">
        <f>IF(OR(E758="",E757=""),"",E758/E757-1)</f>
        <v/>
      </c>
      <c r="N758" s="19">
        <f>IF(OR(F758="",F757=""),"",F758/F757-1)</f>
        <v/>
      </c>
      <c r="O758" s="19">
        <f>IF(OR(G758="",G757=""),"",G758/G757-1)</f>
        <v/>
      </c>
      <c r="P758" s="22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IF(R758="","",P758/R758)</f>
        <v/>
      </c>
      <c r="T758" s="23">
        <f>IF(R758="","",Q758/R758)</f>
        <v/>
      </c>
      <c r="U758" s="24">
        <f>IF(SUMIFS('Daily NSE Equity Options'!$M:$M,'Daily NSE Equity Options'!$A:$A,$A758)=0,"",SUMIFS('Daily NSE Equity Options'!$M:$M,'Daily NSE Equity Options'!$A:$A,$A758))</f>
        <v/>
      </c>
      <c r="V758" s="9">
        <f>IF(SUMIFS('Daily BSE Equity Options'!$M:$M,'Daily BSE Equity Options'!$A:$A,$A758)=0,"",SUMIFS('Daily BSE Equity Options'!$M:$M,'Daily BSE Equity Options'!$A:$A,$A758))</f>
        <v/>
      </c>
      <c r="W758" s="9">
        <f>IF(OR(U758="",V758=""),"",U758+V758)</f>
        <v/>
      </c>
      <c r="X758" s="25">
        <f>IF(W758="","",U758/W758)</f>
        <v/>
      </c>
      <c r="Y758" s="25">
        <f>IF(W758="","",V758/W758)</f>
        <v/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19">
        <f>IF(G759="","",E759/G759)</f>
        <v/>
      </c>
      <c r="I759" s="19">
        <f>IF(G759="","",F759/G759)</f>
        <v/>
      </c>
      <c r="J759" s="26">
        <f>IFERROR(IF(OR(E759="",INDEX(E:E,MATCH(DATE(YEAR($A759)-1,MONTH($A759),DAY($A759)),$A:$A,0))=""),"",E759/INDEX(E:E,MATCH(DATE(YEAR($A759)-1,MONTH($A759),DAY($A759)),$A:$A,0))-1),"")</f>
        <v/>
      </c>
      <c r="K759" s="19">
        <f>IFERROR(IF(OR(F759="",INDEX(F:F,MATCH(DATE(YEAR($A759)-1,MONTH($A759),DAY($A759)),$A:$A,0))=""),"",F759/INDEX(F:F,MATCH(DATE(YEAR($A759)-1,MONTH($A759),DAY($A759)),$A:$A,0))-1),"")</f>
        <v/>
      </c>
      <c r="L759" s="19">
        <f>IFERROR(IF(OR(G759="",INDEX(G:G,MATCH(DATE(YEAR($A759)-1,MONTH($A759),DAY($A759)),$A:$A,0))=""),"",G759/INDEX(G:G,MATCH(DATE(YEAR($A759)-1,MONTH($A759),DAY($A759)),$A:$A,0))-1),"")</f>
        <v/>
      </c>
      <c r="M759" s="19">
        <f>IF(OR(E759="",E758=""),"",E759/E758-1)</f>
        <v/>
      </c>
      <c r="N759" s="19">
        <f>IF(OR(F759="",F758=""),"",F759/F758-1)</f>
        <v/>
      </c>
      <c r="O759" s="19">
        <f>IF(OR(G759="",G758=""),"",G759/G758-1)</f>
        <v/>
      </c>
      <c r="P759" s="22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IF(R759="","",P759/R759)</f>
        <v/>
      </c>
      <c r="T759" s="23">
        <f>IF(R759="","",Q759/R759)</f>
        <v/>
      </c>
      <c r="U759" s="24">
        <f>IF(SUMIFS('Daily NSE Equity Options'!$M:$M,'Daily NSE Equity Options'!$A:$A,$A759)=0,"",SUMIFS('Daily NSE Equity Options'!$M:$M,'Daily NSE Equity Options'!$A:$A,$A759))</f>
        <v/>
      </c>
      <c r="V759" s="9">
        <f>IF(SUMIFS('Daily BSE Equity Options'!$M:$M,'Daily BSE Equity Options'!$A:$A,$A759)=0,"",SUMIFS('Daily BSE Equity Options'!$M:$M,'Daily BSE Equity Options'!$A:$A,$A759))</f>
        <v/>
      </c>
      <c r="W759" s="9">
        <f>IF(OR(U759="",V759=""),"",U759+V759)</f>
        <v/>
      </c>
      <c r="X759" s="25">
        <f>IF(W759="","",U759/W759)</f>
        <v/>
      </c>
      <c r="Y759" s="25">
        <f>IF(W759="","",V759/W759)</f>
        <v/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19">
        <f>IF(G760="","",E760/G760)</f>
        <v/>
      </c>
      <c r="I760" s="19">
        <f>IF(G760="","",F760/G760)</f>
        <v/>
      </c>
      <c r="J760" s="26">
        <f>IFERROR(IF(OR(E760="",INDEX(E:E,MATCH(DATE(YEAR($A760)-1,MONTH($A760),DAY($A760)),$A:$A,0))=""),"",E760/INDEX(E:E,MATCH(DATE(YEAR($A760)-1,MONTH($A760),DAY($A760)),$A:$A,0))-1),"")</f>
        <v/>
      </c>
      <c r="K760" s="19">
        <f>IFERROR(IF(OR(F760="",INDEX(F:F,MATCH(DATE(YEAR($A760)-1,MONTH($A760),DAY($A760)),$A:$A,0))=""),"",F760/INDEX(F:F,MATCH(DATE(YEAR($A760)-1,MONTH($A760),DAY($A760)),$A:$A,0))-1),"")</f>
        <v/>
      </c>
      <c r="L760" s="19">
        <f>IFERROR(IF(OR(G760="",INDEX(G:G,MATCH(DATE(YEAR($A760)-1,MONTH($A760),DAY($A760)),$A:$A,0))=""),"",G760/INDEX(G:G,MATCH(DATE(YEAR($A760)-1,MONTH($A760),DAY($A760)),$A:$A,0))-1),"")</f>
        <v/>
      </c>
      <c r="M760" s="19">
        <f>IF(OR(E760="",E759=""),"",E760/E759-1)</f>
        <v/>
      </c>
      <c r="N760" s="19">
        <f>IF(OR(F760="",F759=""),"",F760/F759-1)</f>
        <v/>
      </c>
      <c r="O760" s="19">
        <f>IF(OR(G760="",G759=""),"",G760/G759-1)</f>
        <v/>
      </c>
      <c r="P760" s="22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IF(R760="","",P760/R760)</f>
        <v/>
      </c>
      <c r="T760" s="23">
        <f>IF(R760="","",Q760/R760)</f>
        <v/>
      </c>
      <c r="U760" s="24">
        <f>IF(SUMIFS('Daily NSE Equity Options'!$M:$M,'Daily NSE Equity Options'!$A:$A,$A760)=0,"",SUMIFS('Daily NSE Equity Options'!$M:$M,'Daily NSE Equity Options'!$A:$A,$A760))</f>
        <v/>
      </c>
      <c r="V760" s="9">
        <f>IF(SUMIFS('Daily BSE Equity Options'!$M:$M,'Daily BSE Equity Options'!$A:$A,$A760)=0,"",SUMIFS('Daily BSE Equity Options'!$M:$M,'Daily BSE Equity Options'!$A:$A,$A760))</f>
        <v/>
      </c>
      <c r="W760" s="9">
        <f>IF(OR(U760="",V760=""),"",U760+V760)</f>
        <v/>
      </c>
      <c r="X760" s="25">
        <f>IF(W760="","",U760/W760)</f>
        <v/>
      </c>
      <c r="Y760" s="25">
        <f>IF(W760="","",V760/W760)</f>
        <v/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19">
        <f>IF(G761="","",E761/G761)</f>
        <v/>
      </c>
      <c r="I761" s="19">
        <f>IF(G761="","",F761/G761)</f>
        <v/>
      </c>
      <c r="J761" s="26">
        <f>IFERROR(IF(OR(E761="",INDEX(E:E,MATCH(DATE(YEAR($A761)-1,MONTH($A761),DAY($A761)),$A:$A,0))=""),"",E761/INDEX(E:E,MATCH(DATE(YEAR($A761)-1,MONTH($A761),DAY($A761)),$A:$A,0))-1),"")</f>
        <v/>
      </c>
      <c r="K761" s="19">
        <f>IFERROR(IF(OR(F761="",INDEX(F:F,MATCH(DATE(YEAR($A761)-1,MONTH($A761),DAY($A761)),$A:$A,0))=""),"",F761/INDEX(F:F,MATCH(DATE(YEAR($A761)-1,MONTH($A761),DAY($A761)),$A:$A,0))-1),"")</f>
        <v/>
      </c>
      <c r="L761" s="19">
        <f>IFERROR(IF(OR(G761="",INDEX(G:G,MATCH(DATE(YEAR($A761)-1,MONTH($A761),DAY($A761)),$A:$A,0))=""),"",G761/INDEX(G:G,MATCH(DATE(YEAR($A761)-1,MONTH($A761),DAY($A761)),$A:$A,0))-1),"")</f>
        <v/>
      </c>
      <c r="M761" s="19">
        <f>IF(OR(E761="",E760=""),"",E761/E760-1)</f>
        <v/>
      </c>
      <c r="N761" s="19">
        <f>IF(OR(F761="",F760=""),"",F761/F760-1)</f>
        <v/>
      </c>
      <c r="O761" s="19">
        <f>IF(OR(G761="",G760=""),"",G761/G760-1)</f>
        <v/>
      </c>
      <c r="P761" s="22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IF(R761="","",P761/R761)</f>
        <v/>
      </c>
      <c r="T761" s="23">
        <f>IF(R761="","",Q761/R761)</f>
        <v/>
      </c>
      <c r="U761" s="24">
        <f>IF(SUMIFS('Daily NSE Equity Options'!$M:$M,'Daily NSE Equity Options'!$A:$A,$A761)=0,"",SUMIFS('Daily NSE Equity Options'!$M:$M,'Daily NSE Equity Options'!$A:$A,$A761))</f>
        <v/>
      </c>
      <c r="V761" s="9">
        <f>IF(SUMIFS('Daily BSE Equity Options'!$M:$M,'Daily BSE Equity Options'!$A:$A,$A761)=0,"",SUMIFS('Daily BSE Equity Options'!$M:$M,'Daily BSE Equity Options'!$A:$A,$A761))</f>
        <v/>
      </c>
      <c r="W761" s="9">
        <f>IF(OR(U761="",V761=""),"",U761+V761)</f>
        <v/>
      </c>
      <c r="X761" s="25">
        <f>IF(W761="","",U761/W761)</f>
        <v/>
      </c>
      <c r="Y761" s="25">
        <f>IF(W761="","",V761/W761)</f>
        <v/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19">
        <f>IF(G762="","",E762/G762)</f>
        <v/>
      </c>
      <c r="I762" s="19">
        <f>IF(G762="","",F762/G762)</f>
        <v/>
      </c>
      <c r="J762" s="26">
        <f>IFERROR(IF(OR(E762="",INDEX(E:E,MATCH(DATE(YEAR($A762)-1,MONTH($A762),DAY($A762)),$A:$A,0))=""),"",E762/INDEX(E:E,MATCH(DATE(YEAR($A762)-1,MONTH($A762),DAY($A762)),$A:$A,0))-1),"")</f>
        <v/>
      </c>
      <c r="K762" s="19">
        <f>IFERROR(IF(OR(F762="",INDEX(F:F,MATCH(DATE(YEAR($A762)-1,MONTH($A762),DAY($A762)),$A:$A,0))=""),"",F762/INDEX(F:F,MATCH(DATE(YEAR($A762)-1,MONTH($A762),DAY($A762)),$A:$A,0))-1),"")</f>
        <v/>
      </c>
      <c r="L762" s="19">
        <f>IFERROR(IF(OR(G762="",INDEX(G:G,MATCH(DATE(YEAR($A762)-1,MONTH($A762),DAY($A762)),$A:$A,0))=""),"",G762/INDEX(G:G,MATCH(DATE(YEAR($A762)-1,MONTH($A762),DAY($A762)),$A:$A,0))-1),"")</f>
        <v/>
      </c>
      <c r="M762" s="19">
        <f>IF(OR(E762="",E761=""),"",E762/E761-1)</f>
        <v/>
      </c>
      <c r="N762" s="19">
        <f>IF(OR(F762="",F761=""),"",F762/F761-1)</f>
        <v/>
      </c>
      <c r="O762" s="19">
        <f>IF(OR(G762="",G761=""),"",G762/G761-1)</f>
        <v/>
      </c>
      <c r="P762" s="22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IF(R762="","",P762/R762)</f>
        <v/>
      </c>
      <c r="T762" s="23">
        <f>IF(R762="","",Q762/R762)</f>
        <v/>
      </c>
      <c r="U762" s="24">
        <f>IF(SUMIFS('Daily NSE Equity Options'!$M:$M,'Daily NSE Equity Options'!$A:$A,$A762)=0,"",SUMIFS('Daily NSE Equity Options'!$M:$M,'Daily NSE Equity Options'!$A:$A,$A762))</f>
        <v/>
      </c>
      <c r="V762" s="9">
        <f>IF(SUMIFS('Daily BSE Equity Options'!$M:$M,'Daily BSE Equity Options'!$A:$A,$A762)=0,"",SUMIFS('Daily BSE Equity Options'!$M:$M,'Daily BSE Equity Options'!$A:$A,$A762))</f>
        <v/>
      </c>
      <c r="W762" s="9">
        <f>IF(OR(U762="",V762=""),"",U762+V762)</f>
        <v/>
      </c>
      <c r="X762" s="25">
        <f>IF(W762="","",U762/W762)</f>
        <v/>
      </c>
      <c r="Y762" s="25">
        <f>IF(W762="","",V762/W762)</f>
        <v/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19">
        <f>IF(G763="","",E763/G763)</f>
        <v/>
      </c>
      <c r="I763" s="19">
        <f>IF(G763="","",F763/G763)</f>
        <v/>
      </c>
      <c r="J763" s="26">
        <f>IFERROR(IF(OR(E763="",INDEX(E:E,MATCH(DATE(YEAR($A763)-1,MONTH($A763),DAY($A763)),$A:$A,0))=""),"",E763/INDEX(E:E,MATCH(DATE(YEAR($A763)-1,MONTH($A763),DAY($A763)),$A:$A,0))-1),"")</f>
        <v/>
      </c>
      <c r="K763" s="19">
        <f>IFERROR(IF(OR(F763="",INDEX(F:F,MATCH(DATE(YEAR($A763)-1,MONTH($A763),DAY($A763)),$A:$A,0))=""),"",F763/INDEX(F:F,MATCH(DATE(YEAR($A763)-1,MONTH($A763),DAY($A763)),$A:$A,0))-1),"")</f>
        <v/>
      </c>
      <c r="L763" s="19">
        <f>IFERROR(IF(OR(G763="",INDEX(G:G,MATCH(DATE(YEAR($A763)-1,MONTH($A763),DAY($A763)),$A:$A,0))=""),"",G763/INDEX(G:G,MATCH(DATE(YEAR($A763)-1,MONTH($A763),DAY($A763)),$A:$A,0))-1),"")</f>
        <v/>
      </c>
      <c r="M763" s="19">
        <f>IF(OR(E763="",E762=""),"",E763/E762-1)</f>
        <v/>
      </c>
      <c r="N763" s="19">
        <f>IF(OR(F763="",F762=""),"",F763/F762-1)</f>
        <v/>
      </c>
      <c r="O763" s="19">
        <f>IF(OR(G763="",G762=""),"",G763/G762-1)</f>
        <v/>
      </c>
      <c r="P763" s="22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IF(R763="","",P763/R763)</f>
        <v/>
      </c>
      <c r="T763" s="23">
        <f>IF(R763="","",Q763/R763)</f>
        <v/>
      </c>
      <c r="U763" s="24">
        <f>IF(SUMIFS('Daily NSE Equity Options'!$M:$M,'Daily NSE Equity Options'!$A:$A,$A763)=0,"",SUMIFS('Daily NSE Equity Options'!$M:$M,'Daily NSE Equity Options'!$A:$A,$A763))</f>
        <v/>
      </c>
      <c r="V763" s="9">
        <f>IF(SUMIFS('Daily BSE Equity Options'!$M:$M,'Daily BSE Equity Options'!$A:$A,$A763)=0,"",SUMIFS('Daily BSE Equity Options'!$M:$M,'Daily BSE Equity Options'!$A:$A,$A763))</f>
        <v/>
      </c>
      <c r="W763" s="9">
        <f>IF(OR(U763="",V763=""),"",U763+V763)</f>
        <v/>
      </c>
      <c r="X763" s="25">
        <f>IF(W763="","",U763/W763)</f>
        <v/>
      </c>
      <c r="Y763" s="25">
        <f>IF(W763="","",V763/W763)</f>
        <v/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19">
        <f>IF(G764="","",E764/G764)</f>
        <v/>
      </c>
      <c r="I764" s="19">
        <f>IF(G764="","",F764/G764)</f>
        <v/>
      </c>
      <c r="J764" s="26">
        <f>IFERROR(IF(OR(E764="",INDEX(E:E,MATCH(DATE(YEAR($A764)-1,MONTH($A764),DAY($A764)),$A:$A,0))=""),"",E764/INDEX(E:E,MATCH(DATE(YEAR($A764)-1,MONTH($A764),DAY($A764)),$A:$A,0))-1),"")</f>
        <v/>
      </c>
      <c r="K764" s="19">
        <f>IFERROR(IF(OR(F764="",INDEX(F:F,MATCH(DATE(YEAR($A764)-1,MONTH($A764),DAY($A764)),$A:$A,0))=""),"",F764/INDEX(F:F,MATCH(DATE(YEAR($A764)-1,MONTH($A764),DAY($A764)),$A:$A,0))-1),"")</f>
        <v/>
      </c>
      <c r="L764" s="19">
        <f>IFERROR(IF(OR(G764="",INDEX(G:G,MATCH(DATE(YEAR($A764)-1,MONTH($A764),DAY($A764)),$A:$A,0))=""),"",G764/INDEX(G:G,MATCH(DATE(YEAR($A764)-1,MONTH($A764),DAY($A764)),$A:$A,0))-1),"")</f>
        <v/>
      </c>
      <c r="M764" s="19">
        <f>IF(OR(E764="",E763=""),"",E764/E763-1)</f>
        <v/>
      </c>
      <c r="N764" s="19">
        <f>IF(OR(F764="",F763=""),"",F764/F763-1)</f>
        <v/>
      </c>
      <c r="O764" s="19">
        <f>IF(OR(G764="",G763=""),"",G764/G763-1)</f>
        <v/>
      </c>
      <c r="P764" s="22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IF(R764="","",P764/R764)</f>
        <v/>
      </c>
      <c r="T764" s="23">
        <f>IF(R764="","",Q764/R764)</f>
        <v/>
      </c>
      <c r="U764" s="24">
        <f>IF(SUMIFS('Daily NSE Equity Options'!$M:$M,'Daily NSE Equity Options'!$A:$A,$A764)=0,"",SUMIFS('Daily NSE Equity Options'!$M:$M,'Daily NSE Equity Options'!$A:$A,$A764))</f>
        <v/>
      </c>
      <c r="V764" s="9">
        <f>IF(SUMIFS('Daily BSE Equity Options'!$M:$M,'Daily BSE Equity Options'!$A:$A,$A764)=0,"",SUMIFS('Daily BSE Equity Options'!$M:$M,'Daily BSE Equity Options'!$A:$A,$A764))</f>
        <v/>
      </c>
      <c r="W764" s="9">
        <f>IF(OR(U764="",V764=""),"",U764+V764)</f>
        <v/>
      </c>
      <c r="X764" s="25">
        <f>IF(W764="","",U764/W764)</f>
        <v/>
      </c>
      <c r="Y764" s="25">
        <f>IF(W764="","",V764/W764)</f>
        <v/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19">
        <f>IF(G765="","",E765/G765)</f>
        <v/>
      </c>
      <c r="I765" s="19">
        <f>IF(G765="","",F765/G765)</f>
        <v/>
      </c>
      <c r="J765" s="26">
        <f>IFERROR(IF(OR(E765="",INDEX(E:E,MATCH(DATE(YEAR($A765)-1,MONTH($A765),DAY($A765)),$A:$A,0))=""),"",E765/INDEX(E:E,MATCH(DATE(YEAR($A765)-1,MONTH($A765),DAY($A765)),$A:$A,0))-1),"")</f>
        <v/>
      </c>
      <c r="K765" s="19">
        <f>IFERROR(IF(OR(F765="",INDEX(F:F,MATCH(DATE(YEAR($A765)-1,MONTH($A765),DAY($A765)),$A:$A,0))=""),"",F765/INDEX(F:F,MATCH(DATE(YEAR($A765)-1,MONTH($A765),DAY($A765)),$A:$A,0))-1),"")</f>
        <v/>
      </c>
      <c r="L765" s="19">
        <f>IFERROR(IF(OR(G765="",INDEX(G:G,MATCH(DATE(YEAR($A765)-1,MONTH($A765),DAY($A765)),$A:$A,0))=""),"",G765/INDEX(G:G,MATCH(DATE(YEAR($A765)-1,MONTH($A765),DAY($A765)),$A:$A,0))-1),"")</f>
        <v/>
      </c>
      <c r="M765" s="19">
        <f>IF(OR(E765="",E764=""),"",E765/E764-1)</f>
        <v/>
      </c>
      <c r="N765" s="19">
        <f>IF(OR(F765="",F764=""),"",F765/F764-1)</f>
        <v/>
      </c>
      <c r="O765" s="19">
        <f>IF(OR(G765="",G764=""),"",G765/G764-1)</f>
        <v/>
      </c>
      <c r="P765" s="22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IF(R765="","",P765/R765)</f>
        <v/>
      </c>
      <c r="T765" s="23">
        <f>IF(R765="","",Q765/R765)</f>
        <v/>
      </c>
      <c r="U765" s="24">
        <f>IF(SUMIFS('Daily NSE Equity Options'!$M:$M,'Daily NSE Equity Options'!$A:$A,$A765)=0,"",SUMIFS('Daily NSE Equity Options'!$M:$M,'Daily NSE Equity Options'!$A:$A,$A765))</f>
        <v/>
      </c>
      <c r="V765" s="9">
        <f>IF(SUMIFS('Daily BSE Equity Options'!$M:$M,'Daily BSE Equity Options'!$A:$A,$A765)=0,"",SUMIFS('Daily BSE Equity Options'!$M:$M,'Daily BSE Equity Options'!$A:$A,$A765))</f>
        <v/>
      </c>
      <c r="W765" s="9">
        <f>IF(OR(U765="",V765=""),"",U765+V765)</f>
        <v/>
      </c>
      <c r="X765" s="25">
        <f>IF(W765="","",U765/W765)</f>
        <v/>
      </c>
      <c r="Y765" s="25">
        <f>IF(W765="","",V765/W765)</f>
        <v/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19">
        <f>IF(G766="","",E766/G766)</f>
        <v/>
      </c>
      <c r="I766" s="19">
        <f>IF(G766="","",F766/G766)</f>
        <v/>
      </c>
      <c r="J766" s="26">
        <f>IFERROR(IF(OR(E766="",INDEX(E:E,MATCH(DATE(YEAR($A766)-1,MONTH($A766),DAY($A766)),$A:$A,0))=""),"",E766/INDEX(E:E,MATCH(DATE(YEAR($A766)-1,MONTH($A766),DAY($A766)),$A:$A,0))-1),"")</f>
        <v/>
      </c>
      <c r="K766" s="19">
        <f>IFERROR(IF(OR(F766="",INDEX(F:F,MATCH(DATE(YEAR($A766)-1,MONTH($A766),DAY($A766)),$A:$A,0))=""),"",F766/INDEX(F:F,MATCH(DATE(YEAR($A766)-1,MONTH($A766),DAY($A766)),$A:$A,0))-1),"")</f>
        <v/>
      </c>
      <c r="L766" s="19">
        <f>IFERROR(IF(OR(G766="",INDEX(G:G,MATCH(DATE(YEAR($A766)-1,MONTH($A766),DAY($A766)),$A:$A,0))=""),"",G766/INDEX(G:G,MATCH(DATE(YEAR($A766)-1,MONTH($A766),DAY($A766)),$A:$A,0))-1),"")</f>
        <v/>
      </c>
      <c r="M766" s="19">
        <f>IF(OR(E766="",E765=""),"",E766/E765-1)</f>
        <v/>
      </c>
      <c r="N766" s="19">
        <f>IF(OR(F766="",F765=""),"",F766/F765-1)</f>
        <v/>
      </c>
      <c r="O766" s="19">
        <f>IF(OR(G766="",G765=""),"",G766/G765-1)</f>
        <v/>
      </c>
      <c r="P766" s="22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IF(R766="","",P766/R766)</f>
        <v/>
      </c>
      <c r="T766" s="23">
        <f>IF(R766="","",Q766/R766)</f>
        <v/>
      </c>
      <c r="U766" s="24">
        <f>IF(SUMIFS('Daily NSE Equity Options'!$M:$M,'Daily NSE Equity Options'!$A:$A,$A766)=0,"",SUMIFS('Daily NSE Equity Options'!$M:$M,'Daily NSE Equity Options'!$A:$A,$A766))</f>
        <v/>
      </c>
      <c r="V766" s="9">
        <f>IF(SUMIFS('Daily BSE Equity Options'!$M:$M,'Daily BSE Equity Options'!$A:$A,$A766)=0,"",SUMIFS('Daily BSE Equity Options'!$M:$M,'Daily BSE Equity Options'!$A:$A,$A766))</f>
        <v/>
      </c>
      <c r="W766" s="9">
        <f>IF(OR(U766="",V766=""),"",U766+V766)</f>
        <v/>
      </c>
      <c r="X766" s="25">
        <f>IF(W766="","",U766/W766)</f>
        <v/>
      </c>
      <c r="Y766" s="25">
        <f>IF(W766="","",V766/W766)</f>
        <v/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19">
        <f>IF(G767="","",E767/G767)</f>
        <v/>
      </c>
      <c r="I767" s="19">
        <f>IF(G767="","",F767/G767)</f>
        <v/>
      </c>
      <c r="J767" s="26">
        <f>IFERROR(IF(OR(E767="",INDEX(E:E,MATCH(DATE(YEAR($A767)-1,MONTH($A767),DAY($A767)),$A:$A,0))=""),"",E767/INDEX(E:E,MATCH(DATE(YEAR($A767)-1,MONTH($A767),DAY($A767)),$A:$A,0))-1),"")</f>
        <v/>
      </c>
      <c r="K767" s="19">
        <f>IFERROR(IF(OR(F767="",INDEX(F:F,MATCH(DATE(YEAR($A767)-1,MONTH($A767),DAY($A767)),$A:$A,0))=""),"",F767/INDEX(F:F,MATCH(DATE(YEAR($A767)-1,MONTH($A767),DAY($A767)),$A:$A,0))-1),"")</f>
        <v/>
      </c>
      <c r="L767" s="19">
        <f>IFERROR(IF(OR(G767="",INDEX(G:G,MATCH(DATE(YEAR($A767)-1,MONTH($A767),DAY($A767)),$A:$A,0))=""),"",G767/INDEX(G:G,MATCH(DATE(YEAR($A767)-1,MONTH($A767),DAY($A767)),$A:$A,0))-1),"")</f>
        <v/>
      </c>
      <c r="M767" s="19">
        <f>IF(OR(E767="",E766=""),"",E767/E766-1)</f>
        <v/>
      </c>
      <c r="N767" s="19">
        <f>IF(OR(F767="",F766=""),"",F767/F766-1)</f>
        <v/>
      </c>
      <c r="O767" s="19">
        <f>IF(OR(G767="",G766=""),"",G767/G766-1)</f>
        <v/>
      </c>
      <c r="P767" s="22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IF(R767="","",P767/R767)</f>
        <v/>
      </c>
      <c r="T767" s="23">
        <f>IF(R767="","",Q767/R767)</f>
        <v/>
      </c>
      <c r="U767" s="24">
        <f>IF(SUMIFS('Daily NSE Equity Options'!$M:$M,'Daily NSE Equity Options'!$A:$A,$A767)=0,"",SUMIFS('Daily NSE Equity Options'!$M:$M,'Daily NSE Equity Options'!$A:$A,$A767))</f>
        <v/>
      </c>
      <c r="V767" s="9">
        <f>IF(SUMIFS('Daily BSE Equity Options'!$M:$M,'Daily BSE Equity Options'!$A:$A,$A767)=0,"",SUMIFS('Daily BSE Equity Options'!$M:$M,'Daily BSE Equity Options'!$A:$A,$A767))</f>
        <v/>
      </c>
      <c r="W767" s="9">
        <f>IF(OR(U767="",V767=""),"",U767+V767)</f>
        <v/>
      </c>
      <c r="X767" s="25">
        <f>IF(W767="","",U767/W767)</f>
        <v/>
      </c>
      <c r="Y767" s="25">
        <f>IF(W767="","",V767/W767)</f>
        <v/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19">
        <f>IF(G768="","",E768/G768)</f>
        <v/>
      </c>
      <c r="I768" s="19">
        <f>IF(G768="","",F768/G768)</f>
        <v/>
      </c>
      <c r="J768" s="26">
        <f>IFERROR(IF(OR(E768="",INDEX(E:E,MATCH(DATE(YEAR($A768)-1,MONTH($A768),DAY($A768)),$A:$A,0))=""),"",E768/INDEX(E:E,MATCH(DATE(YEAR($A768)-1,MONTH($A768),DAY($A768)),$A:$A,0))-1),"")</f>
        <v/>
      </c>
      <c r="K768" s="19">
        <f>IFERROR(IF(OR(F768="",INDEX(F:F,MATCH(DATE(YEAR($A768)-1,MONTH($A768),DAY($A768)),$A:$A,0))=""),"",F768/INDEX(F:F,MATCH(DATE(YEAR($A768)-1,MONTH($A768),DAY($A768)),$A:$A,0))-1),"")</f>
        <v/>
      </c>
      <c r="L768" s="19">
        <f>IFERROR(IF(OR(G768="",INDEX(G:G,MATCH(DATE(YEAR($A768)-1,MONTH($A768),DAY($A768)),$A:$A,0))=""),"",G768/INDEX(G:G,MATCH(DATE(YEAR($A768)-1,MONTH($A768),DAY($A768)),$A:$A,0))-1),"")</f>
        <v/>
      </c>
      <c r="M768" s="19">
        <f>IF(OR(E768="",E767=""),"",E768/E767-1)</f>
        <v/>
      </c>
      <c r="N768" s="19">
        <f>IF(OR(F768="",F767=""),"",F768/F767-1)</f>
        <v/>
      </c>
      <c r="O768" s="19">
        <f>IF(OR(G768="",G767=""),"",G768/G767-1)</f>
        <v/>
      </c>
      <c r="P768" s="22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IF(R768="","",P768/R768)</f>
        <v/>
      </c>
      <c r="T768" s="23">
        <f>IF(R768="","",Q768/R768)</f>
        <v/>
      </c>
      <c r="U768" s="24">
        <f>IF(SUMIFS('Daily NSE Equity Options'!$M:$M,'Daily NSE Equity Options'!$A:$A,$A768)=0,"",SUMIFS('Daily NSE Equity Options'!$M:$M,'Daily NSE Equity Options'!$A:$A,$A768))</f>
        <v/>
      </c>
      <c r="V768" s="9">
        <f>IF(SUMIFS('Daily BSE Equity Options'!$M:$M,'Daily BSE Equity Options'!$A:$A,$A768)=0,"",SUMIFS('Daily BSE Equity Options'!$M:$M,'Daily BSE Equity Options'!$A:$A,$A768))</f>
        <v/>
      </c>
      <c r="W768" s="9">
        <f>IF(OR(U768="",V768=""),"",U768+V768)</f>
        <v/>
      </c>
      <c r="X768" s="25">
        <f>IF(W768="","",U768/W768)</f>
        <v/>
      </c>
      <c r="Y768" s="25">
        <f>IF(W768="","",V768/W768)</f>
        <v/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19">
        <f>IF(G769="","",E769/G769)</f>
        <v/>
      </c>
      <c r="I769" s="19">
        <f>IF(G769="","",F769/G769)</f>
        <v/>
      </c>
      <c r="J769" s="26">
        <f>IFERROR(IF(OR(E769="",INDEX(E:E,MATCH(DATE(YEAR($A769)-1,MONTH($A769),DAY($A769)),$A:$A,0))=""),"",E769/INDEX(E:E,MATCH(DATE(YEAR($A769)-1,MONTH($A769),DAY($A769)),$A:$A,0))-1),"")</f>
        <v/>
      </c>
      <c r="K769" s="19">
        <f>IFERROR(IF(OR(F769="",INDEX(F:F,MATCH(DATE(YEAR($A769)-1,MONTH($A769),DAY($A769)),$A:$A,0))=""),"",F769/INDEX(F:F,MATCH(DATE(YEAR($A769)-1,MONTH($A769),DAY($A769)),$A:$A,0))-1),"")</f>
        <v/>
      </c>
      <c r="L769" s="19">
        <f>IFERROR(IF(OR(G769="",INDEX(G:G,MATCH(DATE(YEAR($A769)-1,MONTH($A769),DAY($A769)),$A:$A,0))=""),"",G769/INDEX(G:G,MATCH(DATE(YEAR($A769)-1,MONTH($A769),DAY($A769)),$A:$A,0))-1),"")</f>
        <v/>
      </c>
      <c r="M769" s="19">
        <f>IF(OR(E769="",E768=""),"",E769/E768-1)</f>
        <v/>
      </c>
      <c r="N769" s="19">
        <f>IF(OR(F769="",F768=""),"",F769/F768-1)</f>
        <v/>
      </c>
      <c r="O769" s="19">
        <f>IF(OR(G769="",G768=""),"",G769/G768-1)</f>
        <v/>
      </c>
      <c r="P769" s="22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IF(R769="","",P769/R769)</f>
        <v/>
      </c>
      <c r="T769" s="23">
        <f>IF(R769="","",Q769/R769)</f>
        <v/>
      </c>
      <c r="U769" s="24">
        <f>IF(SUMIFS('Daily NSE Equity Options'!$M:$M,'Daily NSE Equity Options'!$A:$A,$A769)=0,"",SUMIFS('Daily NSE Equity Options'!$M:$M,'Daily NSE Equity Options'!$A:$A,$A769))</f>
        <v/>
      </c>
      <c r="V769" s="9">
        <f>IF(SUMIFS('Daily BSE Equity Options'!$M:$M,'Daily BSE Equity Options'!$A:$A,$A769)=0,"",SUMIFS('Daily BSE Equity Options'!$M:$M,'Daily BSE Equity Options'!$A:$A,$A769))</f>
        <v/>
      </c>
      <c r="W769" s="9">
        <f>IF(OR(U769="",V769=""),"",U769+V769)</f>
        <v/>
      </c>
      <c r="X769" s="25">
        <f>IF(W769="","",U769/W769)</f>
        <v/>
      </c>
      <c r="Y769" s="25">
        <f>IF(W769="","",V769/W769)</f>
        <v/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19">
        <f>IF(G770="","",E770/G770)</f>
        <v/>
      </c>
      <c r="I770" s="19">
        <f>IF(G770="","",F770/G770)</f>
        <v/>
      </c>
      <c r="J770" s="26">
        <f>IFERROR(IF(OR(E770="",INDEX(E:E,MATCH(DATE(YEAR($A770)-1,MONTH($A770),DAY($A770)),$A:$A,0))=""),"",E770/INDEX(E:E,MATCH(DATE(YEAR($A770)-1,MONTH($A770),DAY($A770)),$A:$A,0))-1),"")</f>
        <v/>
      </c>
      <c r="K770" s="19">
        <f>IFERROR(IF(OR(F770="",INDEX(F:F,MATCH(DATE(YEAR($A770)-1,MONTH($A770),DAY($A770)),$A:$A,0))=""),"",F770/INDEX(F:F,MATCH(DATE(YEAR($A770)-1,MONTH($A770),DAY($A770)),$A:$A,0))-1),"")</f>
        <v/>
      </c>
      <c r="L770" s="19">
        <f>IFERROR(IF(OR(G770="",INDEX(G:G,MATCH(DATE(YEAR($A770)-1,MONTH($A770),DAY($A770)),$A:$A,0))=""),"",G770/INDEX(G:G,MATCH(DATE(YEAR($A770)-1,MONTH($A770),DAY($A770)),$A:$A,0))-1),"")</f>
        <v/>
      </c>
      <c r="M770" s="19">
        <f>IF(OR(E770="",E769=""),"",E770/E769-1)</f>
        <v/>
      </c>
      <c r="N770" s="19">
        <f>IF(OR(F770="",F769=""),"",F770/F769-1)</f>
        <v/>
      </c>
      <c r="O770" s="19">
        <f>IF(OR(G770="",G769=""),"",G770/G769-1)</f>
        <v/>
      </c>
      <c r="P770" s="22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IF(R770="","",P770/R770)</f>
        <v/>
      </c>
      <c r="T770" s="23">
        <f>IF(R770="","",Q770/R770)</f>
        <v/>
      </c>
      <c r="U770" s="24">
        <f>IF(SUMIFS('Daily NSE Equity Options'!$M:$M,'Daily NSE Equity Options'!$A:$A,$A770)=0,"",SUMIFS('Daily NSE Equity Options'!$M:$M,'Daily NSE Equity Options'!$A:$A,$A770))</f>
        <v/>
      </c>
      <c r="V770" s="9">
        <f>IF(SUMIFS('Daily BSE Equity Options'!$M:$M,'Daily BSE Equity Options'!$A:$A,$A770)=0,"",SUMIFS('Daily BSE Equity Options'!$M:$M,'Daily BSE Equity Options'!$A:$A,$A770))</f>
        <v/>
      </c>
      <c r="W770" s="9">
        <f>IF(OR(U770="",V770=""),"",U770+V770)</f>
        <v/>
      </c>
      <c r="X770" s="25">
        <f>IF(W770="","",U770/W770)</f>
        <v/>
      </c>
      <c r="Y770" s="25">
        <f>IF(W770="","",V770/W770)</f>
        <v/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19">
        <f>IF(G771="","",E771/G771)</f>
        <v/>
      </c>
      <c r="I771" s="19">
        <f>IF(G771="","",F771/G771)</f>
        <v/>
      </c>
      <c r="J771" s="26">
        <f>IFERROR(IF(OR(E771="",INDEX(E:E,MATCH(DATE(YEAR($A771)-1,MONTH($A771),DAY($A771)),$A:$A,0))=""),"",E771/INDEX(E:E,MATCH(DATE(YEAR($A771)-1,MONTH($A771),DAY($A771)),$A:$A,0))-1),"")</f>
        <v/>
      </c>
      <c r="K771" s="19">
        <f>IFERROR(IF(OR(F771="",INDEX(F:F,MATCH(DATE(YEAR($A771)-1,MONTH($A771),DAY($A771)),$A:$A,0))=""),"",F771/INDEX(F:F,MATCH(DATE(YEAR($A771)-1,MONTH($A771),DAY($A771)),$A:$A,0))-1),"")</f>
        <v/>
      </c>
      <c r="L771" s="19">
        <f>IFERROR(IF(OR(G771="",INDEX(G:G,MATCH(DATE(YEAR($A771)-1,MONTH($A771),DAY($A771)),$A:$A,0))=""),"",G771/INDEX(G:G,MATCH(DATE(YEAR($A771)-1,MONTH($A771),DAY($A771)),$A:$A,0))-1),"")</f>
        <v/>
      </c>
      <c r="M771" s="19">
        <f>IF(OR(E771="",E770=""),"",E771/E770-1)</f>
        <v/>
      </c>
      <c r="N771" s="19">
        <f>IF(OR(F771="",F770=""),"",F771/F770-1)</f>
        <v/>
      </c>
      <c r="O771" s="19">
        <f>IF(OR(G771="",G770=""),"",G771/G770-1)</f>
        <v/>
      </c>
      <c r="P771" s="22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IF(R771="","",P771/R771)</f>
        <v/>
      </c>
      <c r="T771" s="23">
        <f>IF(R771="","",Q771/R771)</f>
        <v/>
      </c>
      <c r="U771" s="24">
        <f>IF(SUMIFS('Daily NSE Equity Options'!$M:$M,'Daily NSE Equity Options'!$A:$A,$A771)=0,"",SUMIFS('Daily NSE Equity Options'!$M:$M,'Daily NSE Equity Options'!$A:$A,$A771))</f>
        <v/>
      </c>
      <c r="V771" s="9">
        <f>IF(SUMIFS('Daily BSE Equity Options'!$M:$M,'Daily BSE Equity Options'!$A:$A,$A771)=0,"",SUMIFS('Daily BSE Equity Options'!$M:$M,'Daily BSE Equity Options'!$A:$A,$A771))</f>
        <v/>
      </c>
      <c r="W771" s="9">
        <f>IF(OR(U771="",V771=""),"",U771+V771)</f>
        <v/>
      </c>
      <c r="X771" s="25">
        <f>IF(W771="","",U771/W771)</f>
        <v/>
      </c>
      <c r="Y771" s="25">
        <f>IF(W771="","",V771/W771)</f>
        <v/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19">
        <f>IF(G772="","",E772/G772)</f>
        <v/>
      </c>
      <c r="I772" s="19">
        <f>IF(G772="","",F772/G772)</f>
        <v/>
      </c>
      <c r="J772" s="26">
        <f>IFERROR(IF(OR(E772="",INDEX(E:E,MATCH(DATE(YEAR($A772)-1,MONTH($A772),DAY($A772)),$A:$A,0))=""),"",E772/INDEX(E:E,MATCH(DATE(YEAR($A772)-1,MONTH($A772),DAY($A772)),$A:$A,0))-1),"")</f>
        <v/>
      </c>
      <c r="K772" s="19">
        <f>IFERROR(IF(OR(F772="",INDEX(F:F,MATCH(DATE(YEAR($A772)-1,MONTH($A772),DAY($A772)),$A:$A,0))=""),"",F772/INDEX(F:F,MATCH(DATE(YEAR($A772)-1,MONTH($A772),DAY($A772)),$A:$A,0))-1),"")</f>
        <v/>
      </c>
      <c r="L772" s="19">
        <f>IFERROR(IF(OR(G772="",INDEX(G:G,MATCH(DATE(YEAR($A772)-1,MONTH($A772),DAY($A772)),$A:$A,0))=""),"",G772/INDEX(G:G,MATCH(DATE(YEAR($A772)-1,MONTH($A772),DAY($A772)),$A:$A,0))-1),"")</f>
        <v/>
      </c>
      <c r="M772" s="19">
        <f>IF(OR(E772="",E771=""),"",E772/E771-1)</f>
        <v/>
      </c>
      <c r="N772" s="19">
        <f>IF(OR(F772="",F771=""),"",F772/F771-1)</f>
        <v/>
      </c>
      <c r="O772" s="19">
        <f>IF(OR(G772="",G771=""),"",G772/G771-1)</f>
        <v/>
      </c>
      <c r="P772" s="22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IF(R772="","",P772/R772)</f>
        <v/>
      </c>
      <c r="T772" s="23">
        <f>IF(R772="","",Q772/R772)</f>
        <v/>
      </c>
      <c r="U772" s="24">
        <f>IF(SUMIFS('Daily NSE Equity Options'!$M:$M,'Daily NSE Equity Options'!$A:$A,$A772)=0,"",SUMIFS('Daily NSE Equity Options'!$M:$M,'Daily NSE Equity Options'!$A:$A,$A772))</f>
        <v/>
      </c>
      <c r="V772" s="9">
        <f>IF(SUMIFS('Daily BSE Equity Options'!$M:$M,'Daily BSE Equity Options'!$A:$A,$A772)=0,"",SUMIFS('Daily BSE Equity Options'!$M:$M,'Daily BSE Equity Options'!$A:$A,$A772))</f>
        <v/>
      </c>
      <c r="W772" s="9">
        <f>IF(OR(U772="",V772=""),"",U772+V772)</f>
        <v/>
      </c>
      <c r="X772" s="25">
        <f>IF(W772="","",U772/W772)</f>
        <v/>
      </c>
      <c r="Y772" s="25">
        <f>IF(W772="","",V772/W772)</f>
        <v/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19">
        <f>IF(G773="","",E773/G773)</f>
        <v/>
      </c>
      <c r="I773" s="19">
        <f>IF(G773="","",F773/G773)</f>
        <v/>
      </c>
      <c r="J773" s="26">
        <f>IFERROR(IF(OR(E773="",INDEX(E:E,MATCH(DATE(YEAR($A773)-1,MONTH($A773),DAY($A773)),$A:$A,0))=""),"",E773/INDEX(E:E,MATCH(DATE(YEAR($A773)-1,MONTH($A773),DAY($A773)),$A:$A,0))-1),"")</f>
        <v/>
      </c>
      <c r="K773" s="19">
        <f>IFERROR(IF(OR(F773="",INDEX(F:F,MATCH(DATE(YEAR($A773)-1,MONTH($A773),DAY($A773)),$A:$A,0))=""),"",F773/INDEX(F:F,MATCH(DATE(YEAR($A773)-1,MONTH($A773),DAY($A773)),$A:$A,0))-1),"")</f>
        <v/>
      </c>
      <c r="L773" s="19">
        <f>IFERROR(IF(OR(G773="",INDEX(G:G,MATCH(DATE(YEAR($A773)-1,MONTH($A773),DAY($A773)),$A:$A,0))=""),"",G773/INDEX(G:G,MATCH(DATE(YEAR($A773)-1,MONTH($A773),DAY($A773)),$A:$A,0))-1),"")</f>
        <v/>
      </c>
      <c r="M773" s="19">
        <f>IF(OR(E773="",E772=""),"",E773/E772-1)</f>
        <v/>
      </c>
      <c r="N773" s="19">
        <f>IF(OR(F773="",F772=""),"",F773/F772-1)</f>
        <v/>
      </c>
      <c r="O773" s="19">
        <f>IF(OR(G773="",G772=""),"",G773/G772-1)</f>
        <v/>
      </c>
      <c r="P773" s="22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IF(R773="","",P773/R773)</f>
        <v/>
      </c>
      <c r="T773" s="23">
        <f>IF(R773="","",Q773/R773)</f>
        <v/>
      </c>
      <c r="U773" s="24">
        <f>IF(SUMIFS('Daily NSE Equity Options'!$M:$M,'Daily NSE Equity Options'!$A:$A,$A773)=0,"",SUMIFS('Daily NSE Equity Options'!$M:$M,'Daily NSE Equity Options'!$A:$A,$A773))</f>
        <v/>
      </c>
      <c r="V773" s="9">
        <f>IF(SUMIFS('Daily BSE Equity Options'!$M:$M,'Daily BSE Equity Options'!$A:$A,$A773)=0,"",SUMIFS('Daily BSE Equity Options'!$M:$M,'Daily BSE Equity Options'!$A:$A,$A773))</f>
        <v/>
      </c>
      <c r="W773" s="9">
        <f>IF(OR(U773="",V773=""),"",U773+V773)</f>
        <v/>
      </c>
      <c r="X773" s="25">
        <f>IF(W773="","",U773/W773)</f>
        <v/>
      </c>
      <c r="Y773" s="25">
        <f>IF(W773="","",V773/W773)</f>
        <v/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19">
        <f>IF(G774="","",E774/G774)</f>
        <v/>
      </c>
      <c r="I774" s="19">
        <f>IF(G774="","",F774/G774)</f>
        <v/>
      </c>
      <c r="J774" s="26">
        <f>IFERROR(IF(OR(E774="",INDEX(E:E,MATCH(DATE(YEAR($A774)-1,MONTH($A774),DAY($A774)),$A:$A,0))=""),"",E774/INDEX(E:E,MATCH(DATE(YEAR($A774)-1,MONTH($A774),DAY($A774)),$A:$A,0))-1),"")</f>
        <v/>
      </c>
      <c r="K774" s="19">
        <f>IFERROR(IF(OR(F774="",INDEX(F:F,MATCH(DATE(YEAR($A774)-1,MONTH($A774),DAY($A774)),$A:$A,0))=""),"",F774/INDEX(F:F,MATCH(DATE(YEAR($A774)-1,MONTH($A774),DAY($A774)),$A:$A,0))-1),"")</f>
        <v/>
      </c>
      <c r="L774" s="19">
        <f>IFERROR(IF(OR(G774="",INDEX(G:G,MATCH(DATE(YEAR($A774)-1,MONTH($A774),DAY($A774)),$A:$A,0))=""),"",G774/INDEX(G:G,MATCH(DATE(YEAR($A774)-1,MONTH($A774),DAY($A774)),$A:$A,0))-1),"")</f>
        <v/>
      </c>
      <c r="M774" s="19">
        <f>IF(OR(E774="",E773=""),"",E774/E773-1)</f>
        <v/>
      </c>
      <c r="N774" s="19">
        <f>IF(OR(F774="",F773=""),"",F774/F773-1)</f>
        <v/>
      </c>
      <c r="O774" s="19">
        <f>IF(OR(G774="",G773=""),"",G774/G773-1)</f>
        <v/>
      </c>
      <c r="P774" s="22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IF(R774="","",P774/R774)</f>
        <v/>
      </c>
      <c r="T774" s="23">
        <f>IF(R774="","",Q774/R774)</f>
        <v/>
      </c>
      <c r="U774" s="24">
        <f>IF(SUMIFS('Daily NSE Equity Options'!$M:$M,'Daily NSE Equity Options'!$A:$A,$A774)=0,"",SUMIFS('Daily NSE Equity Options'!$M:$M,'Daily NSE Equity Options'!$A:$A,$A774))</f>
        <v/>
      </c>
      <c r="V774" s="9">
        <f>IF(SUMIFS('Daily BSE Equity Options'!$M:$M,'Daily BSE Equity Options'!$A:$A,$A774)=0,"",SUMIFS('Daily BSE Equity Options'!$M:$M,'Daily BSE Equity Options'!$A:$A,$A774))</f>
        <v/>
      </c>
      <c r="W774" s="9">
        <f>IF(OR(U774="",V774=""),"",U774+V774)</f>
        <v/>
      </c>
      <c r="X774" s="25">
        <f>IF(W774="","",U774/W774)</f>
        <v/>
      </c>
      <c r="Y774" s="25">
        <f>IF(W774="","",V774/W774)</f>
        <v/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19">
        <f>IF(G775="","",E775/G775)</f>
        <v/>
      </c>
      <c r="I775" s="19">
        <f>IF(G775="","",F775/G775)</f>
        <v/>
      </c>
      <c r="J775" s="26">
        <f>IFERROR(IF(OR(E775="",INDEX(E:E,MATCH(DATE(YEAR($A775)-1,MONTH($A775),DAY($A775)),$A:$A,0))=""),"",E775/INDEX(E:E,MATCH(DATE(YEAR($A775)-1,MONTH($A775),DAY($A775)),$A:$A,0))-1),"")</f>
        <v/>
      </c>
      <c r="K775" s="19">
        <f>IFERROR(IF(OR(F775="",INDEX(F:F,MATCH(DATE(YEAR($A775)-1,MONTH($A775),DAY($A775)),$A:$A,0))=""),"",F775/INDEX(F:F,MATCH(DATE(YEAR($A775)-1,MONTH($A775),DAY($A775)),$A:$A,0))-1),"")</f>
        <v/>
      </c>
      <c r="L775" s="19">
        <f>IFERROR(IF(OR(G775="",INDEX(G:G,MATCH(DATE(YEAR($A775)-1,MONTH($A775),DAY($A775)),$A:$A,0))=""),"",G775/INDEX(G:G,MATCH(DATE(YEAR($A775)-1,MONTH($A775),DAY($A775)),$A:$A,0))-1),"")</f>
        <v/>
      </c>
      <c r="M775" s="19">
        <f>IF(OR(E775="",E774=""),"",E775/E774-1)</f>
        <v/>
      </c>
      <c r="N775" s="19">
        <f>IF(OR(F775="",F774=""),"",F775/F774-1)</f>
        <v/>
      </c>
      <c r="O775" s="19">
        <f>IF(OR(G775="",G774=""),"",G775/G774-1)</f>
        <v/>
      </c>
      <c r="P775" s="22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IF(R775="","",P775/R775)</f>
        <v/>
      </c>
      <c r="T775" s="23">
        <f>IF(R775="","",Q775/R775)</f>
        <v/>
      </c>
      <c r="U775" s="24">
        <f>IF(SUMIFS('Daily NSE Equity Options'!$M:$M,'Daily NSE Equity Options'!$A:$A,$A775)=0,"",SUMIFS('Daily NSE Equity Options'!$M:$M,'Daily NSE Equity Options'!$A:$A,$A775))</f>
        <v/>
      </c>
      <c r="V775" s="9">
        <f>IF(SUMIFS('Daily BSE Equity Options'!$M:$M,'Daily BSE Equity Options'!$A:$A,$A775)=0,"",SUMIFS('Daily BSE Equity Options'!$M:$M,'Daily BSE Equity Options'!$A:$A,$A775))</f>
        <v/>
      </c>
      <c r="W775" s="9">
        <f>IF(OR(U775="",V775=""),"",U775+V775)</f>
        <v/>
      </c>
      <c r="X775" s="25">
        <f>IF(W775="","",U775/W775)</f>
        <v/>
      </c>
      <c r="Y775" s="25">
        <f>IF(W775="","",V775/W775)</f>
        <v/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19">
        <f>IF(G776="","",E776/G776)</f>
        <v/>
      </c>
      <c r="I776" s="19">
        <f>IF(G776="","",F776/G776)</f>
        <v/>
      </c>
      <c r="J776" s="26">
        <f>IFERROR(IF(OR(E776="",INDEX(E:E,MATCH(DATE(YEAR($A776)-1,MONTH($A776),DAY($A776)),$A:$A,0))=""),"",E776/INDEX(E:E,MATCH(DATE(YEAR($A776)-1,MONTH($A776),DAY($A776)),$A:$A,0))-1),"")</f>
        <v/>
      </c>
      <c r="K776" s="19">
        <f>IFERROR(IF(OR(F776="",INDEX(F:F,MATCH(DATE(YEAR($A776)-1,MONTH($A776),DAY($A776)),$A:$A,0))=""),"",F776/INDEX(F:F,MATCH(DATE(YEAR($A776)-1,MONTH($A776),DAY($A776)),$A:$A,0))-1),"")</f>
        <v/>
      </c>
      <c r="L776" s="19">
        <f>IFERROR(IF(OR(G776="",INDEX(G:G,MATCH(DATE(YEAR($A776)-1,MONTH($A776),DAY($A776)),$A:$A,0))=""),"",G776/INDEX(G:G,MATCH(DATE(YEAR($A776)-1,MONTH($A776),DAY($A776)),$A:$A,0))-1),"")</f>
        <v/>
      </c>
      <c r="M776" s="19">
        <f>IF(OR(E776="",E775=""),"",E776/E775-1)</f>
        <v/>
      </c>
      <c r="N776" s="19">
        <f>IF(OR(F776="",F775=""),"",F776/F775-1)</f>
        <v/>
      </c>
      <c r="O776" s="19">
        <f>IF(OR(G776="",G775=""),"",G776/G775-1)</f>
        <v/>
      </c>
      <c r="P776" s="22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IF(R776="","",P776/R776)</f>
        <v/>
      </c>
      <c r="T776" s="23">
        <f>IF(R776="","",Q776/R776)</f>
        <v/>
      </c>
      <c r="U776" s="24">
        <f>IF(SUMIFS('Daily NSE Equity Options'!$M:$M,'Daily NSE Equity Options'!$A:$A,$A776)=0,"",SUMIFS('Daily NSE Equity Options'!$M:$M,'Daily NSE Equity Options'!$A:$A,$A776))</f>
        <v/>
      </c>
      <c r="V776" s="9">
        <f>IF(SUMIFS('Daily BSE Equity Options'!$M:$M,'Daily BSE Equity Options'!$A:$A,$A776)=0,"",SUMIFS('Daily BSE Equity Options'!$M:$M,'Daily BSE Equity Options'!$A:$A,$A776))</f>
        <v/>
      </c>
      <c r="W776" s="9">
        <f>IF(OR(U776="",V776=""),"",U776+V776)</f>
        <v/>
      </c>
      <c r="X776" s="25">
        <f>IF(W776="","",U776/W776)</f>
        <v/>
      </c>
      <c r="Y776" s="25">
        <f>IF(W776="","",V776/W776)</f>
        <v/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19">
        <f>IF(G777="","",E777/G777)</f>
        <v/>
      </c>
      <c r="I777" s="19">
        <f>IF(G777="","",F777/G777)</f>
        <v/>
      </c>
      <c r="J777" s="26">
        <f>IFERROR(IF(OR(E777="",INDEX(E:E,MATCH(DATE(YEAR($A777)-1,MONTH($A777),DAY($A777)),$A:$A,0))=""),"",E777/INDEX(E:E,MATCH(DATE(YEAR($A777)-1,MONTH($A777),DAY($A777)),$A:$A,0))-1),"")</f>
        <v/>
      </c>
      <c r="K777" s="19">
        <f>IFERROR(IF(OR(F777="",INDEX(F:F,MATCH(DATE(YEAR($A777)-1,MONTH($A777),DAY($A777)),$A:$A,0))=""),"",F777/INDEX(F:F,MATCH(DATE(YEAR($A777)-1,MONTH($A777),DAY($A777)),$A:$A,0))-1),"")</f>
        <v/>
      </c>
      <c r="L777" s="19">
        <f>IFERROR(IF(OR(G777="",INDEX(G:G,MATCH(DATE(YEAR($A777)-1,MONTH($A777),DAY($A777)),$A:$A,0))=""),"",G777/INDEX(G:G,MATCH(DATE(YEAR($A777)-1,MONTH($A777),DAY($A777)),$A:$A,0))-1),"")</f>
        <v/>
      </c>
      <c r="M777" s="19">
        <f>IF(OR(E777="",E776=""),"",E777/E776-1)</f>
        <v/>
      </c>
      <c r="N777" s="19">
        <f>IF(OR(F777="",F776=""),"",F777/F776-1)</f>
        <v/>
      </c>
      <c r="O777" s="19">
        <f>IF(OR(G777="",G776=""),"",G777/G776-1)</f>
        <v/>
      </c>
      <c r="P777" s="22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IF(R777="","",P777/R777)</f>
        <v/>
      </c>
      <c r="T777" s="23">
        <f>IF(R777="","",Q777/R777)</f>
        <v/>
      </c>
      <c r="U777" s="24">
        <f>IF(SUMIFS('Daily NSE Equity Options'!$M:$M,'Daily NSE Equity Options'!$A:$A,$A777)=0,"",SUMIFS('Daily NSE Equity Options'!$M:$M,'Daily NSE Equity Options'!$A:$A,$A777))</f>
        <v/>
      </c>
      <c r="V777" s="9">
        <f>IF(SUMIFS('Daily BSE Equity Options'!$M:$M,'Daily BSE Equity Options'!$A:$A,$A777)=0,"",SUMIFS('Daily BSE Equity Options'!$M:$M,'Daily BSE Equity Options'!$A:$A,$A777))</f>
        <v/>
      </c>
      <c r="W777" s="9">
        <f>IF(OR(U777="",V777=""),"",U777+V777)</f>
        <v/>
      </c>
      <c r="X777" s="25">
        <f>IF(W777="","",U777/W777)</f>
        <v/>
      </c>
      <c r="Y777" s="25">
        <f>IF(W777="","",V777/W777)</f>
        <v/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19">
        <f>IF(G778="","",E778/G778)</f>
        <v/>
      </c>
      <c r="I778" s="19">
        <f>IF(G778="","",F778/G778)</f>
        <v/>
      </c>
      <c r="J778" s="26">
        <f>IFERROR(IF(OR(E778="",INDEX(E:E,MATCH(DATE(YEAR($A778)-1,MONTH($A778),DAY($A778)),$A:$A,0))=""),"",E778/INDEX(E:E,MATCH(DATE(YEAR($A778)-1,MONTH($A778),DAY($A778)),$A:$A,0))-1),"")</f>
        <v/>
      </c>
      <c r="K778" s="19">
        <f>IFERROR(IF(OR(F778="",INDEX(F:F,MATCH(DATE(YEAR($A778)-1,MONTH($A778),DAY($A778)),$A:$A,0))=""),"",F778/INDEX(F:F,MATCH(DATE(YEAR($A778)-1,MONTH($A778),DAY($A778)),$A:$A,0))-1),"")</f>
        <v/>
      </c>
      <c r="L778" s="19">
        <f>IFERROR(IF(OR(G778="",INDEX(G:G,MATCH(DATE(YEAR($A778)-1,MONTH($A778),DAY($A778)),$A:$A,0))=""),"",G778/INDEX(G:G,MATCH(DATE(YEAR($A778)-1,MONTH($A778),DAY($A778)),$A:$A,0))-1),"")</f>
        <v/>
      </c>
      <c r="M778" s="19">
        <f>IF(OR(E778="",E777=""),"",E778/E777-1)</f>
        <v/>
      </c>
      <c r="N778" s="19">
        <f>IF(OR(F778="",F777=""),"",F778/F777-1)</f>
        <v/>
      </c>
      <c r="O778" s="19">
        <f>IF(OR(G778="",G777=""),"",G778/G777-1)</f>
        <v/>
      </c>
      <c r="P778" s="22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IF(R778="","",P778/R778)</f>
        <v/>
      </c>
      <c r="T778" s="23">
        <f>IF(R778="","",Q778/R778)</f>
        <v/>
      </c>
      <c r="U778" s="24">
        <f>IF(SUMIFS('Daily NSE Equity Options'!$M:$M,'Daily NSE Equity Options'!$A:$A,$A778)=0,"",SUMIFS('Daily NSE Equity Options'!$M:$M,'Daily NSE Equity Options'!$A:$A,$A778))</f>
        <v/>
      </c>
      <c r="V778" s="9">
        <f>IF(SUMIFS('Daily BSE Equity Options'!$M:$M,'Daily BSE Equity Options'!$A:$A,$A778)=0,"",SUMIFS('Daily BSE Equity Options'!$M:$M,'Daily BSE Equity Options'!$A:$A,$A778))</f>
        <v/>
      </c>
      <c r="W778" s="9">
        <f>IF(OR(U778="",V778=""),"",U778+V778)</f>
        <v/>
      </c>
      <c r="X778" s="25">
        <f>IF(W778="","",U778/W778)</f>
        <v/>
      </c>
      <c r="Y778" s="25">
        <f>IF(W778="","",V778/W778)</f>
        <v/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19">
        <f>IF(G779="","",E779/G779)</f>
        <v/>
      </c>
      <c r="I779" s="19">
        <f>IF(G779="","",F779/G779)</f>
        <v/>
      </c>
      <c r="J779" s="26">
        <f>IFERROR(IF(OR(E779="",INDEX(E:E,MATCH(DATE(YEAR($A779)-1,MONTH($A779),DAY($A779)),$A:$A,0))=""),"",E779/INDEX(E:E,MATCH(DATE(YEAR($A779)-1,MONTH($A779),DAY($A779)),$A:$A,0))-1),"")</f>
        <v/>
      </c>
      <c r="K779" s="19">
        <f>IFERROR(IF(OR(F779="",INDEX(F:F,MATCH(DATE(YEAR($A779)-1,MONTH($A779),DAY($A779)),$A:$A,0))=""),"",F779/INDEX(F:F,MATCH(DATE(YEAR($A779)-1,MONTH($A779),DAY($A779)),$A:$A,0))-1),"")</f>
        <v/>
      </c>
      <c r="L779" s="19">
        <f>IFERROR(IF(OR(G779="",INDEX(G:G,MATCH(DATE(YEAR($A779)-1,MONTH($A779),DAY($A779)),$A:$A,0))=""),"",G779/INDEX(G:G,MATCH(DATE(YEAR($A779)-1,MONTH($A779),DAY($A779)),$A:$A,0))-1),"")</f>
        <v/>
      </c>
      <c r="M779" s="19">
        <f>IF(OR(E779="",E778=""),"",E779/E778-1)</f>
        <v/>
      </c>
      <c r="N779" s="19">
        <f>IF(OR(F779="",F778=""),"",F779/F778-1)</f>
        <v/>
      </c>
      <c r="O779" s="19">
        <f>IF(OR(G779="",G778=""),"",G779/G778-1)</f>
        <v/>
      </c>
      <c r="P779" s="22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IF(R779="","",P779/R779)</f>
        <v/>
      </c>
      <c r="T779" s="23">
        <f>IF(R779="","",Q779/R779)</f>
        <v/>
      </c>
      <c r="U779" s="24">
        <f>IF(SUMIFS('Daily NSE Equity Options'!$M:$M,'Daily NSE Equity Options'!$A:$A,$A779)=0,"",SUMIFS('Daily NSE Equity Options'!$M:$M,'Daily NSE Equity Options'!$A:$A,$A779))</f>
        <v/>
      </c>
      <c r="V779" s="9">
        <f>IF(SUMIFS('Daily BSE Equity Options'!$M:$M,'Daily BSE Equity Options'!$A:$A,$A779)=0,"",SUMIFS('Daily BSE Equity Options'!$M:$M,'Daily BSE Equity Options'!$A:$A,$A779))</f>
        <v/>
      </c>
      <c r="W779" s="9">
        <f>IF(OR(U779="",V779=""),"",U779+V779)</f>
        <v/>
      </c>
      <c r="X779" s="25">
        <f>IF(W779="","",U779/W779)</f>
        <v/>
      </c>
      <c r="Y779" s="25">
        <f>IF(W779="","",V779/W779)</f>
        <v/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19">
        <f>IF(G780="","",E780/G780)</f>
        <v/>
      </c>
      <c r="I780" s="19">
        <f>IF(G780="","",F780/G780)</f>
        <v/>
      </c>
      <c r="J780" s="26">
        <f>IFERROR(IF(OR(E780="",INDEX(E:E,MATCH(DATE(YEAR($A780)-1,MONTH($A780),DAY($A780)),$A:$A,0))=""),"",E780/INDEX(E:E,MATCH(DATE(YEAR($A780)-1,MONTH($A780),DAY($A780)),$A:$A,0))-1),"")</f>
        <v/>
      </c>
      <c r="K780" s="19">
        <f>IFERROR(IF(OR(F780="",INDEX(F:F,MATCH(DATE(YEAR($A780)-1,MONTH($A780),DAY($A780)),$A:$A,0))=""),"",F780/INDEX(F:F,MATCH(DATE(YEAR($A780)-1,MONTH($A780),DAY($A780)),$A:$A,0))-1),"")</f>
        <v/>
      </c>
      <c r="L780" s="19">
        <f>IFERROR(IF(OR(G780="",INDEX(G:G,MATCH(DATE(YEAR($A780)-1,MONTH($A780),DAY($A780)),$A:$A,0))=""),"",G780/INDEX(G:G,MATCH(DATE(YEAR($A780)-1,MONTH($A780),DAY($A780)),$A:$A,0))-1),"")</f>
        <v/>
      </c>
      <c r="M780" s="19">
        <f>IF(OR(E780="",E779=""),"",E780/E779-1)</f>
        <v/>
      </c>
      <c r="N780" s="19">
        <f>IF(OR(F780="",F779=""),"",F780/F779-1)</f>
        <v/>
      </c>
      <c r="O780" s="19">
        <f>IF(OR(G780="",G779=""),"",G780/G779-1)</f>
        <v/>
      </c>
      <c r="P780" s="22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IF(R780="","",P780/R780)</f>
        <v/>
      </c>
      <c r="T780" s="23">
        <f>IF(R780="","",Q780/R780)</f>
        <v/>
      </c>
      <c r="U780" s="24">
        <f>IF(SUMIFS('Daily NSE Equity Options'!$M:$M,'Daily NSE Equity Options'!$A:$A,$A780)=0,"",SUMIFS('Daily NSE Equity Options'!$M:$M,'Daily NSE Equity Options'!$A:$A,$A780))</f>
        <v/>
      </c>
      <c r="V780" s="9">
        <f>IF(SUMIFS('Daily BSE Equity Options'!$M:$M,'Daily BSE Equity Options'!$A:$A,$A780)=0,"",SUMIFS('Daily BSE Equity Options'!$M:$M,'Daily BSE Equity Options'!$A:$A,$A780))</f>
        <v/>
      </c>
      <c r="W780" s="9">
        <f>IF(OR(U780="",V780=""),"",U780+V780)</f>
        <v/>
      </c>
      <c r="X780" s="25">
        <f>IF(W780="","",U780/W780)</f>
        <v/>
      </c>
      <c r="Y780" s="25">
        <f>IF(W780="","",V780/W780)</f>
        <v/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19">
        <f>IF(G781="","",E781/G781)</f>
        <v/>
      </c>
      <c r="I781" s="19">
        <f>IF(G781="","",F781/G781)</f>
        <v/>
      </c>
      <c r="J781" s="26">
        <f>IFERROR(IF(OR(E781="",INDEX(E:E,MATCH(DATE(YEAR($A781)-1,MONTH($A781),DAY($A781)),$A:$A,0))=""),"",E781/INDEX(E:E,MATCH(DATE(YEAR($A781)-1,MONTH($A781),DAY($A781)),$A:$A,0))-1),"")</f>
        <v/>
      </c>
      <c r="K781" s="19">
        <f>IFERROR(IF(OR(F781="",INDEX(F:F,MATCH(DATE(YEAR($A781)-1,MONTH($A781),DAY($A781)),$A:$A,0))=""),"",F781/INDEX(F:F,MATCH(DATE(YEAR($A781)-1,MONTH($A781),DAY($A781)),$A:$A,0))-1),"")</f>
        <v/>
      </c>
      <c r="L781" s="19">
        <f>IFERROR(IF(OR(G781="",INDEX(G:G,MATCH(DATE(YEAR($A781)-1,MONTH($A781),DAY($A781)),$A:$A,0))=""),"",G781/INDEX(G:G,MATCH(DATE(YEAR($A781)-1,MONTH($A781),DAY($A781)),$A:$A,0))-1),"")</f>
        <v/>
      </c>
      <c r="M781" s="19">
        <f>IF(OR(E781="",E780=""),"",E781/E780-1)</f>
        <v/>
      </c>
      <c r="N781" s="19">
        <f>IF(OR(F781="",F780=""),"",F781/F780-1)</f>
        <v/>
      </c>
      <c r="O781" s="19">
        <f>IF(OR(G781="",G780=""),"",G781/G780-1)</f>
        <v/>
      </c>
      <c r="P781" s="22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IF(R781="","",P781/R781)</f>
        <v/>
      </c>
      <c r="T781" s="23">
        <f>IF(R781="","",Q781/R781)</f>
        <v/>
      </c>
      <c r="U781" s="24">
        <f>IF(SUMIFS('Daily NSE Equity Options'!$M:$M,'Daily NSE Equity Options'!$A:$A,$A781)=0,"",SUMIFS('Daily NSE Equity Options'!$M:$M,'Daily NSE Equity Options'!$A:$A,$A781))</f>
        <v/>
      </c>
      <c r="V781" s="9">
        <f>IF(SUMIFS('Daily BSE Equity Options'!$M:$M,'Daily BSE Equity Options'!$A:$A,$A781)=0,"",SUMIFS('Daily BSE Equity Options'!$M:$M,'Daily BSE Equity Options'!$A:$A,$A781))</f>
        <v/>
      </c>
      <c r="W781" s="9">
        <f>IF(OR(U781="",V781=""),"",U781+V781)</f>
        <v/>
      </c>
      <c r="X781" s="25">
        <f>IF(W781="","",U781/W781)</f>
        <v/>
      </c>
      <c r="Y781" s="25">
        <f>IF(W781="","",V781/W781)</f>
        <v/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19">
        <f>IF(G782="","",E782/G782)</f>
        <v/>
      </c>
      <c r="I782" s="19">
        <f>IF(G782="","",F782/G782)</f>
        <v/>
      </c>
      <c r="J782" s="26">
        <f>IFERROR(IF(OR(E782="",INDEX(E:E,MATCH(DATE(YEAR($A782)-1,MONTH($A782),DAY($A782)),$A:$A,0))=""),"",E782/INDEX(E:E,MATCH(DATE(YEAR($A782)-1,MONTH($A782),DAY($A782)),$A:$A,0))-1),"")</f>
        <v/>
      </c>
      <c r="K782" s="19">
        <f>IFERROR(IF(OR(F782="",INDEX(F:F,MATCH(DATE(YEAR($A782)-1,MONTH($A782),DAY($A782)),$A:$A,0))=""),"",F782/INDEX(F:F,MATCH(DATE(YEAR($A782)-1,MONTH($A782),DAY($A782)),$A:$A,0))-1),"")</f>
        <v/>
      </c>
      <c r="L782" s="19">
        <f>IFERROR(IF(OR(G782="",INDEX(G:G,MATCH(DATE(YEAR($A782)-1,MONTH($A782),DAY($A782)),$A:$A,0))=""),"",G782/INDEX(G:G,MATCH(DATE(YEAR($A782)-1,MONTH($A782),DAY($A782)),$A:$A,0))-1),"")</f>
        <v/>
      </c>
      <c r="M782" s="19">
        <f>IF(OR(E782="",E781=""),"",E782/E781-1)</f>
        <v/>
      </c>
      <c r="N782" s="19">
        <f>IF(OR(F782="",F781=""),"",F782/F781-1)</f>
        <v/>
      </c>
      <c r="O782" s="19">
        <f>IF(OR(G782="",G781=""),"",G782/G781-1)</f>
        <v/>
      </c>
      <c r="P782" s="22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IF(R782="","",P782/R782)</f>
        <v/>
      </c>
      <c r="T782" s="23">
        <f>IF(R782="","",Q782/R782)</f>
        <v/>
      </c>
      <c r="U782" s="24">
        <f>IF(SUMIFS('Daily NSE Equity Options'!$M:$M,'Daily NSE Equity Options'!$A:$A,$A782)=0,"",SUMIFS('Daily NSE Equity Options'!$M:$M,'Daily NSE Equity Options'!$A:$A,$A782))</f>
        <v/>
      </c>
      <c r="V782" s="9">
        <f>IF(SUMIFS('Daily BSE Equity Options'!$M:$M,'Daily BSE Equity Options'!$A:$A,$A782)=0,"",SUMIFS('Daily BSE Equity Options'!$M:$M,'Daily BSE Equity Options'!$A:$A,$A782))</f>
        <v/>
      </c>
      <c r="W782" s="9">
        <f>IF(OR(U782="",V782=""),"",U782+V782)</f>
        <v/>
      </c>
      <c r="X782" s="25">
        <f>IF(W782="","",U782/W782)</f>
        <v/>
      </c>
      <c r="Y782" s="25">
        <f>IF(W782="","",V782/W782)</f>
        <v/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19">
        <f>IF(G783="","",E783/G783)</f>
        <v/>
      </c>
      <c r="I783" s="19">
        <f>IF(G783="","",F783/G783)</f>
        <v/>
      </c>
      <c r="J783" s="26">
        <f>IFERROR(IF(OR(E783="",INDEX(E:E,MATCH(DATE(YEAR($A783)-1,MONTH($A783),DAY($A783)),$A:$A,0))=""),"",E783/INDEX(E:E,MATCH(DATE(YEAR($A783)-1,MONTH($A783),DAY($A783)),$A:$A,0))-1),"")</f>
        <v/>
      </c>
      <c r="K783" s="19">
        <f>IFERROR(IF(OR(F783="",INDEX(F:F,MATCH(DATE(YEAR($A783)-1,MONTH($A783),DAY($A783)),$A:$A,0))=""),"",F783/INDEX(F:F,MATCH(DATE(YEAR($A783)-1,MONTH($A783),DAY($A783)),$A:$A,0))-1),"")</f>
        <v/>
      </c>
      <c r="L783" s="19">
        <f>IFERROR(IF(OR(G783="",INDEX(G:G,MATCH(DATE(YEAR($A783)-1,MONTH($A783),DAY($A783)),$A:$A,0))=""),"",G783/INDEX(G:G,MATCH(DATE(YEAR($A783)-1,MONTH($A783),DAY($A783)),$A:$A,0))-1),"")</f>
        <v/>
      </c>
      <c r="M783" s="19">
        <f>IF(OR(E783="",E782=""),"",E783/E782-1)</f>
        <v/>
      </c>
      <c r="N783" s="19">
        <f>IF(OR(F783="",F782=""),"",F783/F782-1)</f>
        <v/>
      </c>
      <c r="O783" s="19">
        <f>IF(OR(G783="",G782=""),"",G783/G782-1)</f>
        <v/>
      </c>
      <c r="P783" s="22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IF(R783="","",P783/R783)</f>
        <v/>
      </c>
      <c r="T783" s="23">
        <f>IF(R783="","",Q783/R783)</f>
        <v/>
      </c>
      <c r="U783" s="24">
        <f>IF(SUMIFS('Daily NSE Equity Options'!$M:$M,'Daily NSE Equity Options'!$A:$A,$A783)=0,"",SUMIFS('Daily NSE Equity Options'!$M:$M,'Daily NSE Equity Options'!$A:$A,$A783))</f>
        <v/>
      </c>
      <c r="V783" s="9">
        <f>IF(SUMIFS('Daily BSE Equity Options'!$M:$M,'Daily BSE Equity Options'!$A:$A,$A783)=0,"",SUMIFS('Daily BSE Equity Options'!$M:$M,'Daily BSE Equity Options'!$A:$A,$A783))</f>
        <v/>
      </c>
      <c r="W783" s="9">
        <f>IF(OR(U783="",V783=""),"",U783+V783)</f>
        <v/>
      </c>
      <c r="X783" s="25">
        <f>IF(W783="","",U783/W783)</f>
        <v/>
      </c>
      <c r="Y783" s="25">
        <f>IF(W783="","",V783/W783)</f>
        <v/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19">
        <f>IF(G784="","",E784/G784)</f>
        <v/>
      </c>
      <c r="I784" s="19">
        <f>IF(G784="","",F784/G784)</f>
        <v/>
      </c>
      <c r="J784" s="26">
        <f>IFERROR(IF(OR(E784="",INDEX(E:E,MATCH(DATE(YEAR($A784)-1,MONTH($A784),DAY($A784)),$A:$A,0))=""),"",E784/INDEX(E:E,MATCH(DATE(YEAR($A784)-1,MONTH($A784),DAY($A784)),$A:$A,0))-1),"")</f>
        <v/>
      </c>
      <c r="K784" s="19">
        <f>IFERROR(IF(OR(F784="",INDEX(F:F,MATCH(DATE(YEAR($A784)-1,MONTH($A784),DAY($A784)),$A:$A,0))=""),"",F784/INDEX(F:F,MATCH(DATE(YEAR($A784)-1,MONTH($A784),DAY($A784)),$A:$A,0))-1),"")</f>
        <v/>
      </c>
      <c r="L784" s="19">
        <f>IFERROR(IF(OR(G784="",INDEX(G:G,MATCH(DATE(YEAR($A784)-1,MONTH($A784),DAY($A784)),$A:$A,0))=""),"",G784/INDEX(G:G,MATCH(DATE(YEAR($A784)-1,MONTH($A784),DAY($A784)),$A:$A,0))-1),"")</f>
        <v/>
      </c>
      <c r="M784" s="19">
        <f>IF(OR(E784="",E783=""),"",E784/E783-1)</f>
        <v/>
      </c>
      <c r="N784" s="19">
        <f>IF(OR(F784="",F783=""),"",F784/F783-1)</f>
        <v/>
      </c>
      <c r="O784" s="19">
        <f>IF(OR(G784="",G783=""),"",G784/G783-1)</f>
        <v/>
      </c>
      <c r="P784" s="22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IF(R784="","",P784/R784)</f>
        <v/>
      </c>
      <c r="T784" s="23">
        <f>IF(R784="","",Q784/R784)</f>
        <v/>
      </c>
      <c r="U784" s="24">
        <f>IF(SUMIFS('Daily NSE Equity Options'!$M:$M,'Daily NSE Equity Options'!$A:$A,$A784)=0,"",SUMIFS('Daily NSE Equity Options'!$M:$M,'Daily NSE Equity Options'!$A:$A,$A784))</f>
        <v/>
      </c>
      <c r="V784" s="9">
        <f>IF(SUMIFS('Daily BSE Equity Options'!$M:$M,'Daily BSE Equity Options'!$A:$A,$A784)=0,"",SUMIFS('Daily BSE Equity Options'!$M:$M,'Daily BSE Equity Options'!$A:$A,$A784))</f>
        <v/>
      </c>
      <c r="W784" s="9">
        <f>IF(OR(U784="",V784=""),"",U784+V784)</f>
        <v/>
      </c>
      <c r="X784" s="25">
        <f>IF(W784="","",U784/W784)</f>
        <v/>
      </c>
      <c r="Y784" s="25">
        <f>IF(W784="","",V784/W784)</f>
        <v/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19">
        <f>IF(G785="","",E785/G785)</f>
        <v/>
      </c>
      <c r="I785" s="19">
        <f>IF(G785="","",F785/G785)</f>
        <v/>
      </c>
      <c r="J785" s="26">
        <f>IFERROR(IF(OR(E785="",INDEX(E:E,MATCH(DATE(YEAR($A785)-1,MONTH($A785),DAY($A785)),$A:$A,0))=""),"",E785/INDEX(E:E,MATCH(DATE(YEAR($A785)-1,MONTH($A785),DAY($A785)),$A:$A,0))-1),"")</f>
        <v/>
      </c>
      <c r="K785" s="19">
        <f>IFERROR(IF(OR(F785="",INDEX(F:F,MATCH(DATE(YEAR($A785)-1,MONTH($A785),DAY($A785)),$A:$A,0))=""),"",F785/INDEX(F:F,MATCH(DATE(YEAR($A785)-1,MONTH($A785),DAY($A785)),$A:$A,0))-1),"")</f>
        <v/>
      </c>
      <c r="L785" s="19">
        <f>IFERROR(IF(OR(G785="",INDEX(G:G,MATCH(DATE(YEAR($A785)-1,MONTH($A785),DAY($A785)),$A:$A,0))=""),"",G785/INDEX(G:G,MATCH(DATE(YEAR($A785)-1,MONTH($A785),DAY($A785)),$A:$A,0))-1),"")</f>
        <v/>
      </c>
      <c r="M785" s="19">
        <f>IF(OR(E785="",E784=""),"",E785/E784-1)</f>
        <v/>
      </c>
      <c r="N785" s="19">
        <f>IF(OR(F785="",F784=""),"",F785/F784-1)</f>
        <v/>
      </c>
      <c r="O785" s="19">
        <f>IF(OR(G785="",G784=""),"",G785/G784-1)</f>
        <v/>
      </c>
      <c r="P785" s="22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IF(R785="","",P785/R785)</f>
        <v/>
      </c>
      <c r="T785" s="23">
        <f>IF(R785="","",Q785/R785)</f>
        <v/>
      </c>
      <c r="U785" s="24">
        <f>IF(SUMIFS('Daily NSE Equity Options'!$M:$M,'Daily NSE Equity Options'!$A:$A,$A785)=0,"",SUMIFS('Daily NSE Equity Options'!$M:$M,'Daily NSE Equity Options'!$A:$A,$A785))</f>
        <v/>
      </c>
      <c r="V785" s="9">
        <f>IF(SUMIFS('Daily BSE Equity Options'!$M:$M,'Daily BSE Equity Options'!$A:$A,$A785)=0,"",SUMIFS('Daily BSE Equity Options'!$M:$M,'Daily BSE Equity Options'!$A:$A,$A785))</f>
        <v/>
      </c>
      <c r="W785" s="9">
        <f>IF(OR(U785="",V785=""),"",U785+V785)</f>
        <v/>
      </c>
      <c r="X785" s="25">
        <f>IF(W785="","",U785/W785)</f>
        <v/>
      </c>
      <c r="Y785" s="25">
        <f>IF(W785="","",V785/W785)</f>
        <v/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19">
        <f>IF(G786="","",E786/G786)</f>
        <v/>
      </c>
      <c r="I786" s="19">
        <f>IF(G786="","",F786/G786)</f>
        <v/>
      </c>
      <c r="J786" s="26">
        <f>IFERROR(IF(OR(E786="",INDEX(E:E,MATCH(DATE(YEAR($A786)-1,MONTH($A786),DAY($A786)),$A:$A,0))=""),"",E786/INDEX(E:E,MATCH(DATE(YEAR($A786)-1,MONTH($A786),DAY($A786)),$A:$A,0))-1),"")</f>
        <v/>
      </c>
      <c r="K786" s="19">
        <f>IFERROR(IF(OR(F786="",INDEX(F:F,MATCH(DATE(YEAR($A786)-1,MONTH($A786),DAY($A786)),$A:$A,0))=""),"",F786/INDEX(F:F,MATCH(DATE(YEAR($A786)-1,MONTH($A786),DAY($A786)),$A:$A,0))-1),"")</f>
        <v/>
      </c>
      <c r="L786" s="19">
        <f>IFERROR(IF(OR(G786="",INDEX(G:G,MATCH(DATE(YEAR($A786)-1,MONTH($A786),DAY($A786)),$A:$A,0))=""),"",G786/INDEX(G:G,MATCH(DATE(YEAR($A786)-1,MONTH($A786),DAY($A786)),$A:$A,0))-1),"")</f>
        <v/>
      </c>
      <c r="M786" s="19">
        <f>IF(OR(E786="",E785=""),"",E786/E785-1)</f>
        <v/>
      </c>
      <c r="N786" s="19">
        <f>IF(OR(F786="",F785=""),"",F786/F785-1)</f>
        <v/>
      </c>
      <c r="O786" s="19">
        <f>IF(OR(G786="",G785=""),"",G786/G785-1)</f>
        <v/>
      </c>
      <c r="P786" s="22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IF(R786="","",P786/R786)</f>
        <v/>
      </c>
      <c r="T786" s="23">
        <f>IF(R786="","",Q786/R786)</f>
        <v/>
      </c>
      <c r="U786" s="24">
        <f>IF(SUMIFS('Daily NSE Equity Options'!$M:$M,'Daily NSE Equity Options'!$A:$A,$A786)=0,"",SUMIFS('Daily NSE Equity Options'!$M:$M,'Daily NSE Equity Options'!$A:$A,$A786))</f>
        <v/>
      </c>
      <c r="V786" s="9">
        <f>IF(SUMIFS('Daily BSE Equity Options'!$M:$M,'Daily BSE Equity Options'!$A:$A,$A786)=0,"",SUMIFS('Daily BSE Equity Options'!$M:$M,'Daily BSE Equity Options'!$A:$A,$A786))</f>
        <v/>
      </c>
      <c r="W786" s="9">
        <f>IF(OR(U786="",V786=""),"",U786+V786)</f>
        <v/>
      </c>
      <c r="X786" s="25">
        <f>IF(W786="","",U786/W786)</f>
        <v/>
      </c>
      <c r="Y786" s="25">
        <f>IF(W786="","",V786/W786)</f>
        <v/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19">
        <f>IF(G787="","",E787/G787)</f>
        <v/>
      </c>
      <c r="I787" s="19">
        <f>IF(G787="","",F787/G787)</f>
        <v/>
      </c>
      <c r="J787" s="26">
        <f>IFERROR(IF(OR(E787="",INDEX(E:E,MATCH(DATE(YEAR($A787)-1,MONTH($A787),DAY($A787)),$A:$A,0))=""),"",E787/INDEX(E:E,MATCH(DATE(YEAR($A787)-1,MONTH($A787),DAY($A787)),$A:$A,0))-1),"")</f>
        <v/>
      </c>
      <c r="K787" s="19">
        <f>IFERROR(IF(OR(F787="",INDEX(F:F,MATCH(DATE(YEAR($A787)-1,MONTH($A787),DAY($A787)),$A:$A,0))=""),"",F787/INDEX(F:F,MATCH(DATE(YEAR($A787)-1,MONTH($A787),DAY($A787)),$A:$A,0))-1),"")</f>
        <v/>
      </c>
      <c r="L787" s="19">
        <f>IFERROR(IF(OR(G787="",INDEX(G:G,MATCH(DATE(YEAR($A787)-1,MONTH($A787),DAY($A787)),$A:$A,0))=""),"",G787/INDEX(G:G,MATCH(DATE(YEAR($A787)-1,MONTH($A787),DAY($A787)),$A:$A,0))-1),"")</f>
        <v/>
      </c>
      <c r="M787" s="19">
        <f>IF(OR(E787="",E786=""),"",E787/E786-1)</f>
        <v/>
      </c>
      <c r="N787" s="19">
        <f>IF(OR(F787="",F786=""),"",F787/F786-1)</f>
        <v/>
      </c>
      <c r="O787" s="19">
        <f>IF(OR(G787="",G786=""),"",G787/G786-1)</f>
        <v/>
      </c>
      <c r="P787" s="22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IF(R787="","",P787/R787)</f>
        <v/>
      </c>
      <c r="T787" s="23">
        <f>IF(R787="","",Q787/R787)</f>
        <v/>
      </c>
      <c r="U787" s="24">
        <f>IF(SUMIFS('Daily NSE Equity Options'!$M:$M,'Daily NSE Equity Options'!$A:$A,$A787)=0,"",SUMIFS('Daily NSE Equity Options'!$M:$M,'Daily NSE Equity Options'!$A:$A,$A787))</f>
        <v/>
      </c>
      <c r="V787" s="9">
        <f>IF(SUMIFS('Daily BSE Equity Options'!$M:$M,'Daily BSE Equity Options'!$A:$A,$A787)=0,"",SUMIFS('Daily BSE Equity Options'!$M:$M,'Daily BSE Equity Options'!$A:$A,$A787))</f>
        <v/>
      </c>
      <c r="W787" s="9">
        <f>IF(OR(U787="",V787=""),"",U787+V787)</f>
        <v/>
      </c>
      <c r="X787" s="25">
        <f>IF(W787="","",U787/W787)</f>
        <v/>
      </c>
      <c r="Y787" s="25">
        <f>IF(W787="","",V787/W787)</f>
        <v/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19">
        <f>IF(G788="","",E788/G788)</f>
        <v/>
      </c>
      <c r="I788" s="19">
        <f>IF(G788="","",F788/G788)</f>
        <v/>
      </c>
      <c r="J788" s="26">
        <f>IFERROR(IF(OR(E788="",INDEX(E:E,MATCH(DATE(YEAR($A788)-1,MONTH($A788),DAY($A788)),$A:$A,0))=""),"",E788/INDEX(E:E,MATCH(DATE(YEAR($A788)-1,MONTH($A788),DAY($A788)),$A:$A,0))-1),"")</f>
        <v/>
      </c>
      <c r="K788" s="19">
        <f>IFERROR(IF(OR(F788="",INDEX(F:F,MATCH(DATE(YEAR($A788)-1,MONTH($A788),DAY($A788)),$A:$A,0))=""),"",F788/INDEX(F:F,MATCH(DATE(YEAR($A788)-1,MONTH($A788),DAY($A788)),$A:$A,0))-1),"")</f>
        <v/>
      </c>
      <c r="L788" s="19">
        <f>IFERROR(IF(OR(G788="",INDEX(G:G,MATCH(DATE(YEAR($A788)-1,MONTH($A788),DAY($A788)),$A:$A,0))=""),"",G788/INDEX(G:G,MATCH(DATE(YEAR($A788)-1,MONTH($A788),DAY($A788)),$A:$A,0))-1),"")</f>
        <v/>
      </c>
      <c r="M788" s="19">
        <f>IF(OR(E788="",E787=""),"",E788/E787-1)</f>
        <v/>
      </c>
      <c r="N788" s="19">
        <f>IF(OR(F788="",F787=""),"",F788/F787-1)</f>
        <v/>
      </c>
      <c r="O788" s="19">
        <f>IF(OR(G788="",G787=""),"",G788/G787-1)</f>
        <v/>
      </c>
      <c r="P788" s="22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IF(R788="","",P788/R788)</f>
        <v/>
      </c>
      <c r="T788" s="23">
        <f>IF(R788="","",Q788/R788)</f>
        <v/>
      </c>
      <c r="U788" s="24">
        <f>IF(SUMIFS('Daily NSE Equity Options'!$M:$M,'Daily NSE Equity Options'!$A:$A,$A788)=0,"",SUMIFS('Daily NSE Equity Options'!$M:$M,'Daily NSE Equity Options'!$A:$A,$A788))</f>
        <v/>
      </c>
      <c r="V788" s="9">
        <f>IF(SUMIFS('Daily BSE Equity Options'!$M:$M,'Daily BSE Equity Options'!$A:$A,$A788)=0,"",SUMIFS('Daily BSE Equity Options'!$M:$M,'Daily BSE Equity Options'!$A:$A,$A788))</f>
        <v/>
      </c>
      <c r="W788" s="9">
        <f>IF(OR(U788="",V788=""),"",U788+V788)</f>
        <v/>
      </c>
      <c r="X788" s="25">
        <f>IF(W788="","",U788/W788)</f>
        <v/>
      </c>
      <c r="Y788" s="25">
        <f>IF(W788="","",V788/W788)</f>
        <v/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19">
        <f>IF(G789="","",E789/G789)</f>
        <v/>
      </c>
      <c r="I789" s="19">
        <f>IF(G789="","",F789/G789)</f>
        <v/>
      </c>
      <c r="J789" s="26">
        <f>IFERROR(IF(OR(E789="",INDEX(E:E,MATCH(DATE(YEAR($A789)-1,MONTH($A789),DAY($A789)),$A:$A,0))=""),"",E789/INDEX(E:E,MATCH(DATE(YEAR($A789)-1,MONTH($A789),DAY($A789)),$A:$A,0))-1),"")</f>
        <v/>
      </c>
      <c r="K789" s="19">
        <f>IFERROR(IF(OR(F789="",INDEX(F:F,MATCH(DATE(YEAR($A789)-1,MONTH($A789),DAY($A789)),$A:$A,0))=""),"",F789/INDEX(F:F,MATCH(DATE(YEAR($A789)-1,MONTH($A789),DAY($A789)),$A:$A,0))-1),"")</f>
        <v/>
      </c>
      <c r="L789" s="19">
        <f>IFERROR(IF(OR(G789="",INDEX(G:G,MATCH(DATE(YEAR($A789)-1,MONTH($A789),DAY($A789)),$A:$A,0))=""),"",G789/INDEX(G:G,MATCH(DATE(YEAR($A789)-1,MONTH($A789),DAY($A789)),$A:$A,0))-1),"")</f>
        <v/>
      </c>
      <c r="M789" s="19">
        <f>IF(OR(E789="",E788=""),"",E789/E788-1)</f>
        <v/>
      </c>
      <c r="N789" s="19">
        <f>IF(OR(F789="",F788=""),"",F789/F788-1)</f>
        <v/>
      </c>
      <c r="O789" s="19">
        <f>IF(OR(G789="",G788=""),"",G789/G788-1)</f>
        <v/>
      </c>
      <c r="P789" s="22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IF(R789="","",P789/R789)</f>
        <v/>
      </c>
      <c r="T789" s="23">
        <f>IF(R789="","",Q789/R789)</f>
        <v/>
      </c>
      <c r="U789" s="24">
        <f>IF(SUMIFS('Daily NSE Equity Options'!$M:$M,'Daily NSE Equity Options'!$A:$A,$A789)=0,"",SUMIFS('Daily NSE Equity Options'!$M:$M,'Daily NSE Equity Options'!$A:$A,$A789))</f>
        <v/>
      </c>
      <c r="V789" s="9">
        <f>IF(SUMIFS('Daily BSE Equity Options'!$M:$M,'Daily BSE Equity Options'!$A:$A,$A789)=0,"",SUMIFS('Daily BSE Equity Options'!$M:$M,'Daily BSE Equity Options'!$A:$A,$A789))</f>
        <v/>
      </c>
      <c r="W789" s="9">
        <f>IF(OR(U789="",V789=""),"",U789+V789)</f>
        <v/>
      </c>
      <c r="X789" s="25">
        <f>IF(W789="","",U789/W789)</f>
        <v/>
      </c>
      <c r="Y789" s="25">
        <f>IF(W789="","",V789/W789)</f>
        <v/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19">
        <f>IF(G790="","",E790/G790)</f>
        <v/>
      </c>
      <c r="I790" s="19">
        <f>IF(G790="","",F790/G790)</f>
        <v/>
      </c>
      <c r="J790" s="26">
        <f>IFERROR(IF(OR(E790="",INDEX(E:E,MATCH(DATE(YEAR($A790)-1,MONTH($A790),DAY($A790)),$A:$A,0))=""),"",E790/INDEX(E:E,MATCH(DATE(YEAR($A790)-1,MONTH($A790),DAY($A790)),$A:$A,0))-1),"")</f>
        <v/>
      </c>
      <c r="K790" s="19">
        <f>IFERROR(IF(OR(F790="",INDEX(F:F,MATCH(DATE(YEAR($A790)-1,MONTH($A790),DAY($A790)),$A:$A,0))=""),"",F790/INDEX(F:F,MATCH(DATE(YEAR($A790)-1,MONTH($A790),DAY($A790)),$A:$A,0))-1),"")</f>
        <v/>
      </c>
      <c r="L790" s="19">
        <f>IFERROR(IF(OR(G790="",INDEX(G:G,MATCH(DATE(YEAR($A790)-1,MONTH($A790),DAY($A790)),$A:$A,0))=""),"",G790/INDEX(G:G,MATCH(DATE(YEAR($A790)-1,MONTH($A790),DAY($A790)),$A:$A,0))-1),"")</f>
        <v/>
      </c>
      <c r="M790" s="19">
        <f>IF(OR(E790="",E789=""),"",E790/E789-1)</f>
        <v/>
      </c>
      <c r="N790" s="19">
        <f>IF(OR(F790="",F789=""),"",F790/F789-1)</f>
        <v/>
      </c>
      <c r="O790" s="19">
        <f>IF(OR(G790="",G789=""),"",G790/G789-1)</f>
        <v/>
      </c>
      <c r="P790" s="22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IF(R790="","",P790/R790)</f>
        <v/>
      </c>
      <c r="T790" s="23">
        <f>IF(R790="","",Q790/R790)</f>
        <v/>
      </c>
      <c r="U790" s="24">
        <f>IF(SUMIFS('Daily NSE Equity Options'!$M:$M,'Daily NSE Equity Options'!$A:$A,$A790)=0,"",SUMIFS('Daily NSE Equity Options'!$M:$M,'Daily NSE Equity Options'!$A:$A,$A790))</f>
        <v/>
      </c>
      <c r="V790" s="9">
        <f>IF(SUMIFS('Daily BSE Equity Options'!$M:$M,'Daily BSE Equity Options'!$A:$A,$A790)=0,"",SUMIFS('Daily BSE Equity Options'!$M:$M,'Daily BSE Equity Options'!$A:$A,$A790))</f>
        <v/>
      </c>
      <c r="W790" s="9">
        <f>IF(OR(U790="",V790=""),"",U790+V790)</f>
        <v/>
      </c>
      <c r="X790" s="25">
        <f>IF(W790="","",U790/W790)</f>
        <v/>
      </c>
      <c r="Y790" s="25">
        <f>IF(W790="","",V790/W790)</f>
        <v/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19">
        <f>IF(G791="","",E791/G791)</f>
        <v/>
      </c>
      <c r="I791" s="19">
        <f>IF(G791="","",F791/G791)</f>
        <v/>
      </c>
      <c r="J791" s="26">
        <f>IFERROR(IF(OR(E791="",INDEX(E:E,MATCH(DATE(YEAR($A791)-1,MONTH($A791),DAY($A791)),$A:$A,0))=""),"",E791/INDEX(E:E,MATCH(DATE(YEAR($A791)-1,MONTH($A791),DAY($A791)),$A:$A,0))-1),"")</f>
        <v/>
      </c>
      <c r="K791" s="19">
        <f>IFERROR(IF(OR(F791="",INDEX(F:F,MATCH(DATE(YEAR($A791)-1,MONTH($A791),DAY($A791)),$A:$A,0))=""),"",F791/INDEX(F:F,MATCH(DATE(YEAR($A791)-1,MONTH($A791),DAY($A791)),$A:$A,0))-1),"")</f>
        <v/>
      </c>
      <c r="L791" s="19">
        <f>IFERROR(IF(OR(G791="",INDEX(G:G,MATCH(DATE(YEAR($A791)-1,MONTH($A791),DAY($A791)),$A:$A,0))=""),"",G791/INDEX(G:G,MATCH(DATE(YEAR($A791)-1,MONTH($A791),DAY($A791)),$A:$A,0))-1),"")</f>
        <v/>
      </c>
      <c r="M791" s="19">
        <f>IF(OR(E791="",E790=""),"",E791/E790-1)</f>
        <v/>
      </c>
      <c r="N791" s="19">
        <f>IF(OR(F791="",F790=""),"",F791/F790-1)</f>
        <v/>
      </c>
      <c r="O791" s="19">
        <f>IF(OR(G791="",G790=""),"",G791/G790-1)</f>
        <v/>
      </c>
      <c r="P791" s="22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IF(R791="","",P791/R791)</f>
        <v/>
      </c>
      <c r="T791" s="23">
        <f>IF(R791="","",Q791/R791)</f>
        <v/>
      </c>
      <c r="U791" s="24">
        <f>IF(SUMIFS('Daily NSE Equity Options'!$M:$M,'Daily NSE Equity Options'!$A:$A,$A791)=0,"",SUMIFS('Daily NSE Equity Options'!$M:$M,'Daily NSE Equity Options'!$A:$A,$A791))</f>
        <v/>
      </c>
      <c r="V791" s="9">
        <f>IF(SUMIFS('Daily BSE Equity Options'!$M:$M,'Daily BSE Equity Options'!$A:$A,$A791)=0,"",SUMIFS('Daily BSE Equity Options'!$M:$M,'Daily BSE Equity Options'!$A:$A,$A791))</f>
        <v/>
      </c>
      <c r="W791" s="9">
        <f>IF(OR(U791="",V791=""),"",U791+V791)</f>
        <v/>
      </c>
      <c r="X791" s="25">
        <f>IF(W791="","",U791/W791)</f>
        <v/>
      </c>
      <c r="Y791" s="25">
        <f>IF(W791="","",V791/W791)</f>
        <v/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19">
        <f>IF(G792="","",E792/G792)</f>
        <v/>
      </c>
      <c r="I792" s="19">
        <f>IF(G792="","",F792/G792)</f>
        <v/>
      </c>
      <c r="J792" s="26">
        <f>IFERROR(IF(OR(E792="",INDEX(E:E,MATCH(DATE(YEAR($A792)-1,MONTH($A792),DAY($A792)),$A:$A,0))=""),"",E792/INDEX(E:E,MATCH(DATE(YEAR($A792)-1,MONTH($A792),DAY($A792)),$A:$A,0))-1),"")</f>
        <v/>
      </c>
      <c r="K792" s="19">
        <f>IFERROR(IF(OR(F792="",INDEX(F:F,MATCH(DATE(YEAR($A792)-1,MONTH($A792),DAY($A792)),$A:$A,0))=""),"",F792/INDEX(F:F,MATCH(DATE(YEAR($A792)-1,MONTH($A792),DAY($A792)),$A:$A,0))-1),"")</f>
        <v/>
      </c>
      <c r="L792" s="19">
        <f>IFERROR(IF(OR(G792="",INDEX(G:G,MATCH(DATE(YEAR($A792)-1,MONTH($A792),DAY($A792)),$A:$A,0))=""),"",G792/INDEX(G:G,MATCH(DATE(YEAR($A792)-1,MONTH($A792),DAY($A792)),$A:$A,0))-1),"")</f>
        <v/>
      </c>
      <c r="M792" s="19">
        <f>IF(OR(E792="",E791=""),"",E792/E791-1)</f>
        <v/>
      </c>
      <c r="N792" s="19">
        <f>IF(OR(F792="",F791=""),"",F792/F791-1)</f>
        <v/>
      </c>
      <c r="O792" s="19">
        <f>IF(OR(G792="",G791=""),"",G792/G791-1)</f>
        <v/>
      </c>
      <c r="P792" s="22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IF(R792="","",P792/R792)</f>
        <v/>
      </c>
      <c r="T792" s="23">
        <f>IF(R792="","",Q792/R792)</f>
        <v/>
      </c>
      <c r="U792" s="24">
        <f>IF(SUMIFS('Daily NSE Equity Options'!$M:$M,'Daily NSE Equity Options'!$A:$A,$A792)=0,"",SUMIFS('Daily NSE Equity Options'!$M:$M,'Daily NSE Equity Options'!$A:$A,$A792))</f>
        <v/>
      </c>
      <c r="V792" s="9">
        <f>IF(SUMIFS('Daily BSE Equity Options'!$M:$M,'Daily BSE Equity Options'!$A:$A,$A792)=0,"",SUMIFS('Daily BSE Equity Options'!$M:$M,'Daily BSE Equity Options'!$A:$A,$A792))</f>
        <v/>
      </c>
      <c r="W792" s="9">
        <f>IF(OR(U792="",V792=""),"",U792+V792)</f>
        <v/>
      </c>
      <c r="X792" s="25">
        <f>IF(W792="","",U792/W792)</f>
        <v/>
      </c>
      <c r="Y792" s="25">
        <f>IF(W792="","",V792/W792)</f>
        <v/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19">
        <f>IF(G793="","",E793/G793)</f>
        <v/>
      </c>
      <c r="I793" s="19">
        <f>IF(G793="","",F793/G793)</f>
        <v/>
      </c>
      <c r="J793" s="26">
        <f>IFERROR(IF(OR(E793="",INDEX(E:E,MATCH(DATE(YEAR($A793)-1,MONTH($A793),DAY($A793)),$A:$A,0))=""),"",E793/INDEX(E:E,MATCH(DATE(YEAR($A793)-1,MONTH($A793),DAY($A793)),$A:$A,0))-1),"")</f>
        <v/>
      </c>
      <c r="K793" s="19">
        <f>IFERROR(IF(OR(F793="",INDEX(F:F,MATCH(DATE(YEAR($A793)-1,MONTH($A793),DAY($A793)),$A:$A,0))=""),"",F793/INDEX(F:F,MATCH(DATE(YEAR($A793)-1,MONTH($A793),DAY($A793)),$A:$A,0))-1),"")</f>
        <v/>
      </c>
      <c r="L793" s="19">
        <f>IFERROR(IF(OR(G793="",INDEX(G:G,MATCH(DATE(YEAR($A793)-1,MONTH($A793),DAY($A793)),$A:$A,0))=""),"",G793/INDEX(G:G,MATCH(DATE(YEAR($A793)-1,MONTH($A793),DAY($A793)),$A:$A,0))-1),"")</f>
        <v/>
      </c>
      <c r="M793" s="19">
        <f>IF(OR(E793="",E792=""),"",E793/E792-1)</f>
        <v/>
      </c>
      <c r="N793" s="19">
        <f>IF(OR(F793="",F792=""),"",F793/F792-1)</f>
        <v/>
      </c>
      <c r="O793" s="19">
        <f>IF(OR(G793="",G792=""),"",G793/G792-1)</f>
        <v/>
      </c>
      <c r="P793" s="22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IF(R793="","",P793/R793)</f>
        <v/>
      </c>
      <c r="T793" s="23">
        <f>IF(R793="","",Q793/R793)</f>
        <v/>
      </c>
      <c r="U793" s="24">
        <f>IF(SUMIFS('Daily NSE Equity Options'!$M:$M,'Daily NSE Equity Options'!$A:$A,$A793)=0,"",SUMIFS('Daily NSE Equity Options'!$M:$M,'Daily NSE Equity Options'!$A:$A,$A793))</f>
        <v/>
      </c>
      <c r="V793" s="9">
        <f>IF(SUMIFS('Daily BSE Equity Options'!$M:$M,'Daily BSE Equity Options'!$A:$A,$A793)=0,"",SUMIFS('Daily BSE Equity Options'!$M:$M,'Daily BSE Equity Options'!$A:$A,$A793))</f>
        <v/>
      </c>
      <c r="W793" s="9">
        <f>IF(OR(U793="",V793=""),"",U793+V793)</f>
        <v/>
      </c>
      <c r="X793" s="25">
        <f>IF(W793="","",U793/W793)</f>
        <v/>
      </c>
      <c r="Y793" s="25">
        <f>IF(W793="","",V793/W793)</f>
        <v/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19">
        <f>IF(G794="","",E794/G794)</f>
        <v/>
      </c>
      <c r="I794" s="19">
        <f>IF(G794="","",F794/G794)</f>
        <v/>
      </c>
      <c r="J794" s="26">
        <f>IFERROR(IF(OR(E794="",INDEX(E:E,MATCH(DATE(YEAR($A794)-1,MONTH($A794),DAY($A794)),$A:$A,0))=""),"",E794/INDEX(E:E,MATCH(DATE(YEAR($A794)-1,MONTH($A794),DAY($A794)),$A:$A,0))-1),"")</f>
        <v/>
      </c>
      <c r="K794" s="19">
        <f>IFERROR(IF(OR(F794="",INDEX(F:F,MATCH(DATE(YEAR($A794)-1,MONTH($A794),DAY($A794)),$A:$A,0))=""),"",F794/INDEX(F:F,MATCH(DATE(YEAR($A794)-1,MONTH($A794),DAY($A794)),$A:$A,0))-1),"")</f>
        <v/>
      </c>
      <c r="L794" s="19">
        <f>IFERROR(IF(OR(G794="",INDEX(G:G,MATCH(DATE(YEAR($A794)-1,MONTH($A794),DAY($A794)),$A:$A,0))=""),"",G794/INDEX(G:G,MATCH(DATE(YEAR($A794)-1,MONTH($A794),DAY($A794)),$A:$A,0))-1),"")</f>
        <v/>
      </c>
      <c r="M794" s="19">
        <f>IF(OR(E794="",E793=""),"",E794/E793-1)</f>
        <v/>
      </c>
      <c r="N794" s="19">
        <f>IF(OR(F794="",F793=""),"",F794/F793-1)</f>
        <v/>
      </c>
      <c r="O794" s="19">
        <f>IF(OR(G794="",G793=""),"",G794/G793-1)</f>
        <v/>
      </c>
      <c r="P794" s="22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IF(R794="","",P794/R794)</f>
        <v/>
      </c>
      <c r="T794" s="23">
        <f>IF(R794="","",Q794/R794)</f>
        <v/>
      </c>
      <c r="U794" s="24">
        <f>IF(SUMIFS('Daily NSE Equity Options'!$M:$M,'Daily NSE Equity Options'!$A:$A,$A794)=0,"",SUMIFS('Daily NSE Equity Options'!$M:$M,'Daily NSE Equity Options'!$A:$A,$A794))</f>
        <v/>
      </c>
      <c r="V794" s="9">
        <f>IF(SUMIFS('Daily BSE Equity Options'!$M:$M,'Daily BSE Equity Options'!$A:$A,$A794)=0,"",SUMIFS('Daily BSE Equity Options'!$M:$M,'Daily BSE Equity Options'!$A:$A,$A794))</f>
        <v/>
      </c>
      <c r="W794" s="9">
        <f>IF(OR(U794="",V794=""),"",U794+V794)</f>
        <v/>
      </c>
      <c r="X794" s="25">
        <f>IF(W794="","",U794/W794)</f>
        <v/>
      </c>
      <c r="Y794" s="25">
        <f>IF(W794="","",V794/W794)</f>
        <v/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19">
        <f>IF(G795="","",E795/G795)</f>
        <v/>
      </c>
      <c r="I795" s="19">
        <f>IF(G795="","",F795/G795)</f>
        <v/>
      </c>
      <c r="J795" s="26">
        <f>IFERROR(IF(OR(E795="",INDEX(E:E,MATCH(DATE(YEAR($A795)-1,MONTH($A795),DAY($A795)),$A:$A,0))=""),"",E795/INDEX(E:E,MATCH(DATE(YEAR($A795)-1,MONTH($A795),DAY($A795)),$A:$A,0))-1),"")</f>
        <v/>
      </c>
      <c r="K795" s="19">
        <f>IFERROR(IF(OR(F795="",INDEX(F:F,MATCH(DATE(YEAR($A795)-1,MONTH($A795),DAY($A795)),$A:$A,0))=""),"",F795/INDEX(F:F,MATCH(DATE(YEAR($A795)-1,MONTH($A795),DAY($A795)),$A:$A,0))-1),"")</f>
        <v/>
      </c>
      <c r="L795" s="19">
        <f>IFERROR(IF(OR(G795="",INDEX(G:G,MATCH(DATE(YEAR($A795)-1,MONTH($A795),DAY($A795)),$A:$A,0))=""),"",G795/INDEX(G:G,MATCH(DATE(YEAR($A795)-1,MONTH($A795),DAY($A795)),$A:$A,0))-1),"")</f>
        <v/>
      </c>
      <c r="M795" s="19">
        <f>IF(OR(E795="",E794=""),"",E795/E794-1)</f>
        <v/>
      </c>
      <c r="N795" s="19">
        <f>IF(OR(F795="",F794=""),"",F795/F794-1)</f>
        <v/>
      </c>
      <c r="O795" s="19">
        <f>IF(OR(G795="",G794=""),"",G795/G794-1)</f>
        <v/>
      </c>
      <c r="P795" s="22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IF(R795="","",P795/R795)</f>
        <v/>
      </c>
      <c r="T795" s="23">
        <f>IF(R795="","",Q795/R795)</f>
        <v/>
      </c>
      <c r="U795" s="24">
        <f>IF(SUMIFS('Daily NSE Equity Options'!$M:$M,'Daily NSE Equity Options'!$A:$A,$A795)=0,"",SUMIFS('Daily NSE Equity Options'!$M:$M,'Daily NSE Equity Options'!$A:$A,$A795))</f>
        <v/>
      </c>
      <c r="V795" s="9">
        <f>IF(SUMIFS('Daily BSE Equity Options'!$M:$M,'Daily BSE Equity Options'!$A:$A,$A795)=0,"",SUMIFS('Daily BSE Equity Options'!$M:$M,'Daily BSE Equity Options'!$A:$A,$A795))</f>
        <v/>
      </c>
      <c r="W795" s="9">
        <f>IF(OR(U795="",V795=""),"",U795+V795)</f>
        <v/>
      </c>
      <c r="X795" s="25">
        <f>IF(W795="","",U795/W795)</f>
        <v/>
      </c>
      <c r="Y795" s="25">
        <f>IF(W795="","",V795/W795)</f>
        <v/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19">
        <f>IF(G796="","",E796/G796)</f>
        <v/>
      </c>
      <c r="I796" s="19">
        <f>IF(G796="","",F796/G796)</f>
        <v/>
      </c>
      <c r="J796" s="26">
        <f>IFERROR(IF(OR(E796="",INDEX(E:E,MATCH(DATE(YEAR($A796)-1,MONTH($A796),DAY($A796)),$A:$A,0))=""),"",E796/INDEX(E:E,MATCH(DATE(YEAR($A796)-1,MONTH($A796),DAY($A796)),$A:$A,0))-1),"")</f>
        <v/>
      </c>
      <c r="K796" s="19">
        <f>IFERROR(IF(OR(F796="",INDEX(F:F,MATCH(DATE(YEAR($A796)-1,MONTH($A796),DAY($A796)),$A:$A,0))=""),"",F796/INDEX(F:F,MATCH(DATE(YEAR($A796)-1,MONTH($A796),DAY($A796)),$A:$A,0))-1),"")</f>
        <v/>
      </c>
      <c r="L796" s="19">
        <f>IFERROR(IF(OR(G796="",INDEX(G:G,MATCH(DATE(YEAR($A796)-1,MONTH($A796),DAY($A796)),$A:$A,0))=""),"",G796/INDEX(G:G,MATCH(DATE(YEAR($A796)-1,MONTH($A796),DAY($A796)),$A:$A,0))-1),"")</f>
        <v/>
      </c>
      <c r="M796" s="19">
        <f>IF(OR(E796="",E795=""),"",E796/E795-1)</f>
        <v/>
      </c>
      <c r="N796" s="19">
        <f>IF(OR(F796="",F795=""),"",F796/F795-1)</f>
        <v/>
      </c>
      <c r="O796" s="19">
        <f>IF(OR(G796="",G795=""),"",G796/G795-1)</f>
        <v/>
      </c>
      <c r="P796" s="22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IF(R796="","",P796/R796)</f>
        <v/>
      </c>
      <c r="T796" s="23">
        <f>IF(R796="","",Q796/R796)</f>
        <v/>
      </c>
      <c r="U796" s="24">
        <f>IF(SUMIFS('Daily NSE Equity Options'!$M:$M,'Daily NSE Equity Options'!$A:$A,$A796)=0,"",SUMIFS('Daily NSE Equity Options'!$M:$M,'Daily NSE Equity Options'!$A:$A,$A796))</f>
        <v/>
      </c>
      <c r="V796" s="9">
        <f>IF(SUMIFS('Daily BSE Equity Options'!$M:$M,'Daily BSE Equity Options'!$A:$A,$A796)=0,"",SUMIFS('Daily BSE Equity Options'!$M:$M,'Daily BSE Equity Options'!$A:$A,$A796))</f>
        <v/>
      </c>
      <c r="W796" s="9">
        <f>IF(OR(U796="",V796=""),"",U796+V796)</f>
        <v/>
      </c>
      <c r="X796" s="25">
        <f>IF(W796="","",U796/W796)</f>
        <v/>
      </c>
      <c r="Y796" s="25">
        <f>IF(W796="","",V796/W796)</f>
        <v/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19">
        <f>IF(G797="","",E797/G797)</f>
        <v/>
      </c>
      <c r="I797" s="19">
        <f>IF(G797="","",F797/G797)</f>
        <v/>
      </c>
      <c r="J797" s="26">
        <f>IFERROR(IF(OR(E797="",INDEX(E:E,MATCH(DATE(YEAR($A797)-1,MONTH($A797),DAY($A797)),$A:$A,0))=""),"",E797/INDEX(E:E,MATCH(DATE(YEAR($A797)-1,MONTH($A797),DAY($A797)),$A:$A,0))-1),"")</f>
        <v/>
      </c>
      <c r="K797" s="19">
        <f>IFERROR(IF(OR(F797="",INDEX(F:F,MATCH(DATE(YEAR($A797)-1,MONTH($A797),DAY($A797)),$A:$A,0))=""),"",F797/INDEX(F:F,MATCH(DATE(YEAR($A797)-1,MONTH($A797),DAY($A797)),$A:$A,0))-1),"")</f>
        <v/>
      </c>
      <c r="L797" s="19">
        <f>IFERROR(IF(OR(G797="",INDEX(G:G,MATCH(DATE(YEAR($A797)-1,MONTH($A797),DAY($A797)),$A:$A,0))=""),"",G797/INDEX(G:G,MATCH(DATE(YEAR($A797)-1,MONTH($A797),DAY($A797)),$A:$A,0))-1),"")</f>
        <v/>
      </c>
      <c r="M797" s="19">
        <f>IF(OR(E797="",E796=""),"",E797/E796-1)</f>
        <v/>
      </c>
      <c r="N797" s="19">
        <f>IF(OR(F797="",F796=""),"",F797/F796-1)</f>
        <v/>
      </c>
      <c r="O797" s="19">
        <f>IF(OR(G797="",G796=""),"",G797/G796-1)</f>
        <v/>
      </c>
      <c r="P797" s="22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IF(R797="","",P797/R797)</f>
        <v/>
      </c>
      <c r="T797" s="23">
        <f>IF(R797="","",Q797/R797)</f>
        <v/>
      </c>
      <c r="U797" s="24">
        <f>IF(SUMIFS('Daily NSE Equity Options'!$M:$M,'Daily NSE Equity Options'!$A:$A,$A797)=0,"",SUMIFS('Daily NSE Equity Options'!$M:$M,'Daily NSE Equity Options'!$A:$A,$A797))</f>
        <v/>
      </c>
      <c r="V797" s="9">
        <f>IF(SUMIFS('Daily BSE Equity Options'!$M:$M,'Daily BSE Equity Options'!$A:$A,$A797)=0,"",SUMIFS('Daily BSE Equity Options'!$M:$M,'Daily BSE Equity Options'!$A:$A,$A797))</f>
        <v/>
      </c>
      <c r="W797" s="9">
        <f>IF(OR(U797="",V797=""),"",U797+V797)</f>
        <v/>
      </c>
      <c r="X797" s="25">
        <f>IF(W797="","",U797/W797)</f>
        <v/>
      </c>
      <c r="Y797" s="25">
        <f>IF(W797="","",V797/W797)</f>
        <v/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19">
        <f>IF(G798="","",E798/G798)</f>
        <v/>
      </c>
      <c r="I798" s="19">
        <f>IF(G798="","",F798/G798)</f>
        <v/>
      </c>
      <c r="J798" s="26">
        <f>IFERROR(IF(OR(E798="",INDEX(E:E,MATCH(DATE(YEAR($A798)-1,MONTH($A798),DAY($A798)),$A:$A,0))=""),"",E798/INDEX(E:E,MATCH(DATE(YEAR($A798)-1,MONTH($A798),DAY($A798)),$A:$A,0))-1),"")</f>
        <v/>
      </c>
      <c r="K798" s="19">
        <f>IFERROR(IF(OR(F798="",INDEX(F:F,MATCH(DATE(YEAR($A798)-1,MONTH($A798),DAY($A798)),$A:$A,0))=""),"",F798/INDEX(F:F,MATCH(DATE(YEAR($A798)-1,MONTH($A798),DAY($A798)),$A:$A,0))-1),"")</f>
        <v/>
      </c>
      <c r="L798" s="19">
        <f>IFERROR(IF(OR(G798="",INDEX(G:G,MATCH(DATE(YEAR($A798)-1,MONTH($A798),DAY($A798)),$A:$A,0))=""),"",G798/INDEX(G:G,MATCH(DATE(YEAR($A798)-1,MONTH($A798),DAY($A798)),$A:$A,0))-1),"")</f>
        <v/>
      </c>
      <c r="M798" s="19">
        <f>IF(OR(E798="",E797=""),"",E798/E797-1)</f>
        <v/>
      </c>
      <c r="N798" s="19">
        <f>IF(OR(F798="",F797=""),"",F798/F797-1)</f>
        <v/>
      </c>
      <c r="O798" s="19">
        <f>IF(OR(G798="",G797=""),"",G798/G797-1)</f>
        <v/>
      </c>
      <c r="P798" s="22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IF(R798="","",P798/R798)</f>
        <v/>
      </c>
      <c r="T798" s="23">
        <f>IF(R798="","",Q798/R798)</f>
        <v/>
      </c>
      <c r="U798" s="24">
        <f>IF(SUMIFS('Daily NSE Equity Options'!$M:$M,'Daily NSE Equity Options'!$A:$A,$A798)=0,"",SUMIFS('Daily NSE Equity Options'!$M:$M,'Daily NSE Equity Options'!$A:$A,$A798))</f>
        <v/>
      </c>
      <c r="V798" s="9">
        <f>IF(SUMIFS('Daily BSE Equity Options'!$M:$M,'Daily BSE Equity Options'!$A:$A,$A798)=0,"",SUMIFS('Daily BSE Equity Options'!$M:$M,'Daily BSE Equity Options'!$A:$A,$A798))</f>
        <v/>
      </c>
      <c r="W798" s="9">
        <f>IF(OR(U798="",V798=""),"",U798+V798)</f>
        <v/>
      </c>
      <c r="X798" s="25">
        <f>IF(W798="","",U798/W798)</f>
        <v/>
      </c>
      <c r="Y798" s="25">
        <f>IF(W798="","",V798/W798)</f>
        <v/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19">
        <f>IF(G799="","",E799/G799)</f>
        <v/>
      </c>
      <c r="I799" s="19">
        <f>IF(G799="","",F799/G799)</f>
        <v/>
      </c>
      <c r="J799" s="26">
        <f>IFERROR(IF(OR(E799="",INDEX(E:E,MATCH(DATE(YEAR($A799)-1,MONTH($A799),DAY($A799)),$A:$A,0))=""),"",E799/INDEX(E:E,MATCH(DATE(YEAR($A799)-1,MONTH($A799),DAY($A799)),$A:$A,0))-1),"")</f>
        <v/>
      </c>
      <c r="K799" s="19">
        <f>IFERROR(IF(OR(F799="",INDEX(F:F,MATCH(DATE(YEAR($A799)-1,MONTH($A799),DAY($A799)),$A:$A,0))=""),"",F799/INDEX(F:F,MATCH(DATE(YEAR($A799)-1,MONTH($A799),DAY($A799)),$A:$A,0))-1),"")</f>
        <v/>
      </c>
      <c r="L799" s="19">
        <f>IFERROR(IF(OR(G799="",INDEX(G:G,MATCH(DATE(YEAR($A799)-1,MONTH($A799),DAY($A799)),$A:$A,0))=""),"",G799/INDEX(G:G,MATCH(DATE(YEAR($A799)-1,MONTH($A799),DAY($A799)),$A:$A,0))-1),"")</f>
        <v/>
      </c>
      <c r="M799" s="19">
        <f>IF(OR(E799="",E798=""),"",E799/E798-1)</f>
        <v/>
      </c>
      <c r="N799" s="19">
        <f>IF(OR(F799="",F798=""),"",F799/F798-1)</f>
        <v/>
      </c>
      <c r="O799" s="19">
        <f>IF(OR(G799="",G798=""),"",G799/G798-1)</f>
        <v/>
      </c>
      <c r="P799" s="22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IF(R799="","",P799/R799)</f>
        <v/>
      </c>
      <c r="T799" s="23">
        <f>IF(R799="","",Q799/R799)</f>
        <v/>
      </c>
      <c r="U799" s="24">
        <f>IF(SUMIFS('Daily NSE Equity Options'!$M:$M,'Daily NSE Equity Options'!$A:$A,$A799)=0,"",SUMIFS('Daily NSE Equity Options'!$M:$M,'Daily NSE Equity Options'!$A:$A,$A799))</f>
        <v/>
      </c>
      <c r="V799" s="9">
        <f>IF(SUMIFS('Daily BSE Equity Options'!$M:$M,'Daily BSE Equity Options'!$A:$A,$A799)=0,"",SUMIFS('Daily BSE Equity Options'!$M:$M,'Daily BSE Equity Options'!$A:$A,$A799))</f>
        <v/>
      </c>
      <c r="W799" s="9">
        <f>IF(OR(U799="",V799=""),"",U799+V799)</f>
        <v/>
      </c>
      <c r="X799" s="25">
        <f>IF(W799="","",U799/W799)</f>
        <v/>
      </c>
      <c r="Y799" s="25">
        <f>IF(W799="","",V799/W799)</f>
        <v/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19">
        <f>IF(G800="","",E800/G800)</f>
        <v/>
      </c>
      <c r="I800" s="19">
        <f>IF(G800="","",F800/G800)</f>
        <v/>
      </c>
      <c r="J800" s="26">
        <f>IFERROR(IF(OR(E800="",INDEX(E:E,MATCH(DATE(YEAR($A800)-1,MONTH($A800),DAY($A800)),$A:$A,0))=""),"",E800/INDEX(E:E,MATCH(DATE(YEAR($A800)-1,MONTH($A800),DAY($A800)),$A:$A,0))-1),"")</f>
        <v/>
      </c>
      <c r="K800" s="19">
        <f>IFERROR(IF(OR(F800="",INDEX(F:F,MATCH(DATE(YEAR($A800)-1,MONTH($A800),DAY($A800)),$A:$A,0))=""),"",F800/INDEX(F:F,MATCH(DATE(YEAR($A800)-1,MONTH($A800),DAY($A800)),$A:$A,0))-1),"")</f>
        <v/>
      </c>
      <c r="L800" s="19">
        <f>IFERROR(IF(OR(G800="",INDEX(G:G,MATCH(DATE(YEAR($A800)-1,MONTH($A800),DAY($A800)),$A:$A,0))=""),"",G800/INDEX(G:G,MATCH(DATE(YEAR($A800)-1,MONTH($A800),DAY($A800)),$A:$A,0))-1),"")</f>
        <v/>
      </c>
      <c r="M800" s="19">
        <f>IF(OR(E800="",E799=""),"",E800/E799-1)</f>
        <v/>
      </c>
      <c r="N800" s="19">
        <f>IF(OR(F800="",F799=""),"",F800/F799-1)</f>
        <v/>
      </c>
      <c r="O800" s="19">
        <f>IF(OR(G800="",G799=""),"",G800/G799-1)</f>
        <v/>
      </c>
      <c r="P800" s="22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IF(R800="","",P800/R800)</f>
        <v/>
      </c>
      <c r="T800" s="23">
        <f>IF(R800="","",Q800/R800)</f>
        <v/>
      </c>
      <c r="U800" s="24">
        <f>IF(SUMIFS('Daily NSE Equity Options'!$M:$M,'Daily NSE Equity Options'!$A:$A,$A800)=0,"",SUMIFS('Daily NSE Equity Options'!$M:$M,'Daily NSE Equity Options'!$A:$A,$A800))</f>
        <v/>
      </c>
      <c r="V800" s="9">
        <f>IF(SUMIFS('Daily BSE Equity Options'!$M:$M,'Daily BSE Equity Options'!$A:$A,$A800)=0,"",SUMIFS('Daily BSE Equity Options'!$M:$M,'Daily BSE Equity Options'!$A:$A,$A800))</f>
        <v/>
      </c>
      <c r="W800" s="9">
        <f>IF(OR(U800="",V800=""),"",U800+V800)</f>
        <v/>
      </c>
      <c r="X800" s="25">
        <f>IF(W800="","",U800/W800)</f>
        <v/>
      </c>
      <c r="Y800" s="25">
        <f>IF(W800="","",V800/W800)</f>
        <v/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19">
        <f>IF(G801="","",E801/G801)</f>
        <v/>
      </c>
      <c r="I801" s="19">
        <f>IF(G801="","",F801/G801)</f>
        <v/>
      </c>
      <c r="J801" s="26">
        <f>IFERROR(IF(OR(E801="",INDEX(E:E,MATCH(DATE(YEAR($A801)-1,MONTH($A801),DAY($A801)),$A:$A,0))=""),"",E801/INDEX(E:E,MATCH(DATE(YEAR($A801)-1,MONTH($A801),DAY($A801)),$A:$A,0))-1),"")</f>
        <v/>
      </c>
      <c r="K801" s="19">
        <f>IFERROR(IF(OR(F801="",INDEX(F:F,MATCH(DATE(YEAR($A801)-1,MONTH($A801),DAY($A801)),$A:$A,0))=""),"",F801/INDEX(F:F,MATCH(DATE(YEAR($A801)-1,MONTH($A801),DAY($A801)),$A:$A,0))-1),"")</f>
        <v/>
      </c>
      <c r="L801" s="19">
        <f>IFERROR(IF(OR(G801="",INDEX(G:G,MATCH(DATE(YEAR($A801)-1,MONTH($A801),DAY($A801)),$A:$A,0))=""),"",G801/INDEX(G:G,MATCH(DATE(YEAR($A801)-1,MONTH($A801),DAY($A801)),$A:$A,0))-1),"")</f>
        <v/>
      </c>
      <c r="M801" s="19">
        <f>IF(OR(E801="",E800=""),"",E801/E800-1)</f>
        <v/>
      </c>
      <c r="N801" s="19">
        <f>IF(OR(F801="",F800=""),"",F801/F800-1)</f>
        <v/>
      </c>
      <c r="O801" s="19">
        <f>IF(OR(G801="",G800=""),"",G801/G800-1)</f>
        <v/>
      </c>
      <c r="P801" s="22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IF(R801="","",P801/R801)</f>
        <v/>
      </c>
      <c r="T801" s="23">
        <f>IF(R801="","",Q801/R801)</f>
        <v/>
      </c>
      <c r="U801" s="24">
        <f>IF(SUMIFS('Daily NSE Equity Options'!$M:$M,'Daily NSE Equity Options'!$A:$A,$A801)=0,"",SUMIFS('Daily NSE Equity Options'!$M:$M,'Daily NSE Equity Options'!$A:$A,$A801))</f>
        <v/>
      </c>
      <c r="V801" s="9">
        <f>IF(SUMIFS('Daily BSE Equity Options'!$M:$M,'Daily BSE Equity Options'!$A:$A,$A801)=0,"",SUMIFS('Daily BSE Equity Options'!$M:$M,'Daily BSE Equity Options'!$A:$A,$A801))</f>
        <v/>
      </c>
      <c r="W801" s="9">
        <f>IF(OR(U801="",V801=""),"",U801+V801)</f>
        <v/>
      </c>
      <c r="X801" s="25">
        <f>IF(W801="","",U801/W801)</f>
        <v/>
      </c>
      <c r="Y801" s="25">
        <f>IF(W801="","",V801/W801)</f>
        <v/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19">
        <f>IF(G802="","",E802/G802)</f>
        <v/>
      </c>
      <c r="I802" s="19">
        <f>IF(G802="","",F802/G802)</f>
        <v/>
      </c>
      <c r="J802" s="26">
        <f>IFERROR(IF(OR(E802="",INDEX(E:E,MATCH(DATE(YEAR($A802)-1,MONTH($A802),DAY($A802)),$A:$A,0))=""),"",E802/INDEX(E:E,MATCH(DATE(YEAR($A802)-1,MONTH($A802),DAY($A802)),$A:$A,0))-1),"")</f>
        <v/>
      </c>
      <c r="K802" s="19">
        <f>IFERROR(IF(OR(F802="",INDEX(F:F,MATCH(DATE(YEAR($A802)-1,MONTH($A802),DAY($A802)),$A:$A,0))=""),"",F802/INDEX(F:F,MATCH(DATE(YEAR($A802)-1,MONTH($A802),DAY($A802)),$A:$A,0))-1),"")</f>
        <v/>
      </c>
      <c r="L802" s="19">
        <f>IFERROR(IF(OR(G802="",INDEX(G:G,MATCH(DATE(YEAR($A802)-1,MONTH($A802),DAY($A802)),$A:$A,0))=""),"",G802/INDEX(G:G,MATCH(DATE(YEAR($A802)-1,MONTH($A802),DAY($A802)),$A:$A,0))-1),"")</f>
        <v/>
      </c>
      <c r="M802" s="19">
        <f>IF(OR(E802="",E801=""),"",E802/E801-1)</f>
        <v/>
      </c>
      <c r="N802" s="19">
        <f>IF(OR(F802="",F801=""),"",F802/F801-1)</f>
        <v/>
      </c>
      <c r="O802" s="19">
        <f>IF(OR(G802="",G801=""),"",G802/G801-1)</f>
        <v/>
      </c>
      <c r="P802" s="22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IF(R802="","",P802/R802)</f>
        <v/>
      </c>
      <c r="T802" s="23">
        <f>IF(R802="","",Q802/R802)</f>
        <v/>
      </c>
      <c r="U802" s="24">
        <f>IF(SUMIFS('Daily NSE Equity Options'!$M:$M,'Daily NSE Equity Options'!$A:$A,$A802)=0,"",SUMIFS('Daily NSE Equity Options'!$M:$M,'Daily NSE Equity Options'!$A:$A,$A802))</f>
        <v/>
      </c>
      <c r="V802" s="9">
        <f>IF(SUMIFS('Daily BSE Equity Options'!$M:$M,'Daily BSE Equity Options'!$A:$A,$A802)=0,"",SUMIFS('Daily BSE Equity Options'!$M:$M,'Daily BSE Equity Options'!$A:$A,$A802))</f>
        <v/>
      </c>
      <c r="W802" s="9">
        <f>IF(OR(U802="",V802=""),"",U802+V802)</f>
        <v/>
      </c>
      <c r="X802" s="25">
        <f>IF(W802="","",U802/W802)</f>
        <v/>
      </c>
      <c r="Y802" s="25">
        <f>IF(W802="","",V802/W802)</f>
        <v/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19">
        <f>IF(G803="","",E803/G803)</f>
        <v/>
      </c>
      <c r="I803" s="19">
        <f>IF(G803="","",F803/G803)</f>
        <v/>
      </c>
      <c r="J803" s="26">
        <f>IFERROR(IF(OR(E803="",INDEX(E:E,MATCH(DATE(YEAR($A803)-1,MONTH($A803),DAY($A803)),$A:$A,0))=""),"",E803/INDEX(E:E,MATCH(DATE(YEAR($A803)-1,MONTH($A803),DAY($A803)),$A:$A,0))-1),"")</f>
        <v/>
      </c>
      <c r="K803" s="19">
        <f>IFERROR(IF(OR(F803="",INDEX(F:F,MATCH(DATE(YEAR($A803)-1,MONTH($A803),DAY($A803)),$A:$A,0))=""),"",F803/INDEX(F:F,MATCH(DATE(YEAR($A803)-1,MONTH($A803),DAY($A803)),$A:$A,0))-1),"")</f>
        <v/>
      </c>
      <c r="L803" s="19">
        <f>IFERROR(IF(OR(G803="",INDEX(G:G,MATCH(DATE(YEAR($A803)-1,MONTH($A803),DAY($A803)),$A:$A,0))=""),"",G803/INDEX(G:G,MATCH(DATE(YEAR($A803)-1,MONTH($A803),DAY($A803)),$A:$A,0))-1),"")</f>
        <v/>
      </c>
      <c r="M803" s="19">
        <f>IF(OR(E803="",E802=""),"",E803/E802-1)</f>
        <v/>
      </c>
      <c r="N803" s="19">
        <f>IF(OR(F803="",F802=""),"",F803/F802-1)</f>
        <v/>
      </c>
      <c r="O803" s="19">
        <f>IF(OR(G803="",G802=""),"",G803/G802-1)</f>
        <v/>
      </c>
      <c r="P803" s="22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IF(R803="","",P803/R803)</f>
        <v/>
      </c>
      <c r="T803" s="23">
        <f>IF(R803="","",Q803/R803)</f>
        <v/>
      </c>
      <c r="U803" s="24">
        <f>IF(SUMIFS('Daily NSE Equity Options'!$M:$M,'Daily NSE Equity Options'!$A:$A,$A803)=0,"",SUMIFS('Daily NSE Equity Options'!$M:$M,'Daily NSE Equity Options'!$A:$A,$A803))</f>
        <v/>
      </c>
      <c r="V803" s="9">
        <f>IF(SUMIFS('Daily BSE Equity Options'!$M:$M,'Daily BSE Equity Options'!$A:$A,$A803)=0,"",SUMIFS('Daily BSE Equity Options'!$M:$M,'Daily BSE Equity Options'!$A:$A,$A803))</f>
        <v/>
      </c>
      <c r="W803" s="9">
        <f>IF(OR(U803="",V803=""),"",U803+V803)</f>
        <v/>
      </c>
      <c r="X803" s="25">
        <f>IF(W803="","",U803/W803)</f>
        <v/>
      </c>
      <c r="Y803" s="25">
        <f>IF(W803="","",V803/W803)</f>
        <v/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19">
        <f>IF(G804="","",E804/G804)</f>
        <v/>
      </c>
      <c r="I804" s="19">
        <f>IF(G804="","",F804/G804)</f>
        <v/>
      </c>
      <c r="J804" s="26">
        <f>IFERROR(IF(OR(E804="",INDEX(E:E,MATCH(DATE(YEAR($A804)-1,MONTH($A804),DAY($A804)),$A:$A,0))=""),"",E804/INDEX(E:E,MATCH(DATE(YEAR($A804)-1,MONTH($A804),DAY($A804)),$A:$A,0))-1),"")</f>
        <v/>
      </c>
      <c r="K804" s="19">
        <f>IFERROR(IF(OR(F804="",INDEX(F:F,MATCH(DATE(YEAR($A804)-1,MONTH($A804),DAY($A804)),$A:$A,0))=""),"",F804/INDEX(F:F,MATCH(DATE(YEAR($A804)-1,MONTH($A804),DAY($A804)),$A:$A,0))-1),"")</f>
        <v/>
      </c>
      <c r="L804" s="19">
        <f>IFERROR(IF(OR(G804="",INDEX(G:G,MATCH(DATE(YEAR($A804)-1,MONTH($A804),DAY($A804)),$A:$A,0))=""),"",G804/INDEX(G:G,MATCH(DATE(YEAR($A804)-1,MONTH($A804),DAY($A804)),$A:$A,0))-1),"")</f>
        <v/>
      </c>
      <c r="M804" s="19">
        <f>IF(OR(E804="",E803=""),"",E804/E803-1)</f>
        <v/>
      </c>
      <c r="N804" s="19">
        <f>IF(OR(F804="",F803=""),"",F804/F803-1)</f>
        <v/>
      </c>
      <c r="O804" s="19">
        <f>IF(OR(G804="",G803=""),"",G804/G803-1)</f>
        <v/>
      </c>
      <c r="P804" s="22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IF(R804="","",P804/R804)</f>
        <v/>
      </c>
      <c r="T804" s="23">
        <f>IF(R804="","",Q804/R804)</f>
        <v/>
      </c>
      <c r="U804" s="24">
        <f>IF(SUMIFS('Daily NSE Equity Options'!$M:$M,'Daily NSE Equity Options'!$A:$A,$A804)=0,"",SUMIFS('Daily NSE Equity Options'!$M:$M,'Daily NSE Equity Options'!$A:$A,$A804))</f>
        <v/>
      </c>
      <c r="V804" s="9">
        <f>IF(SUMIFS('Daily BSE Equity Options'!$M:$M,'Daily BSE Equity Options'!$A:$A,$A804)=0,"",SUMIFS('Daily BSE Equity Options'!$M:$M,'Daily BSE Equity Options'!$A:$A,$A804))</f>
        <v/>
      </c>
      <c r="W804" s="9">
        <f>IF(OR(U804="",V804=""),"",U804+V804)</f>
        <v/>
      </c>
      <c r="X804" s="25">
        <f>IF(W804="","",U804/W804)</f>
        <v/>
      </c>
      <c r="Y804" s="25">
        <f>IF(W804="","",V804/W804)</f>
        <v/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19">
        <f>IF(G805="","",E805/G805)</f>
        <v/>
      </c>
      <c r="I805" s="19">
        <f>IF(G805="","",F805/G805)</f>
        <v/>
      </c>
      <c r="J805" s="26">
        <f>IFERROR(IF(OR(E805="",INDEX(E:E,MATCH(DATE(YEAR($A805)-1,MONTH($A805),DAY($A805)),$A:$A,0))=""),"",E805/INDEX(E:E,MATCH(DATE(YEAR($A805)-1,MONTH($A805),DAY($A805)),$A:$A,0))-1),"")</f>
        <v/>
      </c>
      <c r="K805" s="19">
        <f>IFERROR(IF(OR(F805="",INDEX(F:F,MATCH(DATE(YEAR($A805)-1,MONTH($A805),DAY($A805)),$A:$A,0))=""),"",F805/INDEX(F:F,MATCH(DATE(YEAR($A805)-1,MONTH($A805),DAY($A805)),$A:$A,0))-1),"")</f>
        <v/>
      </c>
      <c r="L805" s="19">
        <f>IFERROR(IF(OR(G805="",INDEX(G:G,MATCH(DATE(YEAR($A805)-1,MONTH($A805),DAY($A805)),$A:$A,0))=""),"",G805/INDEX(G:G,MATCH(DATE(YEAR($A805)-1,MONTH($A805),DAY($A805)),$A:$A,0))-1),"")</f>
        <v/>
      </c>
      <c r="M805" s="19">
        <f>IF(OR(E805="",E804=""),"",E805/E804-1)</f>
        <v/>
      </c>
      <c r="N805" s="19">
        <f>IF(OR(F805="",F804=""),"",F805/F804-1)</f>
        <v/>
      </c>
      <c r="O805" s="19">
        <f>IF(OR(G805="",G804=""),"",G805/G804-1)</f>
        <v/>
      </c>
      <c r="P805" s="22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IF(R805="","",P805/R805)</f>
        <v/>
      </c>
      <c r="T805" s="23">
        <f>IF(R805="","",Q805/R805)</f>
        <v/>
      </c>
      <c r="U805" s="24">
        <f>IF(SUMIFS('Daily NSE Equity Options'!$M:$M,'Daily NSE Equity Options'!$A:$A,$A805)=0,"",SUMIFS('Daily NSE Equity Options'!$M:$M,'Daily NSE Equity Options'!$A:$A,$A805))</f>
        <v/>
      </c>
      <c r="V805" s="9">
        <f>IF(SUMIFS('Daily BSE Equity Options'!$M:$M,'Daily BSE Equity Options'!$A:$A,$A805)=0,"",SUMIFS('Daily BSE Equity Options'!$M:$M,'Daily BSE Equity Options'!$A:$A,$A805))</f>
        <v/>
      </c>
      <c r="W805" s="9">
        <f>IF(OR(U805="",V805=""),"",U805+V805)</f>
        <v/>
      </c>
      <c r="X805" s="25">
        <f>IF(W805="","",U805/W805)</f>
        <v/>
      </c>
      <c r="Y805" s="25">
        <f>IF(W805="","",V805/W805)</f>
        <v/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19">
        <f>IF(G806="","",E806/G806)</f>
        <v/>
      </c>
      <c r="I806" s="19">
        <f>IF(G806="","",F806/G806)</f>
        <v/>
      </c>
      <c r="J806" s="26">
        <f>IFERROR(IF(OR(E806="",INDEX(E:E,MATCH(DATE(YEAR($A806)-1,MONTH($A806),DAY($A806)),$A:$A,0))=""),"",E806/INDEX(E:E,MATCH(DATE(YEAR($A806)-1,MONTH($A806),DAY($A806)),$A:$A,0))-1),"")</f>
        <v/>
      </c>
      <c r="K806" s="19">
        <f>IFERROR(IF(OR(F806="",INDEX(F:F,MATCH(DATE(YEAR($A806)-1,MONTH($A806),DAY($A806)),$A:$A,0))=""),"",F806/INDEX(F:F,MATCH(DATE(YEAR($A806)-1,MONTH($A806),DAY($A806)),$A:$A,0))-1),"")</f>
        <v/>
      </c>
      <c r="L806" s="19">
        <f>IFERROR(IF(OR(G806="",INDEX(G:G,MATCH(DATE(YEAR($A806)-1,MONTH($A806),DAY($A806)),$A:$A,0))=""),"",G806/INDEX(G:G,MATCH(DATE(YEAR($A806)-1,MONTH($A806),DAY($A806)),$A:$A,0))-1),"")</f>
        <v/>
      </c>
      <c r="M806" s="19">
        <f>IF(OR(E806="",E805=""),"",E806/E805-1)</f>
        <v/>
      </c>
      <c r="N806" s="19">
        <f>IF(OR(F806="",F805=""),"",F806/F805-1)</f>
        <v/>
      </c>
      <c r="O806" s="19">
        <f>IF(OR(G806="",G805=""),"",G806/G805-1)</f>
        <v/>
      </c>
      <c r="P806" s="22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IF(R806="","",P806/R806)</f>
        <v/>
      </c>
      <c r="T806" s="23">
        <f>IF(R806="","",Q806/R806)</f>
        <v/>
      </c>
      <c r="U806" s="24">
        <f>IF(SUMIFS('Daily NSE Equity Options'!$M:$M,'Daily NSE Equity Options'!$A:$A,$A806)=0,"",SUMIFS('Daily NSE Equity Options'!$M:$M,'Daily NSE Equity Options'!$A:$A,$A806))</f>
        <v/>
      </c>
      <c r="V806" s="9">
        <f>IF(SUMIFS('Daily BSE Equity Options'!$M:$M,'Daily BSE Equity Options'!$A:$A,$A806)=0,"",SUMIFS('Daily BSE Equity Options'!$M:$M,'Daily BSE Equity Options'!$A:$A,$A806))</f>
        <v/>
      </c>
      <c r="W806" s="9">
        <f>IF(OR(U806="",V806=""),"",U806+V806)</f>
        <v/>
      </c>
      <c r="X806" s="25">
        <f>IF(W806="","",U806/W806)</f>
        <v/>
      </c>
      <c r="Y806" s="25">
        <f>IF(W806="","",V806/W806)</f>
        <v/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19">
        <f>IF(G807="","",E807/G807)</f>
        <v/>
      </c>
      <c r="I807" s="19">
        <f>IF(G807="","",F807/G807)</f>
        <v/>
      </c>
      <c r="J807" s="26">
        <f>IFERROR(IF(OR(E807="",INDEX(E:E,MATCH(DATE(YEAR($A807)-1,MONTH($A807),DAY($A807)),$A:$A,0))=""),"",E807/INDEX(E:E,MATCH(DATE(YEAR($A807)-1,MONTH($A807),DAY($A807)),$A:$A,0))-1),"")</f>
        <v/>
      </c>
      <c r="K807" s="19">
        <f>IFERROR(IF(OR(F807="",INDEX(F:F,MATCH(DATE(YEAR($A807)-1,MONTH($A807),DAY($A807)),$A:$A,0))=""),"",F807/INDEX(F:F,MATCH(DATE(YEAR($A807)-1,MONTH($A807),DAY($A807)),$A:$A,0))-1),"")</f>
        <v/>
      </c>
      <c r="L807" s="19">
        <f>IFERROR(IF(OR(G807="",INDEX(G:G,MATCH(DATE(YEAR($A807)-1,MONTH($A807),DAY($A807)),$A:$A,0))=""),"",G807/INDEX(G:G,MATCH(DATE(YEAR($A807)-1,MONTH($A807),DAY($A807)),$A:$A,0))-1),"")</f>
        <v/>
      </c>
      <c r="M807" s="19">
        <f>IF(OR(E807="",E806=""),"",E807/E806-1)</f>
        <v/>
      </c>
      <c r="N807" s="19">
        <f>IF(OR(F807="",F806=""),"",F807/F806-1)</f>
        <v/>
      </c>
      <c r="O807" s="19">
        <f>IF(OR(G807="",G806=""),"",G807/G806-1)</f>
        <v/>
      </c>
      <c r="P807" s="22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IF(R807="","",P807/R807)</f>
        <v/>
      </c>
      <c r="T807" s="23">
        <f>IF(R807="","",Q807/R807)</f>
        <v/>
      </c>
      <c r="U807" s="24">
        <f>IF(SUMIFS('Daily NSE Equity Options'!$M:$M,'Daily NSE Equity Options'!$A:$A,$A807)=0,"",SUMIFS('Daily NSE Equity Options'!$M:$M,'Daily NSE Equity Options'!$A:$A,$A807))</f>
        <v/>
      </c>
      <c r="V807" s="9">
        <f>IF(SUMIFS('Daily BSE Equity Options'!$M:$M,'Daily BSE Equity Options'!$A:$A,$A807)=0,"",SUMIFS('Daily BSE Equity Options'!$M:$M,'Daily BSE Equity Options'!$A:$A,$A807))</f>
        <v/>
      </c>
      <c r="W807" s="9">
        <f>IF(OR(U807="",V807=""),"",U807+V807)</f>
        <v/>
      </c>
      <c r="X807" s="25">
        <f>IF(W807="","",U807/W807)</f>
        <v/>
      </c>
      <c r="Y807" s="25">
        <f>IF(W807="","",V807/W807)</f>
        <v/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19">
        <f>IF(G808="","",E808/G808)</f>
        <v/>
      </c>
      <c r="I808" s="19">
        <f>IF(G808="","",F808/G808)</f>
        <v/>
      </c>
      <c r="J808" s="26">
        <f>IFERROR(IF(OR(E808="",INDEX(E:E,MATCH(DATE(YEAR($A808)-1,MONTH($A808),DAY($A808)),$A:$A,0))=""),"",E808/INDEX(E:E,MATCH(DATE(YEAR($A808)-1,MONTH($A808),DAY($A808)),$A:$A,0))-1),"")</f>
        <v/>
      </c>
      <c r="K808" s="19">
        <f>IFERROR(IF(OR(F808="",INDEX(F:F,MATCH(DATE(YEAR($A808)-1,MONTH($A808),DAY($A808)),$A:$A,0))=""),"",F808/INDEX(F:F,MATCH(DATE(YEAR($A808)-1,MONTH($A808),DAY($A808)),$A:$A,0))-1),"")</f>
        <v/>
      </c>
      <c r="L808" s="19">
        <f>IFERROR(IF(OR(G808="",INDEX(G:G,MATCH(DATE(YEAR($A808)-1,MONTH($A808),DAY($A808)),$A:$A,0))=""),"",G808/INDEX(G:G,MATCH(DATE(YEAR($A808)-1,MONTH($A808),DAY($A808)),$A:$A,0))-1),"")</f>
        <v/>
      </c>
      <c r="M808" s="19">
        <f>IF(OR(E808="",E807=""),"",E808/E807-1)</f>
        <v/>
      </c>
      <c r="N808" s="19">
        <f>IF(OR(F808="",F807=""),"",F808/F807-1)</f>
        <v/>
      </c>
      <c r="O808" s="19">
        <f>IF(OR(G808="",G807=""),"",G808/G807-1)</f>
        <v/>
      </c>
      <c r="P808" s="22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IF(R808="","",P808/R808)</f>
        <v/>
      </c>
      <c r="T808" s="23">
        <f>IF(R808="","",Q808/R808)</f>
        <v/>
      </c>
      <c r="U808" s="24">
        <f>IF(SUMIFS('Daily NSE Equity Options'!$M:$M,'Daily NSE Equity Options'!$A:$A,$A808)=0,"",SUMIFS('Daily NSE Equity Options'!$M:$M,'Daily NSE Equity Options'!$A:$A,$A808))</f>
        <v/>
      </c>
      <c r="V808" s="9">
        <f>IF(SUMIFS('Daily BSE Equity Options'!$M:$M,'Daily BSE Equity Options'!$A:$A,$A808)=0,"",SUMIFS('Daily BSE Equity Options'!$M:$M,'Daily BSE Equity Options'!$A:$A,$A808))</f>
        <v/>
      </c>
      <c r="W808" s="9">
        <f>IF(OR(U808="",V808=""),"",U808+V808)</f>
        <v/>
      </c>
      <c r="X808" s="25">
        <f>IF(W808="","",U808/W808)</f>
        <v/>
      </c>
      <c r="Y808" s="25">
        <f>IF(W808="","",V808/W808)</f>
        <v/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19">
        <f>IF(G809="","",E809/G809)</f>
        <v/>
      </c>
      <c r="I809" s="19">
        <f>IF(G809="","",F809/G809)</f>
        <v/>
      </c>
      <c r="J809" s="26">
        <f>IFERROR(IF(OR(E809="",INDEX(E:E,MATCH(DATE(YEAR($A809)-1,MONTH($A809),DAY($A809)),$A:$A,0))=""),"",E809/INDEX(E:E,MATCH(DATE(YEAR($A809)-1,MONTH($A809),DAY($A809)),$A:$A,0))-1),"")</f>
        <v/>
      </c>
      <c r="K809" s="19">
        <f>IFERROR(IF(OR(F809="",INDEX(F:F,MATCH(DATE(YEAR($A809)-1,MONTH($A809),DAY($A809)),$A:$A,0))=""),"",F809/INDEX(F:F,MATCH(DATE(YEAR($A809)-1,MONTH($A809),DAY($A809)),$A:$A,0))-1),"")</f>
        <v/>
      </c>
      <c r="L809" s="19">
        <f>IFERROR(IF(OR(G809="",INDEX(G:G,MATCH(DATE(YEAR($A809)-1,MONTH($A809),DAY($A809)),$A:$A,0))=""),"",G809/INDEX(G:G,MATCH(DATE(YEAR($A809)-1,MONTH($A809),DAY($A809)),$A:$A,0))-1),"")</f>
        <v/>
      </c>
      <c r="M809" s="19">
        <f>IF(OR(E809="",E808=""),"",E809/E808-1)</f>
        <v/>
      </c>
      <c r="N809" s="19">
        <f>IF(OR(F809="",F808=""),"",F809/F808-1)</f>
        <v/>
      </c>
      <c r="O809" s="19">
        <f>IF(OR(G809="",G808=""),"",G809/G808-1)</f>
        <v/>
      </c>
      <c r="P809" s="22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IF(R809="","",P809/R809)</f>
        <v/>
      </c>
      <c r="T809" s="23">
        <f>IF(R809="","",Q809/R809)</f>
        <v/>
      </c>
      <c r="U809" s="24">
        <f>IF(SUMIFS('Daily NSE Equity Options'!$M:$M,'Daily NSE Equity Options'!$A:$A,$A809)=0,"",SUMIFS('Daily NSE Equity Options'!$M:$M,'Daily NSE Equity Options'!$A:$A,$A809))</f>
        <v/>
      </c>
      <c r="V809" s="9">
        <f>IF(SUMIFS('Daily BSE Equity Options'!$M:$M,'Daily BSE Equity Options'!$A:$A,$A809)=0,"",SUMIFS('Daily BSE Equity Options'!$M:$M,'Daily BSE Equity Options'!$A:$A,$A809))</f>
        <v/>
      </c>
      <c r="W809" s="9">
        <f>IF(OR(U809="",V809=""),"",U809+V809)</f>
        <v/>
      </c>
      <c r="X809" s="25">
        <f>IF(W809="","",U809/W809)</f>
        <v/>
      </c>
      <c r="Y809" s="25">
        <f>IF(W809="","",V809/W809)</f>
        <v/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19">
        <f>IF(G810="","",E810/G810)</f>
        <v/>
      </c>
      <c r="I810" s="19">
        <f>IF(G810="","",F810/G810)</f>
        <v/>
      </c>
      <c r="J810" s="26">
        <f>IFERROR(IF(OR(E810="",INDEX(E:E,MATCH(DATE(YEAR($A810)-1,MONTH($A810),DAY($A810)),$A:$A,0))=""),"",E810/INDEX(E:E,MATCH(DATE(YEAR($A810)-1,MONTH($A810),DAY($A810)),$A:$A,0))-1),"")</f>
        <v/>
      </c>
      <c r="K810" s="19">
        <f>IFERROR(IF(OR(F810="",INDEX(F:F,MATCH(DATE(YEAR($A810)-1,MONTH($A810),DAY($A810)),$A:$A,0))=""),"",F810/INDEX(F:F,MATCH(DATE(YEAR($A810)-1,MONTH($A810),DAY($A810)),$A:$A,0))-1),"")</f>
        <v/>
      </c>
      <c r="L810" s="19">
        <f>IFERROR(IF(OR(G810="",INDEX(G:G,MATCH(DATE(YEAR($A810)-1,MONTH($A810),DAY($A810)),$A:$A,0))=""),"",G810/INDEX(G:G,MATCH(DATE(YEAR($A810)-1,MONTH($A810),DAY($A810)),$A:$A,0))-1),"")</f>
        <v/>
      </c>
      <c r="M810" s="19">
        <f>IF(OR(E810="",E809=""),"",E810/E809-1)</f>
        <v/>
      </c>
      <c r="N810" s="19">
        <f>IF(OR(F810="",F809=""),"",F810/F809-1)</f>
        <v/>
      </c>
      <c r="O810" s="19">
        <f>IF(OR(G810="",G809=""),"",G810/G809-1)</f>
        <v/>
      </c>
      <c r="P810" s="22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IF(R810="","",P810/R810)</f>
        <v/>
      </c>
      <c r="T810" s="23">
        <f>IF(R810="","",Q810/R810)</f>
        <v/>
      </c>
      <c r="U810" s="24">
        <f>IF(SUMIFS('Daily NSE Equity Options'!$M:$M,'Daily NSE Equity Options'!$A:$A,$A810)=0,"",SUMIFS('Daily NSE Equity Options'!$M:$M,'Daily NSE Equity Options'!$A:$A,$A810))</f>
        <v/>
      </c>
      <c r="V810" s="9">
        <f>IF(SUMIFS('Daily BSE Equity Options'!$M:$M,'Daily BSE Equity Options'!$A:$A,$A810)=0,"",SUMIFS('Daily BSE Equity Options'!$M:$M,'Daily BSE Equity Options'!$A:$A,$A810))</f>
        <v/>
      </c>
      <c r="W810" s="9">
        <f>IF(OR(U810="",V810=""),"",U810+V810)</f>
        <v/>
      </c>
      <c r="X810" s="25">
        <f>IF(W810="","",U810/W810)</f>
        <v/>
      </c>
      <c r="Y810" s="25">
        <f>IF(W810="","",V810/W810)</f>
        <v/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19">
        <f>IF(G811="","",E811/G811)</f>
        <v/>
      </c>
      <c r="I811" s="19">
        <f>IF(G811="","",F811/G811)</f>
        <v/>
      </c>
      <c r="J811" s="26">
        <f>IFERROR(IF(OR(E811="",INDEX(E:E,MATCH(DATE(YEAR($A811)-1,MONTH($A811),DAY($A811)),$A:$A,0))=""),"",E811/INDEX(E:E,MATCH(DATE(YEAR($A811)-1,MONTH($A811),DAY($A811)),$A:$A,0))-1),"")</f>
        <v/>
      </c>
      <c r="K811" s="19">
        <f>IFERROR(IF(OR(F811="",INDEX(F:F,MATCH(DATE(YEAR($A811)-1,MONTH($A811),DAY($A811)),$A:$A,0))=""),"",F811/INDEX(F:F,MATCH(DATE(YEAR($A811)-1,MONTH($A811),DAY($A811)),$A:$A,0))-1),"")</f>
        <v/>
      </c>
      <c r="L811" s="19">
        <f>IFERROR(IF(OR(G811="",INDEX(G:G,MATCH(DATE(YEAR($A811)-1,MONTH($A811),DAY($A811)),$A:$A,0))=""),"",G811/INDEX(G:G,MATCH(DATE(YEAR($A811)-1,MONTH($A811),DAY($A811)),$A:$A,0))-1),"")</f>
        <v/>
      </c>
      <c r="M811" s="19">
        <f>IF(OR(E811="",E810=""),"",E811/E810-1)</f>
        <v/>
      </c>
      <c r="N811" s="19">
        <f>IF(OR(F811="",F810=""),"",F811/F810-1)</f>
        <v/>
      </c>
      <c r="O811" s="19">
        <f>IF(OR(G811="",G810=""),"",G811/G810-1)</f>
        <v/>
      </c>
      <c r="P811" s="22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IF(R811="","",P811/R811)</f>
        <v/>
      </c>
      <c r="T811" s="23">
        <f>IF(R811="","",Q811/R811)</f>
        <v/>
      </c>
      <c r="U811" s="24">
        <f>IF(SUMIFS('Daily NSE Equity Options'!$M:$M,'Daily NSE Equity Options'!$A:$A,$A811)=0,"",SUMIFS('Daily NSE Equity Options'!$M:$M,'Daily NSE Equity Options'!$A:$A,$A811))</f>
        <v/>
      </c>
      <c r="V811" s="9">
        <f>IF(SUMIFS('Daily BSE Equity Options'!$M:$M,'Daily BSE Equity Options'!$A:$A,$A811)=0,"",SUMIFS('Daily BSE Equity Options'!$M:$M,'Daily BSE Equity Options'!$A:$A,$A811))</f>
        <v/>
      </c>
      <c r="W811" s="9">
        <f>IF(OR(U811="",V811=""),"",U811+V811)</f>
        <v/>
      </c>
      <c r="X811" s="25">
        <f>IF(W811="","",U811/W811)</f>
        <v/>
      </c>
      <c r="Y811" s="25">
        <f>IF(W811="","",V811/W811)</f>
        <v/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19">
        <f>IF(G812="","",E812/G812)</f>
        <v/>
      </c>
      <c r="I812" s="19">
        <f>IF(G812="","",F812/G812)</f>
        <v/>
      </c>
      <c r="J812" s="26">
        <f>IFERROR(IF(OR(E812="",INDEX(E:E,MATCH(DATE(YEAR($A812)-1,MONTH($A812),DAY($A812)),$A:$A,0))=""),"",E812/INDEX(E:E,MATCH(DATE(YEAR($A812)-1,MONTH($A812),DAY($A812)),$A:$A,0))-1),"")</f>
        <v/>
      </c>
      <c r="K812" s="19">
        <f>IFERROR(IF(OR(F812="",INDEX(F:F,MATCH(DATE(YEAR($A812)-1,MONTH($A812),DAY($A812)),$A:$A,0))=""),"",F812/INDEX(F:F,MATCH(DATE(YEAR($A812)-1,MONTH($A812),DAY($A812)),$A:$A,0))-1),"")</f>
        <v/>
      </c>
      <c r="L812" s="19">
        <f>IFERROR(IF(OR(G812="",INDEX(G:G,MATCH(DATE(YEAR($A812)-1,MONTH($A812),DAY($A812)),$A:$A,0))=""),"",G812/INDEX(G:G,MATCH(DATE(YEAR($A812)-1,MONTH($A812),DAY($A812)),$A:$A,0))-1),"")</f>
        <v/>
      </c>
      <c r="M812" s="19">
        <f>IF(OR(E812="",E811=""),"",E812/E811-1)</f>
        <v/>
      </c>
      <c r="N812" s="19">
        <f>IF(OR(F812="",F811=""),"",F812/F811-1)</f>
        <v/>
      </c>
      <c r="O812" s="19">
        <f>IF(OR(G812="",G811=""),"",G812/G811-1)</f>
        <v/>
      </c>
      <c r="P812" s="22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IF(R812="","",P812/R812)</f>
        <v/>
      </c>
      <c r="T812" s="23">
        <f>IF(R812="","",Q812/R812)</f>
        <v/>
      </c>
      <c r="U812" s="24">
        <f>IF(SUMIFS('Daily NSE Equity Options'!$M:$M,'Daily NSE Equity Options'!$A:$A,$A812)=0,"",SUMIFS('Daily NSE Equity Options'!$M:$M,'Daily NSE Equity Options'!$A:$A,$A812))</f>
        <v/>
      </c>
      <c r="V812" s="9">
        <f>IF(SUMIFS('Daily BSE Equity Options'!$M:$M,'Daily BSE Equity Options'!$A:$A,$A812)=0,"",SUMIFS('Daily BSE Equity Options'!$M:$M,'Daily BSE Equity Options'!$A:$A,$A812))</f>
        <v/>
      </c>
      <c r="W812" s="9">
        <f>IF(OR(U812="",V812=""),"",U812+V812)</f>
        <v/>
      </c>
      <c r="X812" s="25">
        <f>IF(W812="","",U812/W812)</f>
        <v/>
      </c>
      <c r="Y812" s="25">
        <f>IF(W812="","",V812/W812)</f>
        <v/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19">
        <f>IF(G813="","",E813/G813)</f>
        <v/>
      </c>
      <c r="I813" s="19">
        <f>IF(G813="","",F813/G813)</f>
        <v/>
      </c>
      <c r="J813" s="26">
        <f>IFERROR(IF(OR(E813="",INDEX(E:E,MATCH(DATE(YEAR($A813)-1,MONTH($A813),DAY($A813)),$A:$A,0))=""),"",E813/INDEX(E:E,MATCH(DATE(YEAR($A813)-1,MONTH($A813),DAY($A813)),$A:$A,0))-1),"")</f>
        <v/>
      </c>
      <c r="K813" s="19">
        <f>IFERROR(IF(OR(F813="",INDEX(F:F,MATCH(DATE(YEAR($A813)-1,MONTH($A813),DAY($A813)),$A:$A,0))=""),"",F813/INDEX(F:F,MATCH(DATE(YEAR($A813)-1,MONTH($A813),DAY($A813)),$A:$A,0))-1),"")</f>
        <v/>
      </c>
      <c r="L813" s="19">
        <f>IFERROR(IF(OR(G813="",INDEX(G:G,MATCH(DATE(YEAR($A813)-1,MONTH($A813),DAY($A813)),$A:$A,0))=""),"",G813/INDEX(G:G,MATCH(DATE(YEAR($A813)-1,MONTH($A813),DAY($A813)),$A:$A,0))-1),"")</f>
        <v/>
      </c>
      <c r="M813" s="19">
        <f>IF(OR(E813="",E812=""),"",E813/E812-1)</f>
        <v/>
      </c>
      <c r="N813" s="19">
        <f>IF(OR(F813="",F812=""),"",F813/F812-1)</f>
        <v/>
      </c>
      <c r="O813" s="19">
        <f>IF(OR(G813="",G812=""),"",G813/G812-1)</f>
        <v/>
      </c>
      <c r="P813" s="22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IF(R813="","",P813/R813)</f>
        <v/>
      </c>
      <c r="T813" s="23">
        <f>IF(R813="","",Q813/R813)</f>
        <v/>
      </c>
      <c r="U813" s="24">
        <f>IF(SUMIFS('Daily NSE Equity Options'!$M:$M,'Daily NSE Equity Options'!$A:$A,$A813)=0,"",SUMIFS('Daily NSE Equity Options'!$M:$M,'Daily NSE Equity Options'!$A:$A,$A813))</f>
        <v/>
      </c>
      <c r="V813" s="9">
        <f>IF(SUMIFS('Daily BSE Equity Options'!$M:$M,'Daily BSE Equity Options'!$A:$A,$A813)=0,"",SUMIFS('Daily BSE Equity Options'!$M:$M,'Daily BSE Equity Options'!$A:$A,$A813))</f>
        <v/>
      </c>
      <c r="W813" s="9">
        <f>IF(OR(U813="",V813=""),"",U813+V813)</f>
        <v/>
      </c>
      <c r="X813" s="25">
        <f>IF(W813="","",U813/W813)</f>
        <v/>
      </c>
      <c r="Y813" s="25">
        <f>IF(W813="","",V813/W813)</f>
        <v/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19">
        <f>IF(G814="","",E814/G814)</f>
        <v/>
      </c>
      <c r="I814" s="19">
        <f>IF(G814="","",F814/G814)</f>
        <v/>
      </c>
      <c r="J814" s="26">
        <f>IFERROR(IF(OR(E814="",INDEX(E:E,MATCH(DATE(YEAR($A814)-1,MONTH($A814),DAY($A814)),$A:$A,0))=""),"",E814/INDEX(E:E,MATCH(DATE(YEAR($A814)-1,MONTH($A814),DAY($A814)),$A:$A,0))-1),"")</f>
        <v/>
      </c>
      <c r="K814" s="19">
        <f>IFERROR(IF(OR(F814="",INDEX(F:F,MATCH(DATE(YEAR($A814)-1,MONTH($A814),DAY($A814)),$A:$A,0))=""),"",F814/INDEX(F:F,MATCH(DATE(YEAR($A814)-1,MONTH($A814),DAY($A814)),$A:$A,0))-1),"")</f>
        <v/>
      </c>
      <c r="L814" s="19">
        <f>IFERROR(IF(OR(G814="",INDEX(G:G,MATCH(DATE(YEAR($A814)-1,MONTH($A814),DAY($A814)),$A:$A,0))=""),"",G814/INDEX(G:G,MATCH(DATE(YEAR($A814)-1,MONTH($A814),DAY($A814)),$A:$A,0))-1),"")</f>
        <v/>
      </c>
      <c r="M814" s="19">
        <f>IF(OR(E814="",E813=""),"",E814/E813-1)</f>
        <v/>
      </c>
      <c r="N814" s="19">
        <f>IF(OR(F814="",F813=""),"",F814/F813-1)</f>
        <v/>
      </c>
      <c r="O814" s="19">
        <f>IF(OR(G814="",G813=""),"",G814/G813-1)</f>
        <v/>
      </c>
      <c r="P814" s="22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IF(R814="","",P814/R814)</f>
        <v/>
      </c>
      <c r="T814" s="23">
        <f>IF(R814="","",Q814/R814)</f>
        <v/>
      </c>
      <c r="U814" s="24">
        <f>IF(SUMIFS('Daily NSE Equity Options'!$M:$M,'Daily NSE Equity Options'!$A:$A,$A814)=0,"",SUMIFS('Daily NSE Equity Options'!$M:$M,'Daily NSE Equity Options'!$A:$A,$A814))</f>
        <v/>
      </c>
      <c r="V814" s="9">
        <f>IF(SUMIFS('Daily BSE Equity Options'!$M:$M,'Daily BSE Equity Options'!$A:$A,$A814)=0,"",SUMIFS('Daily BSE Equity Options'!$M:$M,'Daily BSE Equity Options'!$A:$A,$A814))</f>
        <v/>
      </c>
      <c r="W814" s="9">
        <f>IF(OR(U814="",V814=""),"",U814+V814)</f>
        <v/>
      </c>
      <c r="X814" s="25">
        <f>IF(W814="","",U814/W814)</f>
        <v/>
      </c>
      <c r="Y814" s="25">
        <f>IF(W814="","",V814/W814)</f>
        <v/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19">
        <f>IF(G815="","",E815/G815)</f>
        <v/>
      </c>
      <c r="I815" s="19">
        <f>IF(G815="","",F815/G815)</f>
        <v/>
      </c>
      <c r="J815" s="26">
        <f>IFERROR(IF(OR(E815="",INDEX(E:E,MATCH(DATE(YEAR($A815)-1,MONTH($A815),DAY($A815)),$A:$A,0))=""),"",E815/INDEX(E:E,MATCH(DATE(YEAR($A815)-1,MONTH($A815),DAY($A815)),$A:$A,0))-1),"")</f>
        <v/>
      </c>
      <c r="K815" s="19">
        <f>IFERROR(IF(OR(F815="",INDEX(F:F,MATCH(DATE(YEAR($A815)-1,MONTH($A815),DAY($A815)),$A:$A,0))=""),"",F815/INDEX(F:F,MATCH(DATE(YEAR($A815)-1,MONTH($A815),DAY($A815)),$A:$A,0))-1),"")</f>
        <v/>
      </c>
      <c r="L815" s="19">
        <f>IFERROR(IF(OR(G815="",INDEX(G:G,MATCH(DATE(YEAR($A815)-1,MONTH($A815),DAY($A815)),$A:$A,0))=""),"",G815/INDEX(G:G,MATCH(DATE(YEAR($A815)-1,MONTH($A815),DAY($A815)),$A:$A,0))-1),"")</f>
        <v/>
      </c>
      <c r="M815" s="19">
        <f>IF(OR(E815="",E814=""),"",E815/E814-1)</f>
        <v/>
      </c>
      <c r="N815" s="19">
        <f>IF(OR(F815="",F814=""),"",F815/F814-1)</f>
        <v/>
      </c>
      <c r="O815" s="19">
        <f>IF(OR(G815="",G814=""),"",G815/G814-1)</f>
        <v/>
      </c>
      <c r="P815" s="22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IF(R815="","",P815/R815)</f>
        <v/>
      </c>
      <c r="T815" s="23">
        <f>IF(R815="","",Q815/R815)</f>
        <v/>
      </c>
      <c r="U815" s="24">
        <f>IF(SUMIFS('Daily NSE Equity Options'!$M:$M,'Daily NSE Equity Options'!$A:$A,$A815)=0,"",SUMIFS('Daily NSE Equity Options'!$M:$M,'Daily NSE Equity Options'!$A:$A,$A815))</f>
        <v/>
      </c>
      <c r="V815" s="9">
        <f>IF(SUMIFS('Daily BSE Equity Options'!$M:$M,'Daily BSE Equity Options'!$A:$A,$A815)=0,"",SUMIFS('Daily BSE Equity Options'!$M:$M,'Daily BSE Equity Options'!$A:$A,$A815))</f>
        <v/>
      </c>
      <c r="W815" s="9">
        <f>IF(OR(U815="",V815=""),"",U815+V815)</f>
        <v/>
      </c>
      <c r="X815" s="25">
        <f>IF(W815="","",U815/W815)</f>
        <v/>
      </c>
      <c r="Y815" s="25">
        <f>IF(W815="","",V815/W815)</f>
        <v/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19">
        <f>IF(G816="","",E816/G816)</f>
        <v/>
      </c>
      <c r="I816" s="19">
        <f>IF(G816="","",F816/G816)</f>
        <v/>
      </c>
      <c r="J816" s="26">
        <f>IFERROR(IF(OR(E816="",INDEX(E:E,MATCH(DATE(YEAR($A816)-1,MONTH($A816),DAY($A816)),$A:$A,0))=""),"",E816/INDEX(E:E,MATCH(DATE(YEAR($A816)-1,MONTH($A816),DAY($A816)),$A:$A,0))-1),"")</f>
        <v/>
      </c>
      <c r="K816" s="19">
        <f>IFERROR(IF(OR(F816="",INDEX(F:F,MATCH(DATE(YEAR($A816)-1,MONTH($A816),DAY($A816)),$A:$A,0))=""),"",F816/INDEX(F:F,MATCH(DATE(YEAR($A816)-1,MONTH($A816),DAY($A816)),$A:$A,0))-1),"")</f>
        <v/>
      </c>
      <c r="L816" s="19">
        <f>IFERROR(IF(OR(G816="",INDEX(G:G,MATCH(DATE(YEAR($A816)-1,MONTH($A816),DAY($A816)),$A:$A,0))=""),"",G816/INDEX(G:G,MATCH(DATE(YEAR($A816)-1,MONTH($A816),DAY($A816)),$A:$A,0))-1),"")</f>
        <v/>
      </c>
      <c r="M816" s="19">
        <f>IF(OR(E816="",E815=""),"",E816/E815-1)</f>
        <v/>
      </c>
      <c r="N816" s="19">
        <f>IF(OR(F816="",F815=""),"",F816/F815-1)</f>
        <v/>
      </c>
      <c r="O816" s="19">
        <f>IF(OR(G816="",G815=""),"",G816/G815-1)</f>
        <v/>
      </c>
      <c r="P816" s="22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IF(R816="","",P816/R816)</f>
        <v/>
      </c>
      <c r="T816" s="23">
        <f>IF(R816="","",Q816/R816)</f>
        <v/>
      </c>
      <c r="U816" s="24">
        <f>IF(SUMIFS('Daily NSE Equity Options'!$M:$M,'Daily NSE Equity Options'!$A:$A,$A816)=0,"",SUMIFS('Daily NSE Equity Options'!$M:$M,'Daily NSE Equity Options'!$A:$A,$A816))</f>
        <v/>
      </c>
      <c r="V816" s="9">
        <f>IF(SUMIFS('Daily BSE Equity Options'!$M:$M,'Daily BSE Equity Options'!$A:$A,$A816)=0,"",SUMIFS('Daily BSE Equity Options'!$M:$M,'Daily BSE Equity Options'!$A:$A,$A816))</f>
        <v/>
      </c>
      <c r="W816" s="9">
        <f>IF(OR(U816="",V816=""),"",U816+V816)</f>
        <v/>
      </c>
      <c r="X816" s="25">
        <f>IF(W816="","",U816/W816)</f>
        <v/>
      </c>
      <c r="Y816" s="25">
        <f>IF(W816="","",V816/W816)</f>
        <v/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19">
        <f>IF(G817="","",E817/G817)</f>
        <v/>
      </c>
      <c r="I817" s="19">
        <f>IF(G817="","",F817/G817)</f>
        <v/>
      </c>
      <c r="J817" s="26">
        <f>IFERROR(IF(OR(E817="",INDEX(E:E,MATCH(DATE(YEAR($A817)-1,MONTH($A817),DAY($A817)),$A:$A,0))=""),"",E817/INDEX(E:E,MATCH(DATE(YEAR($A817)-1,MONTH($A817),DAY($A817)),$A:$A,0))-1),"")</f>
        <v/>
      </c>
      <c r="K817" s="19">
        <f>IFERROR(IF(OR(F817="",INDEX(F:F,MATCH(DATE(YEAR($A817)-1,MONTH($A817),DAY($A817)),$A:$A,0))=""),"",F817/INDEX(F:F,MATCH(DATE(YEAR($A817)-1,MONTH($A817),DAY($A817)),$A:$A,0))-1),"")</f>
        <v/>
      </c>
      <c r="L817" s="19">
        <f>IFERROR(IF(OR(G817="",INDEX(G:G,MATCH(DATE(YEAR($A817)-1,MONTH($A817),DAY($A817)),$A:$A,0))=""),"",G817/INDEX(G:G,MATCH(DATE(YEAR($A817)-1,MONTH($A817),DAY($A817)),$A:$A,0))-1),"")</f>
        <v/>
      </c>
      <c r="M817" s="19">
        <f>IF(OR(E817="",E816=""),"",E817/E816-1)</f>
        <v/>
      </c>
      <c r="N817" s="19">
        <f>IF(OR(F817="",F816=""),"",F817/F816-1)</f>
        <v/>
      </c>
      <c r="O817" s="19">
        <f>IF(OR(G817="",G816=""),"",G817/G816-1)</f>
        <v/>
      </c>
      <c r="P817" s="22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IF(R817="","",P817/R817)</f>
        <v/>
      </c>
      <c r="T817" s="23">
        <f>IF(R817="","",Q817/R817)</f>
        <v/>
      </c>
      <c r="U817" s="24">
        <f>IF(SUMIFS('Daily NSE Equity Options'!$M:$M,'Daily NSE Equity Options'!$A:$A,$A817)=0,"",SUMIFS('Daily NSE Equity Options'!$M:$M,'Daily NSE Equity Options'!$A:$A,$A817))</f>
        <v/>
      </c>
      <c r="V817" s="9">
        <f>IF(SUMIFS('Daily BSE Equity Options'!$M:$M,'Daily BSE Equity Options'!$A:$A,$A817)=0,"",SUMIFS('Daily BSE Equity Options'!$M:$M,'Daily BSE Equity Options'!$A:$A,$A817))</f>
        <v/>
      </c>
      <c r="W817" s="9">
        <f>IF(OR(U817="",V817=""),"",U817+V817)</f>
        <v/>
      </c>
      <c r="X817" s="25">
        <f>IF(W817="","",U817/W817)</f>
        <v/>
      </c>
      <c r="Y817" s="25">
        <f>IF(W817="","",V817/W817)</f>
        <v/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19">
        <f>IF(G818="","",E818/G818)</f>
        <v/>
      </c>
      <c r="I818" s="19">
        <f>IF(G818="","",F818/G818)</f>
        <v/>
      </c>
      <c r="J818" s="26">
        <f>IFERROR(IF(OR(E818="",INDEX(E:E,MATCH(DATE(YEAR($A818)-1,MONTH($A818),DAY($A818)),$A:$A,0))=""),"",E818/INDEX(E:E,MATCH(DATE(YEAR($A818)-1,MONTH($A818),DAY($A818)),$A:$A,0))-1),"")</f>
        <v/>
      </c>
      <c r="K818" s="19">
        <f>IFERROR(IF(OR(F818="",INDEX(F:F,MATCH(DATE(YEAR($A818)-1,MONTH($A818),DAY($A818)),$A:$A,0))=""),"",F818/INDEX(F:F,MATCH(DATE(YEAR($A818)-1,MONTH($A818),DAY($A818)),$A:$A,0))-1),"")</f>
        <v/>
      </c>
      <c r="L818" s="19">
        <f>IFERROR(IF(OR(G818="",INDEX(G:G,MATCH(DATE(YEAR($A818)-1,MONTH($A818),DAY($A818)),$A:$A,0))=""),"",G818/INDEX(G:G,MATCH(DATE(YEAR($A818)-1,MONTH($A818),DAY($A818)),$A:$A,0))-1),"")</f>
        <v/>
      </c>
      <c r="M818" s="19">
        <f>IF(OR(E818="",E817=""),"",E818/E817-1)</f>
        <v/>
      </c>
      <c r="N818" s="19">
        <f>IF(OR(F818="",F817=""),"",F818/F817-1)</f>
        <v/>
      </c>
      <c r="O818" s="19">
        <f>IF(OR(G818="",G817=""),"",G818/G817-1)</f>
        <v/>
      </c>
      <c r="P818" s="22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IF(R818="","",P818/R818)</f>
        <v/>
      </c>
      <c r="T818" s="23">
        <f>IF(R818="","",Q818/R818)</f>
        <v/>
      </c>
      <c r="U818" s="24">
        <f>IF(SUMIFS('Daily NSE Equity Options'!$M:$M,'Daily NSE Equity Options'!$A:$A,$A818)=0,"",SUMIFS('Daily NSE Equity Options'!$M:$M,'Daily NSE Equity Options'!$A:$A,$A818))</f>
        <v/>
      </c>
      <c r="V818" s="9">
        <f>IF(SUMIFS('Daily BSE Equity Options'!$M:$M,'Daily BSE Equity Options'!$A:$A,$A818)=0,"",SUMIFS('Daily BSE Equity Options'!$M:$M,'Daily BSE Equity Options'!$A:$A,$A818))</f>
        <v/>
      </c>
      <c r="W818" s="9">
        <f>IF(OR(U818="",V818=""),"",U818+V818)</f>
        <v/>
      </c>
      <c r="X818" s="25">
        <f>IF(W818="","",U818/W818)</f>
        <v/>
      </c>
      <c r="Y818" s="25">
        <f>IF(W818="","",V818/W818)</f>
        <v/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19">
        <f>IF(G819="","",E819/G819)</f>
        <v/>
      </c>
      <c r="I819" s="19">
        <f>IF(G819="","",F819/G819)</f>
        <v/>
      </c>
      <c r="J819" s="26">
        <f>IFERROR(IF(OR(E819="",INDEX(E:E,MATCH(DATE(YEAR($A819)-1,MONTH($A819),DAY($A819)),$A:$A,0))=""),"",E819/INDEX(E:E,MATCH(DATE(YEAR($A819)-1,MONTH($A819),DAY($A819)),$A:$A,0))-1),"")</f>
        <v/>
      </c>
      <c r="K819" s="19">
        <f>IFERROR(IF(OR(F819="",INDEX(F:F,MATCH(DATE(YEAR($A819)-1,MONTH($A819),DAY($A819)),$A:$A,0))=""),"",F819/INDEX(F:F,MATCH(DATE(YEAR($A819)-1,MONTH($A819),DAY($A819)),$A:$A,0))-1),"")</f>
        <v/>
      </c>
      <c r="L819" s="19">
        <f>IFERROR(IF(OR(G819="",INDEX(G:G,MATCH(DATE(YEAR($A819)-1,MONTH($A819),DAY($A819)),$A:$A,0))=""),"",G819/INDEX(G:G,MATCH(DATE(YEAR($A819)-1,MONTH($A819),DAY($A819)),$A:$A,0))-1),"")</f>
        <v/>
      </c>
      <c r="M819" s="19">
        <f>IF(OR(E819="",E818=""),"",E819/E818-1)</f>
        <v/>
      </c>
      <c r="N819" s="19">
        <f>IF(OR(F819="",F818=""),"",F819/F818-1)</f>
        <v/>
      </c>
      <c r="O819" s="19">
        <f>IF(OR(G819="",G818=""),"",G819/G818-1)</f>
        <v/>
      </c>
      <c r="P819" s="22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IF(R819="","",P819/R819)</f>
        <v/>
      </c>
      <c r="T819" s="23">
        <f>IF(R819="","",Q819/R819)</f>
        <v/>
      </c>
      <c r="U819" s="24">
        <f>IF(SUMIFS('Daily NSE Equity Options'!$M:$M,'Daily NSE Equity Options'!$A:$A,$A819)=0,"",SUMIFS('Daily NSE Equity Options'!$M:$M,'Daily NSE Equity Options'!$A:$A,$A819))</f>
        <v/>
      </c>
      <c r="V819" s="9">
        <f>IF(SUMIFS('Daily BSE Equity Options'!$M:$M,'Daily BSE Equity Options'!$A:$A,$A819)=0,"",SUMIFS('Daily BSE Equity Options'!$M:$M,'Daily BSE Equity Options'!$A:$A,$A819))</f>
        <v/>
      </c>
      <c r="W819" s="9">
        <f>IF(OR(U819="",V819=""),"",U819+V819)</f>
        <v/>
      </c>
      <c r="X819" s="25">
        <f>IF(W819="","",U819/W819)</f>
        <v/>
      </c>
      <c r="Y819" s="25">
        <f>IF(W819="","",V819/W819)</f>
        <v/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19">
        <f>IF(G820="","",E820/G820)</f>
        <v/>
      </c>
      <c r="I820" s="19">
        <f>IF(G820="","",F820/G820)</f>
        <v/>
      </c>
      <c r="J820" s="26">
        <f>IFERROR(IF(OR(E820="",INDEX(E:E,MATCH(DATE(YEAR($A820)-1,MONTH($A820),DAY($A820)),$A:$A,0))=""),"",E820/INDEX(E:E,MATCH(DATE(YEAR($A820)-1,MONTH($A820),DAY($A820)),$A:$A,0))-1),"")</f>
        <v/>
      </c>
      <c r="K820" s="19">
        <f>IFERROR(IF(OR(F820="",INDEX(F:F,MATCH(DATE(YEAR($A820)-1,MONTH($A820),DAY($A820)),$A:$A,0))=""),"",F820/INDEX(F:F,MATCH(DATE(YEAR($A820)-1,MONTH($A820),DAY($A820)),$A:$A,0))-1),"")</f>
        <v/>
      </c>
      <c r="L820" s="19">
        <f>IFERROR(IF(OR(G820="",INDEX(G:G,MATCH(DATE(YEAR($A820)-1,MONTH($A820),DAY($A820)),$A:$A,0))=""),"",G820/INDEX(G:G,MATCH(DATE(YEAR($A820)-1,MONTH($A820),DAY($A820)),$A:$A,0))-1),"")</f>
        <v/>
      </c>
      <c r="M820" s="19">
        <f>IF(OR(E820="",E819=""),"",E820/E819-1)</f>
        <v/>
      </c>
      <c r="N820" s="19">
        <f>IF(OR(F820="",F819=""),"",F820/F819-1)</f>
        <v/>
      </c>
      <c r="O820" s="19">
        <f>IF(OR(G820="",G819=""),"",G820/G819-1)</f>
        <v/>
      </c>
      <c r="P820" s="22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IF(R820="","",P820/R820)</f>
        <v/>
      </c>
      <c r="T820" s="23">
        <f>IF(R820="","",Q820/R820)</f>
        <v/>
      </c>
      <c r="U820" s="24">
        <f>IF(SUMIFS('Daily NSE Equity Options'!$M:$M,'Daily NSE Equity Options'!$A:$A,$A820)=0,"",SUMIFS('Daily NSE Equity Options'!$M:$M,'Daily NSE Equity Options'!$A:$A,$A820))</f>
        <v/>
      </c>
      <c r="V820" s="9">
        <f>IF(SUMIFS('Daily BSE Equity Options'!$M:$M,'Daily BSE Equity Options'!$A:$A,$A820)=0,"",SUMIFS('Daily BSE Equity Options'!$M:$M,'Daily BSE Equity Options'!$A:$A,$A820))</f>
        <v/>
      </c>
      <c r="W820" s="9">
        <f>IF(OR(U820="",V820=""),"",U820+V820)</f>
        <v/>
      </c>
      <c r="X820" s="25">
        <f>IF(W820="","",U820/W820)</f>
        <v/>
      </c>
      <c r="Y820" s="25">
        <f>IF(W820="","",V820/W820)</f>
        <v/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19">
        <f>IF(G821="","",E821/G821)</f>
        <v/>
      </c>
      <c r="I821" s="19">
        <f>IF(G821="","",F821/G821)</f>
        <v/>
      </c>
      <c r="J821" s="26">
        <f>IFERROR(IF(OR(E821="",INDEX(E:E,MATCH(DATE(YEAR($A821)-1,MONTH($A821),DAY($A821)),$A:$A,0))=""),"",E821/INDEX(E:E,MATCH(DATE(YEAR($A821)-1,MONTH($A821),DAY($A821)),$A:$A,0))-1),"")</f>
        <v/>
      </c>
      <c r="K821" s="19">
        <f>IFERROR(IF(OR(F821="",INDEX(F:F,MATCH(DATE(YEAR($A821)-1,MONTH($A821),DAY($A821)),$A:$A,0))=""),"",F821/INDEX(F:F,MATCH(DATE(YEAR($A821)-1,MONTH($A821),DAY($A821)),$A:$A,0))-1),"")</f>
        <v/>
      </c>
      <c r="L821" s="19">
        <f>IFERROR(IF(OR(G821="",INDEX(G:G,MATCH(DATE(YEAR($A821)-1,MONTH($A821),DAY($A821)),$A:$A,0))=""),"",G821/INDEX(G:G,MATCH(DATE(YEAR($A821)-1,MONTH($A821),DAY($A821)),$A:$A,0))-1),"")</f>
        <v/>
      </c>
      <c r="M821" s="19">
        <f>IF(OR(E821="",E820=""),"",E821/E820-1)</f>
        <v/>
      </c>
      <c r="N821" s="19">
        <f>IF(OR(F821="",F820=""),"",F821/F820-1)</f>
        <v/>
      </c>
      <c r="O821" s="19">
        <f>IF(OR(G821="",G820=""),"",G821/G820-1)</f>
        <v/>
      </c>
      <c r="P821" s="22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IF(R821="","",P821/R821)</f>
        <v/>
      </c>
      <c r="T821" s="23">
        <f>IF(R821="","",Q821/R821)</f>
        <v/>
      </c>
      <c r="U821" s="24">
        <f>IF(SUMIFS('Daily NSE Equity Options'!$M:$M,'Daily NSE Equity Options'!$A:$A,$A821)=0,"",SUMIFS('Daily NSE Equity Options'!$M:$M,'Daily NSE Equity Options'!$A:$A,$A821))</f>
        <v/>
      </c>
      <c r="V821" s="9">
        <f>IF(SUMIFS('Daily BSE Equity Options'!$M:$M,'Daily BSE Equity Options'!$A:$A,$A821)=0,"",SUMIFS('Daily BSE Equity Options'!$M:$M,'Daily BSE Equity Options'!$A:$A,$A821))</f>
        <v/>
      </c>
      <c r="W821" s="9">
        <f>IF(OR(U821="",V821=""),"",U821+V821)</f>
        <v/>
      </c>
      <c r="X821" s="25">
        <f>IF(W821="","",U821/W821)</f>
        <v/>
      </c>
      <c r="Y821" s="25">
        <f>IF(W821="","",V821/W821)</f>
        <v/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19">
        <f>IF(G822="","",E822/G822)</f>
        <v/>
      </c>
      <c r="I822" s="19">
        <f>IF(G822="","",F822/G822)</f>
        <v/>
      </c>
      <c r="J822" s="26">
        <f>IFERROR(IF(OR(E822="",INDEX(E:E,MATCH(DATE(YEAR($A822)-1,MONTH($A822),DAY($A822)),$A:$A,0))=""),"",E822/INDEX(E:E,MATCH(DATE(YEAR($A822)-1,MONTH($A822),DAY($A822)),$A:$A,0))-1),"")</f>
        <v/>
      </c>
      <c r="K822" s="19">
        <f>IFERROR(IF(OR(F822="",INDEX(F:F,MATCH(DATE(YEAR($A822)-1,MONTH($A822),DAY($A822)),$A:$A,0))=""),"",F822/INDEX(F:F,MATCH(DATE(YEAR($A822)-1,MONTH($A822),DAY($A822)),$A:$A,0))-1),"")</f>
        <v/>
      </c>
      <c r="L822" s="19">
        <f>IFERROR(IF(OR(G822="",INDEX(G:G,MATCH(DATE(YEAR($A822)-1,MONTH($A822),DAY($A822)),$A:$A,0))=""),"",G822/INDEX(G:G,MATCH(DATE(YEAR($A822)-1,MONTH($A822),DAY($A822)),$A:$A,0))-1),"")</f>
        <v/>
      </c>
      <c r="M822" s="19">
        <f>IF(OR(E822="",E821=""),"",E822/E821-1)</f>
        <v/>
      </c>
      <c r="N822" s="19">
        <f>IF(OR(F822="",F821=""),"",F822/F821-1)</f>
        <v/>
      </c>
      <c r="O822" s="19">
        <f>IF(OR(G822="",G821=""),"",G822/G821-1)</f>
        <v/>
      </c>
      <c r="P822" s="22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IF(R822="","",P822/R822)</f>
        <v/>
      </c>
      <c r="T822" s="23">
        <f>IF(R822="","",Q822/R822)</f>
        <v/>
      </c>
      <c r="U822" s="24">
        <f>IF(SUMIFS('Daily NSE Equity Options'!$M:$M,'Daily NSE Equity Options'!$A:$A,$A822)=0,"",SUMIFS('Daily NSE Equity Options'!$M:$M,'Daily NSE Equity Options'!$A:$A,$A822))</f>
        <v/>
      </c>
      <c r="V822" s="9">
        <f>IF(SUMIFS('Daily BSE Equity Options'!$M:$M,'Daily BSE Equity Options'!$A:$A,$A822)=0,"",SUMIFS('Daily BSE Equity Options'!$M:$M,'Daily BSE Equity Options'!$A:$A,$A822))</f>
        <v/>
      </c>
      <c r="W822" s="9">
        <f>IF(OR(U822="",V822=""),"",U822+V822)</f>
        <v/>
      </c>
      <c r="X822" s="25">
        <f>IF(W822="","",U822/W822)</f>
        <v/>
      </c>
      <c r="Y822" s="25">
        <f>IF(W822="","",V822/W822)</f>
        <v/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19">
        <f>IF(G823="","",E823/G823)</f>
        <v/>
      </c>
      <c r="I823" s="19">
        <f>IF(G823="","",F823/G823)</f>
        <v/>
      </c>
      <c r="J823" s="26">
        <f>IFERROR(IF(OR(E823="",INDEX(E:E,MATCH(DATE(YEAR($A823)-1,MONTH($A823),DAY($A823)),$A:$A,0))=""),"",E823/INDEX(E:E,MATCH(DATE(YEAR($A823)-1,MONTH($A823),DAY($A823)),$A:$A,0))-1),"")</f>
        <v/>
      </c>
      <c r="K823" s="19">
        <f>IFERROR(IF(OR(F823="",INDEX(F:F,MATCH(DATE(YEAR($A823)-1,MONTH($A823),DAY($A823)),$A:$A,0))=""),"",F823/INDEX(F:F,MATCH(DATE(YEAR($A823)-1,MONTH($A823),DAY($A823)),$A:$A,0))-1),"")</f>
        <v/>
      </c>
      <c r="L823" s="19">
        <f>IFERROR(IF(OR(G823="",INDEX(G:G,MATCH(DATE(YEAR($A823)-1,MONTH($A823),DAY($A823)),$A:$A,0))=""),"",G823/INDEX(G:G,MATCH(DATE(YEAR($A823)-1,MONTH($A823),DAY($A823)),$A:$A,0))-1),"")</f>
        <v/>
      </c>
      <c r="M823" s="19">
        <f>IF(OR(E823="",E822=""),"",E823/E822-1)</f>
        <v/>
      </c>
      <c r="N823" s="19">
        <f>IF(OR(F823="",F822=""),"",F823/F822-1)</f>
        <v/>
      </c>
      <c r="O823" s="19">
        <f>IF(OR(G823="",G822=""),"",G823/G822-1)</f>
        <v/>
      </c>
      <c r="P823" s="22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IF(R823="","",P823/R823)</f>
        <v/>
      </c>
      <c r="T823" s="23">
        <f>IF(R823="","",Q823/R823)</f>
        <v/>
      </c>
      <c r="U823" s="24">
        <f>IF(SUMIFS('Daily NSE Equity Options'!$M:$M,'Daily NSE Equity Options'!$A:$A,$A823)=0,"",SUMIFS('Daily NSE Equity Options'!$M:$M,'Daily NSE Equity Options'!$A:$A,$A823))</f>
        <v/>
      </c>
      <c r="V823" s="9">
        <f>IF(SUMIFS('Daily BSE Equity Options'!$M:$M,'Daily BSE Equity Options'!$A:$A,$A823)=0,"",SUMIFS('Daily BSE Equity Options'!$M:$M,'Daily BSE Equity Options'!$A:$A,$A823))</f>
        <v/>
      </c>
      <c r="W823" s="9">
        <f>IF(OR(U823="",V823=""),"",U823+V823)</f>
        <v/>
      </c>
      <c r="X823" s="25">
        <f>IF(W823="","",U823/W823)</f>
        <v/>
      </c>
      <c r="Y823" s="25">
        <f>IF(W823="","",V823/W823)</f>
        <v/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19">
        <f>IF(G824="","",E824/G824)</f>
        <v/>
      </c>
      <c r="I824" s="19">
        <f>IF(G824="","",F824/G824)</f>
        <v/>
      </c>
      <c r="J824" s="26">
        <f>IFERROR(IF(OR(E824="",INDEX(E:E,MATCH(DATE(YEAR($A824)-1,MONTH($A824),DAY($A824)),$A:$A,0))=""),"",E824/INDEX(E:E,MATCH(DATE(YEAR($A824)-1,MONTH($A824),DAY($A824)),$A:$A,0))-1),"")</f>
        <v/>
      </c>
      <c r="K824" s="19">
        <f>IFERROR(IF(OR(F824="",INDEX(F:F,MATCH(DATE(YEAR($A824)-1,MONTH($A824),DAY($A824)),$A:$A,0))=""),"",F824/INDEX(F:F,MATCH(DATE(YEAR($A824)-1,MONTH($A824),DAY($A824)),$A:$A,0))-1),"")</f>
        <v/>
      </c>
      <c r="L824" s="19">
        <f>IFERROR(IF(OR(G824="",INDEX(G:G,MATCH(DATE(YEAR($A824)-1,MONTH($A824),DAY($A824)),$A:$A,0))=""),"",G824/INDEX(G:G,MATCH(DATE(YEAR($A824)-1,MONTH($A824),DAY($A824)),$A:$A,0))-1),"")</f>
        <v/>
      </c>
      <c r="M824" s="19">
        <f>IF(OR(E824="",E823=""),"",E824/E823-1)</f>
        <v/>
      </c>
      <c r="N824" s="19">
        <f>IF(OR(F824="",F823=""),"",F824/F823-1)</f>
        <v/>
      </c>
      <c r="O824" s="19">
        <f>IF(OR(G824="",G823=""),"",G824/G823-1)</f>
        <v/>
      </c>
      <c r="P824" s="22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IF(R824="","",P824/R824)</f>
        <v/>
      </c>
      <c r="T824" s="23">
        <f>IF(R824="","",Q824/R824)</f>
        <v/>
      </c>
      <c r="U824" s="24">
        <f>IF(SUMIFS('Daily NSE Equity Options'!$M:$M,'Daily NSE Equity Options'!$A:$A,$A824)=0,"",SUMIFS('Daily NSE Equity Options'!$M:$M,'Daily NSE Equity Options'!$A:$A,$A824))</f>
        <v/>
      </c>
      <c r="V824" s="9">
        <f>IF(SUMIFS('Daily BSE Equity Options'!$M:$M,'Daily BSE Equity Options'!$A:$A,$A824)=0,"",SUMIFS('Daily BSE Equity Options'!$M:$M,'Daily BSE Equity Options'!$A:$A,$A824))</f>
        <v/>
      </c>
      <c r="W824" s="9">
        <f>IF(OR(U824="",V824=""),"",U824+V824)</f>
        <v/>
      </c>
      <c r="X824" s="25">
        <f>IF(W824="","",U824/W824)</f>
        <v/>
      </c>
      <c r="Y824" s="25">
        <f>IF(W824="","",V824/W824)</f>
        <v/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19">
        <f>IF(G825="","",E825/G825)</f>
        <v/>
      </c>
      <c r="I825" s="19">
        <f>IF(G825="","",F825/G825)</f>
        <v/>
      </c>
      <c r="J825" s="26">
        <f>IFERROR(IF(OR(E825="",INDEX(E:E,MATCH(DATE(YEAR($A825)-1,MONTH($A825),DAY($A825)),$A:$A,0))=""),"",E825/INDEX(E:E,MATCH(DATE(YEAR($A825)-1,MONTH($A825),DAY($A825)),$A:$A,0))-1),"")</f>
        <v/>
      </c>
      <c r="K825" s="19">
        <f>IFERROR(IF(OR(F825="",INDEX(F:F,MATCH(DATE(YEAR($A825)-1,MONTH($A825),DAY($A825)),$A:$A,0))=""),"",F825/INDEX(F:F,MATCH(DATE(YEAR($A825)-1,MONTH($A825),DAY($A825)),$A:$A,0))-1),"")</f>
        <v/>
      </c>
      <c r="L825" s="19">
        <f>IFERROR(IF(OR(G825="",INDEX(G:G,MATCH(DATE(YEAR($A825)-1,MONTH($A825),DAY($A825)),$A:$A,0))=""),"",G825/INDEX(G:G,MATCH(DATE(YEAR($A825)-1,MONTH($A825),DAY($A825)),$A:$A,0))-1),"")</f>
        <v/>
      </c>
      <c r="M825" s="19">
        <f>IF(OR(E825="",E824=""),"",E825/E824-1)</f>
        <v/>
      </c>
      <c r="N825" s="19">
        <f>IF(OR(F825="",F824=""),"",F825/F824-1)</f>
        <v/>
      </c>
      <c r="O825" s="19">
        <f>IF(OR(G825="",G824=""),"",G825/G824-1)</f>
        <v/>
      </c>
      <c r="P825" s="22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IF(R825="","",P825/R825)</f>
        <v/>
      </c>
      <c r="T825" s="23">
        <f>IF(R825="","",Q825/R825)</f>
        <v/>
      </c>
      <c r="U825" s="24">
        <f>IF(SUMIFS('Daily NSE Equity Options'!$M:$M,'Daily NSE Equity Options'!$A:$A,$A825)=0,"",SUMIFS('Daily NSE Equity Options'!$M:$M,'Daily NSE Equity Options'!$A:$A,$A825))</f>
        <v/>
      </c>
      <c r="V825" s="9">
        <f>IF(SUMIFS('Daily BSE Equity Options'!$M:$M,'Daily BSE Equity Options'!$A:$A,$A825)=0,"",SUMIFS('Daily BSE Equity Options'!$M:$M,'Daily BSE Equity Options'!$A:$A,$A825))</f>
        <v/>
      </c>
      <c r="W825" s="9">
        <f>IF(OR(U825="",V825=""),"",U825+V825)</f>
        <v/>
      </c>
      <c r="X825" s="25">
        <f>IF(W825="","",U825/W825)</f>
        <v/>
      </c>
      <c r="Y825" s="25">
        <f>IF(W825="","",V825/W825)</f>
        <v/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19">
        <f>IF(G826="","",E826/G826)</f>
        <v/>
      </c>
      <c r="I826" s="19">
        <f>IF(G826="","",F826/G826)</f>
        <v/>
      </c>
      <c r="J826" s="26">
        <f>IFERROR(IF(OR(E826="",INDEX(E:E,MATCH(DATE(YEAR($A826)-1,MONTH($A826),DAY($A826)),$A:$A,0))=""),"",E826/INDEX(E:E,MATCH(DATE(YEAR($A826)-1,MONTH($A826),DAY($A826)),$A:$A,0))-1),"")</f>
        <v/>
      </c>
      <c r="K826" s="19">
        <f>IFERROR(IF(OR(F826="",INDEX(F:F,MATCH(DATE(YEAR($A826)-1,MONTH($A826),DAY($A826)),$A:$A,0))=""),"",F826/INDEX(F:F,MATCH(DATE(YEAR($A826)-1,MONTH($A826),DAY($A826)),$A:$A,0))-1),"")</f>
        <v/>
      </c>
      <c r="L826" s="19">
        <f>IFERROR(IF(OR(G826="",INDEX(G:G,MATCH(DATE(YEAR($A826)-1,MONTH($A826),DAY($A826)),$A:$A,0))=""),"",G826/INDEX(G:G,MATCH(DATE(YEAR($A826)-1,MONTH($A826),DAY($A826)),$A:$A,0))-1),"")</f>
        <v/>
      </c>
      <c r="M826" s="19">
        <f>IF(OR(E826="",E825=""),"",E826/E825-1)</f>
        <v/>
      </c>
      <c r="N826" s="19">
        <f>IF(OR(F826="",F825=""),"",F826/F825-1)</f>
        <v/>
      </c>
      <c r="O826" s="19">
        <f>IF(OR(G826="",G825=""),"",G826/G825-1)</f>
        <v/>
      </c>
      <c r="P826" s="22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IF(R826="","",P826/R826)</f>
        <v/>
      </c>
      <c r="T826" s="23">
        <f>IF(R826="","",Q826/R826)</f>
        <v/>
      </c>
      <c r="U826" s="24">
        <f>IF(SUMIFS('Daily NSE Equity Options'!$M:$M,'Daily NSE Equity Options'!$A:$A,$A826)=0,"",SUMIFS('Daily NSE Equity Options'!$M:$M,'Daily NSE Equity Options'!$A:$A,$A826))</f>
        <v/>
      </c>
      <c r="V826" s="9">
        <f>IF(SUMIFS('Daily BSE Equity Options'!$M:$M,'Daily BSE Equity Options'!$A:$A,$A826)=0,"",SUMIFS('Daily BSE Equity Options'!$M:$M,'Daily BSE Equity Options'!$A:$A,$A826))</f>
        <v/>
      </c>
      <c r="W826" s="9">
        <f>IF(OR(U826="",V826=""),"",U826+V826)</f>
        <v/>
      </c>
      <c r="X826" s="25">
        <f>IF(W826="","",U826/W826)</f>
        <v/>
      </c>
      <c r="Y826" s="25">
        <f>IF(W826="","",V826/W826)</f>
        <v/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19">
        <f>IF(G827="","",E827/G827)</f>
        <v/>
      </c>
      <c r="I827" s="19">
        <f>IF(G827="","",F827/G827)</f>
        <v/>
      </c>
      <c r="J827" s="26">
        <f>IFERROR(IF(OR(E827="",INDEX(E:E,MATCH(DATE(YEAR($A827)-1,MONTH($A827),DAY($A827)),$A:$A,0))=""),"",E827/INDEX(E:E,MATCH(DATE(YEAR($A827)-1,MONTH($A827),DAY($A827)),$A:$A,0))-1),"")</f>
        <v/>
      </c>
      <c r="K827" s="19">
        <f>IFERROR(IF(OR(F827="",INDEX(F:F,MATCH(DATE(YEAR($A827)-1,MONTH($A827),DAY($A827)),$A:$A,0))=""),"",F827/INDEX(F:F,MATCH(DATE(YEAR($A827)-1,MONTH($A827),DAY($A827)),$A:$A,0))-1),"")</f>
        <v/>
      </c>
      <c r="L827" s="19">
        <f>IFERROR(IF(OR(G827="",INDEX(G:G,MATCH(DATE(YEAR($A827)-1,MONTH($A827),DAY($A827)),$A:$A,0))=""),"",G827/INDEX(G:G,MATCH(DATE(YEAR($A827)-1,MONTH($A827),DAY($A827)),$A:$A,0))-1),"")</f>
        <v/>
      </c>
      <c r="M827" s="19">
        <f>IF(OR(E827="",E826=""),"",E827/E826-1)</f>
        <v/>
      </c>
      <c r="N827" s="19">
        <f>IF(OR(F827="",F826=""),"",F827/F826-1)</f>
        <v/>
      </c>
      <c r="O827" s="19">
        <f>IF(OR(G827="",G826=""),"",G827/G826-1)</f>
        <v/>
      </c>
      <c r="P827" s="22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IF(R827="","",P827/R827)</f>
        <v/>
      </c>
      <c r="T827" s="23">
        <f>IF(R827="","",Q827/R827)</f>
        <v/>
      </c>
      <c r="U827" s="24">
        <f>IF(SUMIFS('Daily NSE Equity Options'!$M:$M,'Daily NSE Equity Options'!$A:$A,$A827)=0,"",SUMIFS('Daily NSE Equity Options'!$M:$M,'Daily NSE Equity Options'!$A:$A,$A827))</f>
        <v/>
      </c>
      <c r="V827" s="9">
        <f>IF(SUMIFS('Daily BSE Equity Options'!$M:$M,'Daily BSE Equity Options'!$A:$A,$A827)=0,"",SUMIFS('Daily BSE Equity Options'!$M:$M,'Daily BSE Equity Options'!$A:$A,$A827))</f>
        <v/>
      </c>
      <c r="W827" s="9">
        <f>IF(OR(U827="",V827=""),"",U827+V827)</f>
        <v/>
      </c>
      <c r="X827" s="25">
        <f>IF(W827="","",U827/W827)</f>
        <v/>
      </c>
      <c r="Y827" s="25">
        <f>IF(W827="","",V827/W827)</f>
        <v/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19">
        <f>IF(G828="","",E828/G828)</f>
        <v/>
      </c>
      <c r="I828" s="19">
        <f>IF(G828="","",F828/G828)</f>
        <v/>
      </c>
      <c r="J828" s="26">
        <f>IFERROR(IF(OR(E828="",INDEX(E:E,MATCH(DATE(YEAR($A828)-1,MONTH($A828),DAY($A828)),$A:$A,0))=""),"",E828/INDEX(E:E,MATCH(DATE(YEAR($A828)-1,MONTH($A828),DAY($A828)),$A:$A,0))-1),"")</f>
        <v/>
      </c>
      <c r="K828" s="19">
        <f>IFERROR(IF(OR(F828="",INDEX(F:F,MATCH(DATE(YEAR($A828)-1,MONTH($A828),DAY($A828)),$A:$A,0))=""),"",F828/INDEX(F:F,MATCH(DATE(YEAR($A828)-1,MONTH($A828),DAY($A828)),$A:$A,0))-1),"")</f>
        <v/>
      </c>
      <c r="L828" s="19">
        <f>IFERROR(IF(OR(G828="",INDEX(G:G,MATCH(DATE(YEAR($A828)-1,MONTH($A828),DAY($A828)),$A:$A,0))=""),"",G828/INDEX(G:G,MATCH(DATE(YEAR($A828)-1,MONTH($A828),DAY($A828)),$A:$A,0))-1),"")</f>
        <v/>
      </c>
      <c r="M828" s="19">
        <f>IF(OR(E828="",E827=""),"",E828/E827-1)</f>
        <v/>
      </c>
      <c r="N828" s="19">
        <f>IF(OR(F828="",F827=""),"",F828/F827-1)</f>
        <v/>
      </c>
      <c r="O828" s="19">
        <f>IF(OR(G828="",G827=""),"",G828/G827-1)</f>
        <v/>
      </c>
      <c r="P828" s="22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IF(R828="","",P828/R828)</f>
        <v/>
      </c>
      <c r="T828" s="23">
        <f>IF(R828="","",Q828/R828)</f>
        <v/>
      </c>
      <c r="U828" s="24">
        <f>IF(SUMIFS('Daily NSE Equity Options'!$M:$M,'Daily NSE Equity Options'!$A:$A,$A828)=0,"",SUMIFS('Daily NSE Equity Options'!$M:$M,'Daily NSE Equity Options'!$A:$A,$A828))</f>
        <v/>
      </c>
      <c r="V828" s="9">
        <f>IF(SUMIFS('Daily BSE Equity Options'!$M:$M,'Daily BSE Equity Options'!$A:$A,$A828)=0,"",SUMIFS('Daily BSE Equity Options'!$M:$M,'Daily BSE Equity Options'!$A:$A,$A828))</f>
        <v/>
      </c>
      <c r="W828" s="9">
        <f>IF(OR(U828="",V828=""),"",U828+V828)</f>
        <v/>
      </c>
      <c r="X828" s="25">
        <f>IF(W828="","",U828/W828)</f>
        <v/>
      </c>
      <c r="Y828" s="25">
        <f>IF(W828="","",V828/W828)</f>
        <v/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19">
        <f>IF(G829="","",E829/G829)</f>
        <v/>
      </c>
      <c r="I829" s="19">
        <f>IF(G829="","",F829/G829)</f>
        <v/>
      </c>
      <c r="J829" s="26">
        <f>IFERROR(IF(OR(E829="",INDEX(E:E,MATCH(DATE(YEAR($A829)-1,MONTH($A829),DAY($A829)),$A:$A,0))=""),"",E829/INDEX(E:E,MATCH(DATE(YEAR($A829)-1,MONTH($A829),DAY($A829)),$A:$A,0))-1),"")</f>
        <v/>
      </c>
      <c r="K829" s="19">
        <f>IFERROR(IF(OR(F829="",INDEX(F:F,MATCH(DATE(YEAR($A829)-1,MONTH($A829),DAY($A829)),$A:$A,0))=""),"",F829/INDEX(F:F,MATCH(DATE(YEAR($A829)-1,MONTH($A829),DAY($A829)),$A:$A,0))-1),"")</f>
        <v/>
      </c>
      <c r="L829" s="19">
        <f>IFERROR(IF(OR(G829="",INDEX(G:G,MATCH(DATE(YEAR($A829)-1,MONTH($A829),DAY($A829)),$A:$A,0))=""),"",G829/INDEX(G:G,MATCH(DATE(YEAR($A829)-1,MONTH($A829),DAY($A829)),$A:$A,0))-1),"")</f>
        <v/>
      </c>
      <c r="M829" s="19">
        <f>IF(OR(E829="",E828=""),"",E829/E828-1)</f>
        <v/>
      </c>
      <c r="N829" s="19">
        <f>IF(OR(F829="",F828=""),"",F829/F828-1)</f>
        <v/>
      </c>
      <c r="O829" s="19">
        <f>IF(OR(G829="",G828=""),"",G829/G828-1)</f>
        <v/>
      </c>
      <c r="P829" s="22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IF(R829="","",P829/R829)</f>
        <v/>
      </c>
      <c r="T829" s="23">
        <f>IF(R829="","",Q829/R829)</f>
        <v/>
      </c>
      <c r="U829" s="24">
        <f>IF(SUMIFS('Daily NSE Equity Options'!$M:$M,'Daily NSE Equity Options'!$A:$A,$A829)=0,"",SUMIFS('Daily NSE Equity Options'!$M:$M,'Daily NSE Equity Options'!$A:$A,$A829))</f>
        <v/>
      </c>
      <c r="V829" s="9">
        <f>IF(SUMIFS('Daily BSE Equity Options'!$M:$M,'Daily BSE Equity Options'!$A:$A,$A829)=0,"",SUMIFS('Daily BSE Equity Options'!$M:$M,'Daily BSE Equity Options'!$A:$A,$A829))</f>
        <v/>
      </c>
      <c r="W829" s="9">
        <f>IF(OR(U829="",V829=""),"",U829+V829)</f>
        <v/>
      </c>
      <c r="X829" s="25">
        <f>IF(W829="","",U829/W829)</f>
        <v/>
      </c>
      <c r="Y829" s="25">
        <f>IF(W829="","",V829/W829)</f>
        <v/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19">
        <f>IF(G830="","",E830/G830)</f>
        <v/>
      </c>
      <c r="I830" s="19">
        <f>IF(G830="","",F830/G830)</f>
        <v/>
      </c>
      <c r="J830" s="26">
        <f>IFERROR(IF(OR(E830="",INDEX(E:E,MATCH(DATE(YEAR($A830)-1,MONTH($A830),DAY($A830)),$A:$A,0))=""),"",E830/INDEX(E:E,MATCH(DATE(YEAR($A830)-1,MONTH($A830),DAY($A830)),$A:$A,0))-1),"")</f>
        <v/>
      </c>
      <c r="K830" s="19">
        <f>IFERROR(IF(OR(F830="",INDEX(F:F,MATCH(DATE(YEAR($A830)-1,MONTH($A830),DAY($A830)),$A:$A,0))=""),"",F830/INDEX(F:F,MATCH(DATE(YEAR($A830)-1,MONTH($A830),DAY($A830)),$A:$A,0))-1),"")</f>
        <v/>
      </c>
      <c r="L830" s="19">
        <f>IFERROR(IF(OR(G830="",INDEX(G:G,MATCH(DATE(YEAR($A830)-1,MONTH($A830),DAY($A830)),$A:$A,0))=""),"",G830/INDEX(G:G,MATCH(DATE(YEAR($A830)-1,MONTH($A830),DAY($A830)),$A:$A,0))-1),"")</f>
        <v/>
      </c>
      <c r="M830" s="19">
        <f>IF(OR(E830="",E829=""),"",E830/E829-1)</f>
        <v/>
      </c>
      <c r="N830" s="19">
        <f>IF(OR(F830="",F829=""),"",F830/F829-1)</f>
        <v/>
      </c>
      <c r="O830" s="19">
        <f>IF(OR(G830="",G829=""),"",G830/G829-1)</f>
        <v/>
      </c>
      <c r="P830" s="22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IF(R830="","",P830/R830)</f>
        <v/>
      </c>
      <c r="T830" s="23">
        <f>IF(R830="","",Q830/R830)</f>
        <v/>
      </c>
      <c r="U830" s="24">
        <f>IF(SUMIFS('Daily NSE Equity Options'!$M:$M,'Daily NSE Equity Options'!$A:$A,$A830)=0,"",SUMIFS('Daily NSE Equity Options'!$M:$M,'Daily NSE Equity Options'!$A:$A,$A830))</f>
        <v/>
      </c>
      <c r="V830" s="9">
        <f>IF(SUMIFS('Daily BSE Equity Options'!$M:$M,'Daily BSE Equity Options'!$A:$A,$A830)=0,"",SUMIFS('Daily BSE Equity Options'!$M:$M,'Daily BSE Equity Options'!$A:$A,$A830))</f>
        <v/>
      </c>
      <c r="W830" s="9">
        <f>IF(OR(U830="",V830=""),"",U830+V830)</f>
        <v/>
      </c>
      <c r="X830" s="25">
        <f>IF(W830="","",U830/W830)</f>
        <v/>
      </c>
      <c r="Y830" s="25">
        <f>IF(W830="","",V830/W830)</f>
        <v/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19">
        <f>IF(G831="","",E831/G831)</f>
        <v/>
      </c>
      <c r="I831" s="19">
        <f>IF(G831="","",F831/G831)</f>
        <v/>
      </c>
      <c r="J831" s="26">
        <f>IFERROR(IF(OR(E831="",INDEX(E:E,MATCH(DATE(YEAR($A831)-1,MONTH($A831),DAY($A831)),$A:$A,0))=""),"",E831/INDEX(E:E,MATCH(DATE(YEAR($A831)-1,MONTH($A831),DAY($A831)),$A:$A,0))-1),"")</f>
        <v/>
      </c>
      <c r="K831" s="19">
        <f>IFERROR(IF(OR(F831="",INDEX(F:F,MATCH(DATE(YEAR($A831)-1,MONTH($A831),DAY($A831)),$A:$A,0))=""),"",F831/INDEX(F:F,MATCH(DATE(YEAR($A831)-1,MONTH($A831),DAY($A831)),$A:$A,0))-1),"")</f>
        <v/>
      </c>
      <c r="L831" s="19">
        <f>IFERROR(IF(OR(G831="",INDEX(G:G,MATCH(DATE(YEAR($A831)-1,MONTH($A831),DAY($A831)),$A:$A,0))=""),"",G831/INDEX(G:G,MATCH(DATE(YEAR($A831)-1,MONTH($A831),DAY($A831)),$A:$A,0))-1),"")</f>
        <v/>
      </c>
      <c r="M831" s="19">
        <f>IF(OR(E831="",E830=""),"",E831/E830-1)</f>
        <v/>
      </c>
      <c r="N831" s="19">
        <f>IF(OR(F831="",F830=""),"",F831/F830-1)</f>
        <v/>
      </c>
      <c r="O831" s="19">
        <f>IF(OR(G831="",G830=""),"",G831/G830-1)</f>
        <v/>
      </c>
      <c r="P831" s="22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IF(R831="","",P831/R831)</f>
        <v/>
      </c>
      <c r="T831" s="23">
        <f>IF(R831="","",Q831/R831)</f>
        <v/>
      </c>
      <c r="U831" s="24">
        <f>IF(SUMIFS('Daily NSE Equity Options'!$M:$M,'Daily NSE Equity Options'!$A:$A,$A831)=0,"",SUMIFS('Daily NSE Equity Options'!$M:$M,'Daily NSE Equity Options'!$A:$A,$A831))</f>
        <v/>
      </c>
      <c r="V831" s="9">
        <f>IF(SUMIFS('Daily BSE Equity Options'!$M:$M,'Daily BSE Equity Options'!$A:$A,$A831)=0,"",SUMIFS('Daily BSE Equity Options'!$M:$M,'Daily BSE Equity Options'!$A:$A,$A831))</f>
        <v/>
      </c>
      <c r="W831" s="9">
        <f>IF(OR(U831="",V831=""),"",U831+V831)</f>
        <v/>
      </c>
      <c r="X831" s="25">
        <f>IF(W831="","",U831/W831)</f>
        <v/>
      </c>
      <c r="Y831" s="25">
        <f>IF(W831="","",V831/W831)</f>
        <v/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19">
        <f>IF(G832="","",E832/G832)</f>
        <v/>
      </c>
      <c r="I832" s="19">
        <f>IF(G832="","",F832/G832)</f>
        <v/>
      </c>
      <c r="J832" s="26">
        <f>IFERROR(IF(OR(E832="",INDEX(E:E,MATCH(DATE(YEAR($A832)-1,MONTH($A832),DAY($A832)),$A:$A,0))=""),"",E832/INDEX(E:E,MATCH(DATE(YEAR($A832)-1,MONTH($A832),DAY($A832)),$A:$A,0))-1),"")</f>
        <v/>
      </c>
      <c r="K832" s="19">
        <f>IFERROR(IF(OR(F832="",INDEX(F:F,MATCH(DATE(YEAR($A832)-1,MONTH($A832),DAY($A832)),$A:$A,0))=""),"",F832/INDEX(F:F,MATCH(DATE(YEAR($A832)-1,MONTH($A832),DAY($A832)),$A:$A,0))-1),"")</f>
        <v/>
      </c>
      <c r="L832" s="19">
        <f>IFERROR(IF(OR(G832="",INDEX(G:G,MATCH(DATE(YEAR($A832)-1,MONTH($A832),DAY($A832)),$A:$A,0))=""),"",G832/INDEX(G:G,MATCH(DATE(YEAR($A832)-1,MONTH($A832),DAY($A832)),$A:$A,0))-1),"")</f>
        <v/>
      </c>
      <c r="M832" s="19">
        <f>IF(OR(E832="",E831=""),"",E832/E831-1)</f>
        <v/>
      </c>
      <c r="N832" s="19">
        <f>IF(OR(F832="",F831=""),"",F832/F831-1)</f>
        <v/>
      </c>
      <c r="O832" s="19">
        <f>IF(OR(G832="",G831=""),"",G832/G831-1)</f>
        <v/>
      </c>
      <c r="P832" s="22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IF(R832="","",P832/R832)</f>
        <v/>
      </c>
      <c r="T832" s="23">
        <f>IF(R832="","",Q832/R832)</f>
        <v/>
      </c>
      <c r="U832" s="24">
        <f>IF(SUMIFS('Daily NSE Equity Options'!$M:$M,'Daily NSE Equity Options'!$A:$A,$A832)=0,"",SUMIFS('Daily NSE Equity Options'!$M:$M,'Daily NSE Equity Options'!$A:$A,$A832))</f>
        <v/>
      </c>
      <c r="V832" s="9">
        <f>IF(SUMIFS('Daily BSE Equity Options'!$M:$M,'Daily BSE Equity Options'!$A:$A,$A832)=0,"",SUMIFS('Daily BSE Equity Options'!$M:$M,'Daily BSE Equity Options'!$A:$A,$A832))</f>
        <v/>
      </c>
      <c r="W832" s="9">
        <f>IF(OR(U832="",V832=""),"",U832+V832)</f>
        <v/>
      </c>
      <c r="X832" s="25">
        <f>IF(W832="","",U832/W832)</f>
        <v/>
      </c>
      <c r="Y832" s="25">
        <f>IF(W832="","",V832/W832)</f>
        <v/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19">
        <f>IF(G833="","",E833/G833)</f>
        <v/>
      </c>
      <c r="I833" s="19">
        <f>IF(G833="","",F833/G833)</f>
        <v/>
      </c>
      <c r="J833" s="26">
        <f>IFERROR(IF(OR(E833="",INDEX(E:E,MATCH(DATE(YEAR($A833)-1,MONTH($A833),DAY($A833)),$A:$A,0))=""),"",E833/INDEX(E:E,MATCH(DATE(YEAR($A833)-1,MONTH($A833),DAY($A833)),$A:$A,0))-1),"")</f>
        <v/>
      </c>
      <c r="K833" s="19">
        <f>IFERROR(IF(OR(F833="",INDEX(F:F,MATCH(DATE(YEAR($A833)-1,MONTH($A833),DAY($A833)),$A:$A,0))=""),"",F833/INDEX(F:F,MATCH(DATE(YEAR($A833)-1,MONTH($A833),DAY($A833)),$A:$A,0))-1),"")</f>
        <v/>
      </c>
      <c r="L833" s="19">
        <f>IFERROR(IF(OR(G833="",INDEX(G:G,MATCH(DATE(YEAR($A833)-1,MONTH($A833),DAY($A833)),$A:$A,0))=""),"",G833/INDEX(G:G,MATCH(DATE(YEAR($A833)-1,MONTH($A833),DAY($A833)),$A:$A,0))-1),"")</f>
        <v/>
      </c>
      <c r="M833" s="19">
        <f>IF(OR(E833="",E832=""),"",E833/E832-1)</f>
        <v/>
      </c>
      <c r="N833" s="19">
        <f>IF(OR(F833="",F832=""),"",F833/F832-1)</f>
        <v/>
      </c>
      <c r="O833" s="19">
        <f>IF(OR(G833="",G832=""),"",G833/G832-1)</f>
        <v/>
      </c>
      <c r="P833" s="22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IF(R833="","",P833/R833)</f>
        <v/>
      </c>
      <c r="T833" s="23">
        <f>IF(R833="","",Q833/R833)</f>
        <v/>
      </c>
      <c r="U833" s="24">
        <f>IF(SUMIFS('Daily NSE Equity Options'!$M:$M,'Daily NSE Equity Options'!$A:$A,$A833)=0,"",SUMIFS('Daily NSE Equity Options'!$M:$M,'Daily NSE Equity Options'!$A:$A,$A833))</f>
        <v/>
      </c>
      <c r="V833" s="9">
        <f>IF(SUMIFS('Daily BSE Equity Options'!$M:$M,'Daily BSE Equity Options'!$A:$A,$A833)=0,"",SUMIFS('Daily BSE Equity Options'!$M:$M,'Daily BSE Equity Options'!$A:$A,$A833))</f>
        <v/>
      </c>
      <c r="W833" s="9">
        <f>IF(OR(U833="",V833=""),"",U833+V833)</f>
        <v/>
      </c>
      <c r="X833" s="25">
        <f>IF(W833="","",U833/W833)</f>
        <v/>
      </c>
      <c r="Y833" s="25">
        <f>IF(W833="","",V833/W833)</f>
        <v/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19">
        <f>IF(G834="","",E834/G834)</f>
        <v/>
      </c>
      <c r="I834" s="19">
        <f>IF(G834="","",F834/G834)</f>
        <v/>
      </c>
      <c r="J834" s="26">
        <f>IFERROR(IF(OR(E834="",INDEX(E:E,MATCH(DATE(YEAR($A834)-1,MONTH($A834),DAY($A834)),$A:$A,0))=""),"",E834/INDEX(E:E,MATCH(DATE(YEAR($A834)-1,MONTH($A834),DAY($A834)),$A:$A,0))-1),"")</f>
        <v/>
      </c>
      <c r="K834" s="19">
        <f>IFERROR(IF(OR(F834="",INDEX(F:F,MATCH(DATE(YEAR($A834)-1,MONTH($A834),DAY($A834)),$A:$A,0))=""),"",F834/INDEX(F:F,MATCH(DATE(YEAR($A834)-1,MONTH($A834),DAY($A834)),$A:$A,0))-1),"")</f>
        <v/>
      </c>
      <c r="L834" s="19">
        <f>IFERROR(IF(OR(G834="",INDEX(G:G,MATCH(DATE(YEAR($A834)-1,MONTH($A834),DAY($A834)),$A:$A,0))=""),"",G834/INDEX(G:G,MATCH(DATE(YEAR($A834)-1,MONTH($A834),DAY($A834)),$A:$A,0))-1),"")</f>
        <v/>
      </c>
      <c r="M834" s="19">
        <f>IF(OR(E834="",E833=""),"",E834/E833-1)</f>
        <v/>
      </c>
      <c r="N834" s="19">
        <f>IF(OR(F834="",F833=""),"",F834/F833-1)</f>
        <v/>
      </c>
      <c r="O834" s="19">
        <f>IF(OR(G834="",G833=""),"",G834/G833-1)</f>
        <v/>
      </c>
      <c r="P834" s="22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IF(R834="","",P834/R834)</f>
        <v/>
      </c>
      <c r="T834" s="23">
        <f>IF(R834="","",Q834/R834)</f>
        <v/>
      </c>
      <c r="U834" s="24">
        <f>IF(SUMIFS('Daily NSE Equity Options'!$M:$M,'Daily NSE Equity Options'!$A:$A,$A834)=0,"",SUMIFS('Daily NSE Equity Options'!$M:$M,'Daily NSE Equity Options'!$A:$A,$A834))</f>
        <v/>
      </c>
      <c r="V834" s="9">
        <f>IF(SUMIFS('Daily BSE Equity Options'!$M:$M,'Daily BSE Equity Options'!$A:$A,$A834)=0,"",SUMIFS('Daily BSE Equity Options'!$M:$M,'Daily BSE Equity Options'!$A:$A,$A834))</f>
        <v/>
      </c>
      <c r="W834" s="9">
        <f>IF(OR(U834="",V834=""),"",U834+V834)</f>
        <v/>
      </c>
      <c r="X834" s="25">
        <f>IF(W834="","",U834/W834)</f>
        <v/>
      </c>
      <c r="Y834" s="25">
        <f>IF(W834="","",V834/W834)</f>
        <v/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19">
        <f>IF(G835="","",E835/G835)</f>
        <v/>
      </c>
      <c r="I835" s="19">
        <f>IF(G835="","",F835/G835)</f>
        <v/>
      </c>
      <c r="J835" s="26">
        <f>IFERROR(IF(OR(E835="",INDEX(E:E,MATCH(DATE(YEAR($A835)-1,MONTH($A835),DAY($A835)),$A:$A,0))=""),"",E835/INDEX(E:E,MATCH(DATE(YEAR($A835)-1,MONTH($A835),DAY($A835)),$A:$A,0))-1),"")</f>
        <v/>
      </c>
      <c r="K835" s="19">
        <f>IFERROR(IF(OR(F835="",INDEX(F:F,MATCH(DATE(YEAR($A835)-1,MONTH($A835),DAY($A835)),$A:$A,0))=""),"",F835/INDEX(F:F,MATCH(DATE(YEAR($A835)-1,MONTH($A835),DAY($A835)),$A:$A,0))-1),"")</f>
        <v/>
      </c>
      <c r="L835" s="19">
        <f>IFERROR(IF(OR(G835="",INDEX(G:G,MATCH(DATE(YEAR($A835)-1,MONTH($A835),DAY($A835)),$A:$A,0))=""),"",G835/INDEX(G:G,MATCH(DATE(YEAR($A835)-1,MONTH($A835),DAY($A835)),$A:$A,0))-1),"")</f>
        <v/>
      </c>
      <c r="M835" s="19">
        <f>IF(OR(E835="",E834=""),"",E835/E834-1)</f>
        <v/>
      </c>
      <c r="N835" s="19">
        <f>IF(OR(F835="",F834=""),"",F835/F834-1)</f>
        <v/>
      </c>
      <c r="O835" s="19">
        <f>IF(OR(G835="",G834=""),"",G835/G834-1)</f>
        <v/>
      </c>
      <c r="P835" s="22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IF(R835="","",P835/R835)</f>
        <v/>
      </c>
      <c r="T835" s="23">
        <f>IF(R835="","",Q835/R835)</f>
        <v/>
      </c>
      <c r="U835" s="24">
        <f>IF(SUMIFS('Daily NSE Equity Options'!$M:$M,'Daily NSE Equity Options'!$A:$A,$A835)=0,"",SUMIFS('Daily NSE Equity Options'!$M:$M,'Daily NSE Equity Options'!$A:$A,$A835))</f>
        <v/>
      </c>
      <c r="V835" s="9">
        <f>IF(SUMIFS('Daily BSE Equity Options'!$M:$M,'Daily BSE Equity Options'!$A:$A,$A835)=0,"",SUMIFS('Daily BSE Equity Options'!$M:$M,'Daily BSE Equity Options'!$A:$A,$A835))</f>
        <v/>
      </c>
      <c r="W835" s="9">
        <f>IF(OR(U835="",V835=""),"",U835+V835)</f>
        <v/>
      </c>
      <c r="X835" s="25">
        <f>IF(W835="","",U835/W835)</f>
        <v/>
      </c>
      <c r="Y835" s="25">
        <f>IF(W835="","",V835/W835)</f>
        <v/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19">
        <f>IF(G836="","",E836/G836)</f>
        <v/>
      </c>
      <c r="I836" s="19">
        <f>IF(G836="","",F836/G836)</f>
        <v/>
      </c>
      <c r="J836" s="26">
        <f>IFERROR(IF(OR(E836="",INDEX(E:E,MATCH(DATE(YEAR($A836)-1,MONTH($A836),DAY($A836)),$A:$A,0))=""),"",E836/INDEX(E:E,MATCH(DATE(YEAR($A836)-1,MONTH($A836),DAY($A836)),$A:$A,0))-1),"")</f>
        <v/>
      </c>
      <c r="K836" s="19">
        <f>IFERROR(IF(OR(F836="",INDEX(F:F,MATCH(DATE(YEAR($A836)-1,MONTH($A836),DAY($A836)),$A:$A,0))=""),"",F836/INDEX(F:F,MATCH(DATE(YEAR($A836)-1,MONTH($A836),DAY($A836)),$A:$A,0))-1),"")</f>
        <v/>
      </c>
      <c r="L836" s="19">
        <f>IFERROR(IF(OR(G836="",INDEX(G:G,MATCH(DATE(YEAR($A836)-1,MONTH($A836),DAY($A836)),$A:$A,0))=""),"",G836/INDEX(G:G,MATCH(DATE(YEAR($A836)-1,MONTH($A836),DAY($A836)),$A:$A,0))-1),"")</f>
        <v/>
      </c>
      <c r="M836" s="19">
        <f>IF(OR(E836="",E835=""),"",E836/E835-1)</f>
        <v/>
      </c>
      <c r="N836" s="19">
        <f>IF(OR(F836="",F835=""),"",F836/F835-1)</f>
        <v/>
      </c>
      <c r="O836" s="19">
        <f>IF(OR(G836="",G835=""),"",G836/G835-1)</f>
        <v/>
      </c>
      <c r="P836" s="22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IF(R836="","",P836/R836)</f>
        <v/>
      </c>
      <c r="T836" s="23">
        <f>IF(R836="","",Q836/R836)</f>
        <v/>
      </c>
      <c r="U836" s="24">
        <f>IF(SUMIFS('Daily NSE Equity Options'!$M:$M,'Daily NSE Equity Options'!$A:$A,$A836)=0,"",SUMIFS('Daily NSE Equity Options'!$M:$M,'Daily NSE Equity Options'!$A:$A,$A836))</f>
        <v/>
      </c>
      <c r="V836" s="9">
        <f>IF(SUMIFS('Daily BSE Equity Options'!$M:$M,'Daily BSE Equity Options'!$A:$A,$A836)=0,"",SUMIFS('Daily BSE Equity Options'!$M:$M,'Daily BSE Equity Options'!$A:$A,$A836))</f>
        <v/>
      </c>
      <c r="W836" s="9">
        <f>IF(OR(U836="",V836=""),"",U836+V836)</f>
        <v/>
      </c>
      <c r="X836" s="25">
        <f>IF(W836="","",U836/W836)</f>
        <v/>
      </c>
      <c r="Y836" s="25">
        <f>IF(W836="","",V836/W836)</f>
        <v/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19">
        <f>IF(G837="","",E837/G837)</f>
        <v/>
      </c>
      <c r="I837" s="19">
        <f>IF(G837="","",F837/G837)</f>
        <v/>
      </c>
      <c r="J837" s="26">
        <f>IFERROR(IF(OR(E837="",INDEX(E:E,MATCH(DATE(YEAR($A837)-1,MONTH($A837),DAY($A837)),$A:$A,0))=""),"",E837/INDEX(E:E,MATCH(DATE(YEAR($A837)-1,MONTH($A837),DAY($A837)),$A:$A,0))-1),"")</f>
        <v/>
      </c>
      <c r="K837" s="19">
        <f>IFERROR(IF(OR(F837="",INDEX(F:F,MATCH(DATE(YEAR($A837)-1,MONTH($A837),DAY($A837)),$A:$A,0))=""),"",F837/INDEX(F:F,MATCH(DATE(YEAR($A837)-1,MONTH($A837),DAY($A837)),$A:$A,0))-1),"")</f>
        <v/>
      </c>
      <c r="L837" s="19">
        <f>IFERROR(IF(OR(G837="",INDEX(G:G,MATCH(DATE(YEAR($A837)-1,MONTH($A837),DAY($A837)),$A:$A,0))=""),"",G837/INDEX(G:G,MATCH(DATE(YEAR($A837)-1,MONTH($A837),DAY($A837)),$A:$A,0))-1),"")</f>
        <v/>
      </c>
      <c r="M837" s="19">
        <f>IF(OR(E837="",E836=""),"",E837/E836-1)</f>
        <v/>
      </c>
      <c r="N837" s="19">
        <f>IF(OR(F837="",F836=""),"",F837/F836-1)</f>
        <v/>
      </c>
      <c r="O837" s="19">
        <f>IF(OR(G837="",G836=""),"",G837/G836-1)</f>
        <v/>
      </c>
      <c r="P837" s="22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IF(R837="","",P837/R837)</f>
        <v/>
      </c>
      <c r="T837" s="23">
        <f>IF(R837="","",Q837/R837)</f>
        <v/>
      </c>
      <c r="U837" s="24">
        <f>IF(SUMIFS('Daily NSE Equity Options'!$M:$M,'Daily NSE Equity Options'!$A:$A,$A837)=0,"",SUMIFS('Daily NSE Equity Options'!$M:$M,'Daily NSE Equity Options'!$A:$A,$A837))</f>
        <v/>
      </c>
      <c r="V837" s="9">
        <f>IF(SUMIFS('Daily BSE Equity Options'!$M:$M,'Daily BSE Equity Options'!$A:$A,$A837)=0,"",SUMIFS('Daily BSE Equity Options'!$M:$M,'Daily BSE Equity Options'!$A:$A,$A837))</f>
        <v/>
      </c>
      <c r="W837" s="9">
        <f>IF(OR(U837="",V837=""),"",U837+V837)</f>
        <v/>
      </c>
      <c r="X837" s="25">
        <f>IF(W837="","",U837/W837)</f>
        <v/>
      </c>
      <c r="Y837" s="25">
        <f>IF(W837="","",V837/W837)</f>
        <v/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19">
        <f>IF(G838="","",E838/G838)</f>
        <v/>
      </c>
      <c r="I838" s="19">
        <f>IF(G838="","",F838/G838)</f>
        <v/>
      </c>
      <c r="J838" s="26">
        <f>IFERROR(IF(OR(E838="",INDEX(E:E,MATCH(DATE(YEAR($A838)-1,MONTH($A838),DAY($A838)),$A:$A,0))=""),"",E838/INDEX(E:E,MATCH(DATE(YEAR($A838)-1,MONTH($A838),DAY($A838)),$A:$A,0))-1),"")</f>
        <v/>
      </c>
      <c r="K838" s="19">
        <f>IFERROR(IF(OR(F838="",INDEX(F:F,MATCH(DATE(YEAR($A838)-1,MONTH($A838),DAY($A838)),$A:$A,0))=""),"",F838/INDEX(F:F,MATCH(DATE(YEAR($A838)-1,MONTH($A838),DAY($A838)),$A:$A,0))-1),"")</f>
        <v/>
      </c>
      <c r="L838" s="19">
        <f>IFERROR(IF(OR(G838="",INDEX(G:G,MATCH(DATE(YEAR($A838)-1,MONTH($A838),DAY($A838)),$A:$A,0))=""),"",G838/INDEX(G:G,MATCH(DATE(YEAR($A838)-1,MONTH($A838),DAY($A838)),$A:$A,0))-1),"")</f>
        <v/>
      </c>
      <c r="M838" s="19">
        <f>IF(OR(E838="",E837=""),"",E838/E837-1)</f>
        <v/>
      </c>
      <c r="N838" s="19">
        <f>IF(OR(F838="",F837=""),"",F838/F837-1)</f>
        <v/>
      </c>
      <c r="O838" s="19">
        <f>IF(OR(G838="",G837=""),"",G838/G837-1)</f>
        <v/>
      </c>
      <c r="P838" s="22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IF(R838="","",P838/R838)</f>
        <v/>
      </c>
      <c r="T838" s="23">
        <f>IF(R838="","",Q838/R838)</f>
        <v/>
      </c>
      <c r="U838" s="24">
        <f>IF(SUMIFS('Daily NSE Equity Options'!$M:$M,'Daily NSE Equity Options'!$A:$A,$A838)=0,"",SUMIFS('Daily NSE Equity Options'!$M:$M,'Daily NSE Equity Options'!$A:$A,$A838))</f>
        <v/>
      </c>
      <c r="V838" s="9">
        <f>IF(SUMIFS('Daily BSE Equity Options'!$M:$M,'Daily BSE Equity Options'!$A:$A,$A838)=0,"",SUMIFS('Daily BSE Equity Options'!$M:$M,'Daily BSE Equity Options'!$A:$A,$A838))</f>
        <v/>
      </c>
      <c r="W838" s="9">
        <f>IF(OR(U838="",V838=""),"",U838+V838)</f>
        <v/>
      </c>
      <c r="X838" s="25">
        <f>IF(W838="","",U838/W838)</f>
        <v/>
      </c>
      <c r="Y838" s="25">
        <f>IF(W838="","",V838/W838)</f>
        <v/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19">
        <f>IF(G839="","",E839/G839)</f>
        <v/>
      </c>
      <c r="I839" s="19">
        <f>IF(G839="","",F839/G839)</f>
        <v/>
      </c>
      <c r="J839" s="26">
        <f>IFERROR(IF(OR(E839="",INDEX(E:E,MATCH(DATE(YEAR($A839)-1,MONTH($A839),DAY($A839)),$A:$A,0))=""),"",E839/INDEX(E:E,MATCH(DATE(YEAR($A839)-1,MONTH($A839),DAY($A839)),$A:$A,0))-1),"")</f>
        <v/>
      </c>
      <c r="K839" s="19">
        <f>IFERROR(IF(OR(F839="",INDEX(F:F,MATCH(DATE(YEAR($A839)-1,MONTH($A839),DAY($A839)),$A:$A,0))=""),"",F839/INDEX(F:F,MATCH(DATE(YEAR($A839)-1,MONTH($A839),DAY($A839)),$A:$A,0))-1),"")</f>
        <v/>
      </c>
      <c r="L839" s="19">
        <f>IFERROR(IF(OR(G839="",INDEX(G:G,MATCH(DATE(YEAR($A839)-1,MONTH($A839),DAY($A839)),$A:$A,0))=""),"",G839/INDEX(G:G,MATCH(DATE(YEAR($A839)-1,MONTH($A839),DAY($A839)),$A:$A,0))-1),"")</f>
        <v/>
      </c>
      <c r="M839" s="19">
        <f>IF(OR(E839="",E838=""),"",E839/E838-1)</f>
        <v/>
      </c>
      <c r="N839" s="19">
        <f>IF(OR(F839="",F838=""),"",F839/F838-1)</f>
        <v/>
      </c>
      <c r="O839" s="19">
        <f>IF(OR(G839="",G838=""),"",G839/G838-1)</f>
        <v/>
      </c>
      <c r="P839" s="22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IF(R839="","",P839/R839)</f>
        <v/>
      </c>
      <c r="T839" s="23">
        <f>IF(R839="","",Q839/R839)</f>
        <v/>
      </c>
      <c r="U839" s="24">
        <f>IF(SUMIFS('Daily NSE Equity Options'!$M:$M,'Daily NSE Equity Options'!$A:$A,$A839)=0,"",SUMIFS('Daily NSE Equity Options'!$M:$M,'Daily NSE Equity Options'!$A:$A,$A839))</f>
        <v/>
      </c>
      <c r="V839" s="9">
        <f>IF(SUMIFS('Daily BSE Equity Options'!$M:$M,'Daily BSE Equity Options'!$A:$A,$A839)=0,"",SUMIFS('Daily BSE Equity Options'!$M:$M,'Daily BSE Equity Options'!$A:$A,$A839))</f>
        <v/>
      </c>
      <c r="W839" s="9">
        <f>IF(OR(U839="",V839=""),"",U839+V839)</f>
        <v/>
      </c>
      <c r="X839" s="25">
        <f>IF(W839="","",U839/W839)</f>
        <v/>
      </c>
      <c r="Y839" s="25">
        <f>IF(W839="","",V839/W839)</f>
        <v/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19">
        <f>IF(G840="","",E840/G840)</f>
        <v/>
      </c>
      <c r="I840" s="19">
        <f>IF(G840="","",F840/G840)</f>
        <v/>
      </c>
      <c r="J840" s="26">
        <f>IFERROR(IF(OR(E840="",INDEX(E:E,MATCH(DATE(YEAR($A840)-1,MONTH($A840),DAY($A840)),$A:$A,0))=""),"",E840/INDEX(E:E,MATCH(DATE(YEAR($A840)-1,MONTH($A840),DAY($A840)),$A:$A,0))-1),"")</f>
        <v/>
      </c>
      <c r="K840" s="19">
        <f>IFERROR(IF(OR(F840="",INDEX(F:F,MATCH(DATE(YEAR($A840)-1,MONTH($A840),DAY($A840)),$A:$A,0))=""),"",F840/INDEX(F:F,MATCH(DATE(YEAR($A840)-1,MONTH($A840),DAY($A840)),$A:$A,0))-1),"")</f>
        <v/>
      </c>
      <c r="L840" s="19">
        <f>IFERROR(IF(OR(G840="",INDEX(G:G,MATCH(DATE(YEAR($A840)-1,MONTH($A840),DAY($A840)),$A:$A,0))=""),"",G840/INDEX(G:G,MATCH(DATE(YEAR($A840)-1,MONTH($A840),DAY($A840)),$A:$A,0))-1),"")</f>
        <v/>
      </c>
      <c r="M840" s="19">
        <f>IF(OR(E840="",E839=""),"",E840/E839-1)</f>
        <v/>
      </c>
      <c r="N840" s="19">
        <f>IF(OR(F840="",F839=""),"",F840/F839-1)</f>
        <v/>
      </c>
      <c r="O840" s="19">
        <f>IF(OR(G840="",G839=""),"",G840/G839-1)</f>
        <v/>
      </c>
      <c r="P840" s="22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IF(R840="","",P840/R840)</f>
        <v/>
      </c>
      <c r="T840" s="23">
        <f>IF(R840="","",Q840/R840)</f>
        <v/>
      </c>
      <c r="U840" s="24">
        <f>IF(SUMIFS('Daily NSE Equity Options'!$M:$M,'Daily NSE Equity Options'!$A:$A,$A840)=0,"",SUMIFS('Daily NSE Equity Options'!$M:$M,'Daily NSE Equity Options'!$A:$A,$A840))</f>
        <v/>
      </c>
      <c r="V840" s="9">
        <f>IF(SUMIFS('Daily BSE Equity Options'!$M:$M,'Daily BSE Equity Options'!$A:$A,$A840)=0,"",SUMIFS('Daily BSE Equity Options'!$M:$M,'Daily BSE Equity Options'!$A:$A,$A840))</f>
        <v/>
      </c>
      <c r="W840" s="9">
        <f>IF(OR(U840="",V840=""),"",U840+V840)</f>
        <v/>
      </c>
      <c r="X840" s="25">
        <f>IF(W840="","",U840/W840)</f>
        <v/>
      </c>
      <c r="Y840" s="25">
        <f>IF(W840="","",V840/W840)</f>
        <v/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19">
        <f>IF(G841="","",E841/G841)</f>
        <v/>
      </c>
      <c r="I841" s="19">
        <f>IF(G841="","",F841/G841)</f>
        <v/>
      </c>
      <c r="J841" s="26">
        <f>IFERROR(IF(OR(E841="",INDEX(E:E,MATCH(DATE(YEAR($A841)-1,MONTH($A841),DAY($A841)),$A:$A,0))=""),"",E841/INDEX(E:E,MATCH(DATE(YEAR($A841)-1,MONTH($A841),DAY($A841)),$A:$A,0))-1),"")</f>
        <v/>
      </c>
      <c r="K841" s="19">
        <f>IFERROR(IF(OR(F841="",INDEX(F:F,MATCH(DATE(YEAR($A841)-1,MONTH($A841),DAY($A841)),$A:$A,0))=""),"",F841/INDEX(F:F,MATCH(DATE(YEAR($A841)-1,MONTH($A841),DAY($A841)),$A:$A,0))-1),"")</f>
        <v/>
      </c>
      <c r="L841" s="19">
        <f>IFERROR(IF(OR(G841="",INDEX(G:G,MATCH(DATE(YEAR($A841)-1,MONTH($A841),DAY($A841)),$A:$A,0))=""),"",G841/INDEX(G:G,MATCH(DATE(YEAR($A841)-1,MONTH($A841),DAY($A841)),$A:$A,0))-1),"")</f>
        <v/>
      </c>
      <c r="M841" s="19">
        <f>IF(OR(E841="",E840=""),"",E841/E840-1)</f>
        <v/>
      </c>
      <c r="N841" s="19">
        <f>IF(OR(F841="",F840=""),"",F841/F840-1)</f>
        <v/>
      </c>
      <c r="O841" s="19">
        <f>IF(OR(G841="",G840=""),"",G841/G840-1)</f>
        <v/>
      </c>
      <c r="P841" s="22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IF(R841="","",P841/R841)</f>
        <v/>
      </c>
      <c r="T841" s="23">
        <f>IF(R841="","",Q841/R841)</f>
        <v/>
      </c>
      <c r="U841" s="24">
        <f>IF(SUMIFS('Daily NSE Equity Options'!$M:$M,'Daily NSE Equity Options'!$A:$A,$A841)=0,"",SUMIFS('Daily NSE Equity Options'!$M:$M,'Daily NSE Equity Options'!$A:$A,$A841))</f>
        <v/>
      </c>
      <c r="V841" s="9">
        <f>IF(SUMIFS('Daily BSE Equity Options'!$M:$M,'Daily BSE Equity Options'!$A:$A,$A841)=0,"",SUMIFS('Daily BSE Equity Options'!$M:$M,'Daily BSE Equity Options'!$A:$A,$A841))</f>
        <v/>
      </c>
      <c r="W841" s="9">
        <f>IF(OR(U841="",V841=""),"",U841+V841)</f>
        <v/>
      </c>
      <c r="X841" s="25">
        <f>IF(W841="","",U841/W841)</f>
        <v/>
      </c>
      <c r="Y841" s="25">
        <f>IF(W841="","",V841/W841)</f>
        <v/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19">
        <f>IF(G842="","",E842/G842)</f>
        <v/>
      </c>
      <c r="I842" s="19">
        <f>IF(G842="","",F842/G842)</f>
        <v/>
      </c>
      <c r="J842" s="26">
        <f>IFERROR(IF(OR(E842="",INDEX(E:E,MATCH(DATE(YEAR($A842)-1,MONTH($A842),DAY($A842)),$A:$A,0))=""),"",E842/INDEX(E:E,MATCH(DATE(YEAR($A842)-1,MONTH($A842),DAY($A842)),$A:$A,0))-1),"")</f>
        <v/>
      </c>
      <c r="K842" s="19">
        <f>IFERROR(IF(OR(F842="",INDEX(F:F,MATCH(DATE(YEAR($A842)-1,MONTH($A842),DAY($A842)),$A:$A,0))=""),"",F842/INDEX(F:F,MATCH(DATE(YEAR($A842)-1,MONTH($A842),DAY($A842)),$A:$A,0))-1),"")</f>
        <v/>
      </c>
      <c r="L842" s="19">
        <f>IFERROR(IF(OR(G842="",INDEX(G:G,MATCH(DATE(YEAR($A842)-1,MONTH($A842),DAY($A842)),$A:$A,0))=""),"",G842/INDEX(G:G,MATCH(DATE(YEAR($A842)-1,MONTH($A842),DAY($A842)),$A:$A,0))-1),"")</f>
        <v/>
      </c>
      <c r="M842" s="19">
        <f>IF(OR(E842="",E841=""),"",E842/E841-1)</f>
        <v/>
      </c>
      <c r="N842" s="19">
        <f>IF(OR(F842="",F841=""),"",F842/F841-1)</f>
        <v/>
      </c>
      <c r="O842" s="19">
        <f>IF(OR(G842="",G841=""),"",G842/G841-1)</f>
        <v/>
      </c>
      <c r="P842" s="22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IF(R842="","",P842/R842)</f>
        <v/>
      </c>
      <c r="T842" s="23">
        <f>IF(R842="","",Q842/R842)</f>
        <v/>
      </c>
      <c r="U842" s="24">
        <f>IF(SUMIFS('Daily NSE Equity Options'!$M:$M,'Daily NSE Equity Options'!$A:$A,$A842)=0,"",SUMIFS('Daily NSE Equity Options'!$M:$M,'Daily NSE Equity Options'!$A:$A,$A842))</f>
        <v/>
      </c>
      <c r="V842" s="9">
        <f>IF(SUMIFS('Daily BSE Equity Options'!$M:$M,'Daily BSE Equity Options'!$A:$A,$A842)=0,"",SUMIFS('Daily BSE Equity Options'!$M:$M,'Daily BSE Equity Options'!$A:$A,$A842))</f>
        <v/>
      </c>
      <c r="W842" s="9">
        <f>IF(OR(U842="",V842=""),"",U842+V842)</f>
        <v/>
      </c>
      <c r="X842" s="25">
        <f>IF(W842="","",U842/W842)</f>
        <v/>
      </c>
      <c r="Y842" s="25">
        <f>IF(W842="","",V842/W842)</f>
        <v/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19">
        <f>IF(G843="","",E843/G843)</f>
        <v/>
      </c>
      <c r="I843" s="19">
        <f>IF(G843="","",F843/G843)</f>
        <v/>
      </c>
      <c r="J843" s="26">
        <f>IFERROR(IF(OR(E843="",INDEX(E:E,MATCH(DATE(YEAR($A843)-1,MONTH($A843),DAY($A843)),$A:$A,0))=""),"",E843/INDEX(E:E,MATCH(DATE(YEAR($A843)-1,MONTH($A843),DAY($A843)),$A:$A,0))-1),"")</f>
        <v/>
      </c>
      <c r="K843" s="19">
        <f>IFERROR(IF(OR(F843="",INDEX(F:F,MATCH(DATE(YEAR($A843)-1,MONTH($A843),DAY($A843)),$A:$A,0))=""),"",F843/INDEX(F:F,MATCH(DATE(YEAR($A843)-1,MONTH($A843),DAY($A843)),$A:$A,0))-1),"")</f>
        <v/>
      </c>
      <c r="L843" s="19">
        <f>IFERROR(IF(OR(G843="",INDEX(G:G,MATCH(DATE(YEAR($A843)-1,MONTH($A843),DAY($A843)),$A:$A,0))=""),"",G843/INDEX(G:G,MATCH(DATE(YEAR($A843)-1,MONTH($A843),DAY($A843)),$A:$A,0))-1),"")</f>
        <v/>
      </c>
      <c r="M843" s="19">
        <f>IF(OR(E843="",E842=""),"",E843/E842-1)</f>
        <v/>
      </c>
      <c r="N843" s="19">
        <f>IF(OR(F843="",F842=""),"",F843/F842-1)</f>
        <v/>
      </c>
      <c r="O843" s="19">
        <f>IF(OR(G843="",G842=""),"",G843/G842-1)</f>
        <v/>
      </c>
      <c r="P843" s="22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IF(R843="","",P843/R843)</f>
        <v/>
      </c>
      <c r="T843" s="23">
        <f>IF(R843="","",Q843/R843)</f>
        <v/>
      </c>
      <c r="U843" s="24">
        <f>IF(SUMIFS('Daily NSE Equity Options'!$M:$M,'Daily NSE Equity Options'!$A:$A,$A843)=0,"",SUMIFS('Daily NSE Equity Options'!$M:$M,'Daily NSE Equity Options'!$A:$A,$A843))</f>
        <v/>
      </c>
      <c r="V843" s="9">
        <f>IF(SUMIFS('Daily BSE Equity Options'!$M:$M,'Daily BSE Equity Options'!$A:$A,$A843)=0,"",SUMIFS('Daily BSE Equity Options'!$M:$M,'Daily BSE Equity Options'!$A:$A,$A843))</f>
        <v/>
      </c>
      <c r="W843" s="9">
        <f>IF(OR(U843="",V843=""),"",U843+V843)</f>
        <v/>
      </c>
      <c r="X843" s="25">
        <f>IF(W843="","",U843/W843)</f>
        <v/>
      </c>
      <c r="Y843" s="25">
        <f>IF(W843="","",V843/W843)</f>
        <v/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19">
        <f>IF(G844="","",E844/G844)</f>
        <v/>
      </c>
      <c r="I844" s="19">
        <f>IF(G844="","",F844/G844)</f>
        <v/>
      </c>
      <c r="J844" s="26">
        <f>IFERROR(IF(OR(E844="",INDEX(E:E,MATCH(DATE(YEAR($A844)-1,MONTH($A844),DAY($A844)),$A:$A,0))=""),"",E844/INDEX(E:E,MATCH(DATE(YEAR($A844)-1,MONTH($A844),DAY($A844)),$A:$A,0))-1),"")</f>
        <v/>
      </c>
      <c r="K844" s="19">
        <f>IFERROR(IF(OR(F844="",INDEX(F:F,MATCH(DATE(YEAR($A844)-1,MONTH($A844),DAY($A844)),$A:$A,0))=""),"",F844/INDEX(F:F,MATCH(DATE(YEAR($A844)-1,MONTH($A844),DAY($A844)),$A:$A,0))-1),"")</f>
        <v/>
      </c>
      <c r="L844" s="19">
        <f>IFERROR(IF(OR(G844="",INDEX(G:G,MATCH(DATE(YEAR($A844)-1,MONTH($A844),DAY($A844)),$A:$A,0))=""),"",G844/INDEX(G:G,MATCH(DATE(YEAR($A844)-1,MONTH($A844),DAY($A844)),$A:$A,0))-1),"")</f>
        <v/>
      </c>
      <c r="M844" s="19">
        <f>IF(OR(E844="",E843=""),"",E844/E843-1)</f>
        <v/>
      </c>
      <c r="N844" s="19">
        <f>IF(OR(F844="",F843=""),"",F844/F843-1)</f>
        <v/>
      </c>
      <c r="O844" s="19">
        <f>IF(OR(G844="",G843=""),"",G844/G843-1)</f>
        <v/>
      </c>
      <c r="P844" s="22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IF(R844="","",P844/R844)</f>
        <v/>
      </c>
      <c r="T844" s="23">
        <f>IF(R844="","",Q844/R844)</f>
        <v/>
      </c>
      <c r="U844" s="24">
        <f>IF(SUMIFS('Daily NSE Equity Options'!$M:$M,'Daily NSE Equity Options'!$A:$A,$A844)=0,"",SUMIFS('Daily NSE Equity Options'!$M:$M,'Daily NSE Equity Options'!$A:$A,$A844))</f>
        <v/>
      </c>
      <c r="V844" s="9">
        <f>IF(SUMIFS('Daily BSE Equity Options'!$M:$M,'Daily BSE Equity Options'!$A:$A,$A844)=0,"",SUMIFS('Daily BSE Equity Options'!$M:$M,'Daily BSE Equity Options'!$A:$A,$A844))</f>
        <v/>
      </c>
      <c r="W844" s="9">
        <f>IF(OR(U844="",V844=""),"",U844+V844)</f>
        <v/>
      </c>
      <c r="X844" s="25">
        <f>IF(W844="","",U844/W844)</f>
        <v/>
      </c>
      <c r="Y844" s="25">
        <f>IF(W844="","",V844/W844)</f>
        <v/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19">
        <f>IF(G845="","",E845/G845)</f>
        <v/>
      </c>
      <c r="I845" s="19">
        <f>IF(G845="","",F845/G845)</f>
        <v/>
      </c>
      <c r="J845" s="26">
        <f>IFERROR(IF(OR(E845="",INDEX(E:E,MATCH(DATE(YEAR($A845)-1,MONTH($A845),DAY($A845)),$A:$A,0))=""),"",E845/INDEX(E:E,MATCH(DATE(YEAR($A845)-1,MONTH($A845),DAY($A845)),$A:$A,0))-1),"")</f>
        <v/>
      </c>
      <c r="K845" s="19">
        <f>IFERROR(IF(OR(F845="",INDEX(F:F,MATCH(DATE(YEAR($A845)-1,MONTH($A845),DAY($A845)),$A:$A,0))=""),"",F845/INDEX(F:F,MATCH(DATE(YEAR($A845)-1,MONTH($A845),DAY($A845)),$A:$A,0))-1),"")</f>
        <v/>
      </c>
      <c r="L845" s="19">
        <f>IFERROR(IF(OR(G845="",INDEX(G:G,MATCH(DATE(YEAR($A845)-1,MONTH($A845),DAY($A845)),$A:$A,0))=""),"",G845/INDEX(G:G,MATCH(DATE(YEAR($A845)-1,MONTH($A845),DAY($A845)),$A:$A,0))-1),"")</f>
        <v/>
      </c>
      <c r="M845" s="19">
        <f>IF(OR(E845="",E844=""),"",E845/E844-1)</f>
        <v/>
      </c>
      <c r="N845" s="19">
        <f>IF(OR(F845="",F844=""),"",F845/F844-1)</f>
        <v/>
      </c>
      <c r="O845" s="19">
        <f>IF(OR(G845="",G844=""),"",G845/G844-1)</f>
        <v/>
      </c>
      <c r="P845" s="22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IF(R845="","",P845/R845)</f>
        <v/>
      </c>
      <c r="T845" s="23">
        <f>IF(R845="","",Q845/R845)</f>
        <v/>
      </c>
      <c r="U845" s="24">
        <f>IF(SUMIFS('Daily NSE Equity Options'!$M:$M,'Daily NSE Equity Options'!$A:$A,$A845)=0,"",SUMIFS('Daily NSE Equity Options'!$M:$M,'Daily NSE Equity Options'!$A:$A,$A845))</f>
        <v/>
      </c>
      <c r="V845" s="9">
        <f>IF(SUMIFS('Daily BSE Equity Options'!$M:$M,'Daily BSE Equity Options'!$A:$A,$A845)=0,"",SUMIFS('Daily BSE Equity Options'!$M:$M,'Daily BSE Equity Options'!$A:$A,$A845))</f>
        <v/>
      </c>
      <c r="W845" s="9">
        <f>IF(OR(U845="",V845=""),"",U845+V845)</f>
        <v/>
      </c>
      <c r="X845" s="25">
        <f>IF(W845="","",U845/W845)</f>
        <v/>
      </c>
      <c r="Y845" s="25">
        <f>IF(W845="","",V845/W845)</f>
        <v/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19">
        <f>IF(G846="","",E846/G846)</f>
        <v/>
      </c>
      <c r="I846" s="19">
        <f>IF(G846="","",F846/G846)</f>
        <v/>
      </c>
      <c r="J846" s="26">
        <f>IFERROR(IF(OR(E846="",INDEX(E:E,MATCH(DATE(YEAR($A846)-1,MONTH($A846),DAY($A846)),$A:$A,0))=""),"",E846/INDEX(E:E,MATCH(DATE(YEAR($A846)-1,MONTH($A846),DAY($A846)),$A:$A,0))-1),"")</f>
        <v/>
      </c>
      <c r="K846" s="19">
        <f>IFERROR(IF(OR(F846="",INDEX(F:F,MATCH(DATE(YEAR($A846)-1,MONTH($A846),DAY($A846)),$A:$A,0))=""),"",F846/INDEX(F:F,MATCH(DATE(YEAR($A846)-1,MONTH($A846),DAY($A846)),$A:$A,0))-1),"")</f>
        <v/>
      </c>
      <c r="L846" s="19">
        <f>IFERROR(IF(OR(G846="",INDEX(G:G,MATCH(DATE(YEAR($A846)-1,MONTH($A846),DAY($A846)),$A:$A,0))=""),"",G846/INDEX(G:G,MATCH(DATE(YEAR($A846)-1,MONTH($A846),DAY($A846)),$A:$A,0))-1),"")</f>
        <v/>
      </c>
      <c r="M846" s="19">
        <f>IF(OR(E846="",E845=""),"",E846/E845-1)</f>
        <v/>
      </c>
      <c r="N846" s="19">
        <f>IF(OR(F846="",F845=""),"",F846/F845-1)</f>
        <v/>
      </c>
      <c r="O846" s="19">
        <f>IF(OR(G846="",G845=""),"",G846/G845-1)</f>
        <v/>
      </c>
      <c r="P846" s="22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IF(R846="","",P846/R846)</f>
        <v/>
      </c>
      <c r="T846" s="23">
        <f>IF(R846="","",Q846/R846)</f>
        <v/>
      </c>
      <c r="U846" s="24">
        <f>IF(SUMIFS('Daily NSE Equity Options'!$M:$M,'Daily NSE Equity Options'!$A:$A,$A846)=0,"",SUMIFS('Daily NSE Equity Options'!$M:$M,'Daily NSE Equity Options'!$A:$A,$A846))</f>
        <v/>
      </c>
      <c r="V846" s="9">
        <f>IF(SUMIFS('Daily BSE Equity Options'!$M:$M,'Daily BSE Equity Options'!$A:$A,$A846)=0,"",SUMIFS('Daily BSE Equity Options'!$M:$M,'Daily BSE Equity Options'!$A:$A,$A846))</f>
        <v/>
      </c>
      <c r="W846" s="9">
        <f>IF(OR(U846="",V846=""),"",U846+V846)</f>
        <v/>
      </c>
      <c r="X846" s="25">
        <f>IF(W846="","",U846/W846)</f>
        <v/>
      </c>
      <c r="Y846" s="25">
        <f>IF(W846="","",V846/W846)</f>
        <v/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19">
        <f>IF(G847="","",E847/G847)</f>
        <v/>
      </c>
      <c r="I847" s="19">
        <f>IF(G847="","",F847/G847)</f>
        <v/>
      </c>
      <c r="J847" s="26">
        <f>IFERROR(IF(OR(E847="",INDEX(E:E,MATCH(DATE(YEAR($A847)-1,MONTH($A847),DAY($A847)),$A:$A,0))=""),"",E847/INDEX(E:E,MATCH(DATE(YEAR($A847)-1,MONTH($A847),DAY($A847)),$A:$A,0))-1),"")</f>
        <v/>
      </c>
      <c r="K847" s="19">
        <f>IFERROR(IF(OR(F847="",INDEX(F:F,MATCH(DATE(YEAR($A847)-1,MONTH($A847),DAY($A847)),$A:$A,0))=""),"",F847/INDEX(F:F,MATCH(DATE(YEAR($A847)-1,MONTH($A847),DAY($A847)),$A:$A,0))-1),"")</f>
        <v/>
      </c>
      <c r="L847" s="19">
        <f>IFERROR(IF(OR(G847="",INDEX(G:G,MATCH(DATE(YEAR($A847)-1,MONTH($A847),DAY($A847)),$A:$A,0))=""),"",G847/INDEX(G:G,MATCH(DATE(YEAR($A847)-1,MONTH($A847),DAY($A847)),$A:$A,0))-1),"")</f>
        <v/>
      </c>
      <c r="M847" s="19">
        <f>IF(OR(E847="",E846=""),"",E847/E846-1)</f>
        <v/>
      </c>
      <c r="N847" s="19">
        <f>IF(OR(F847="",F846=""),"",F847/F846-1)</f>
        <v/>
      </c>
      <c r="O847" s="19">
        <f>IF(OR(G847="",G846=""),"",G847/G846-1)</f>
        <v/>
      </c>
      <c r="P847" s="22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IF(R847="","",P847/R847)</f>
        <v/>
      </c>
      <c r="T847" s="23">
        <f>IF(R847="","",Q847/R847)</f>
        <v/>
      </c>
      <c r="U847" s="24">
        <f>IF(SUMIFS('Daily NSE Equity Options'!$M:$M,'Daily NSE Equity Options'!$A:$A,$A847)=0,"",SUMIFS('Daily NSE Equity Options'!$M:$M,'Daily NSE Equity Options'!$A:$A,$A847))</f>
        <v/>
      </c>
      <c r="V847" s="9">
        <f>IF(SUMIFS('Daily BSE Equity Options'!$M:$M,'Daily BSE Equity Options'!$A:$A,$A847)=0,"",SUMIFS('Daily BSE Equity Options'!$M:$M,'Daily BSE Equity Options'!$A:$A,$A847))</f>
        <v/>
      </c>
      <c r="W847" s="9">
        <f>IF(OR(U847="",V847=""),"",U847+V847)</f>
        <v/>
      </c>
      <c r="X847" s="25">
        <f>IF(W847="","",U847/W847)</f>
        <v/>
      </c>
      <c r="Y847" s="25">
        <f>IF(W847="","",V847/W847)</f>
        <v/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19">
        <f>IF(G848="","",E848/G848)</f>
        <v/>
      </c>
      <c r="I848" s="19">
        <f>IF(G848="","",F848/G848)</f>
        <v/>
      </c>
      <c r="J848" s="26">
        <f>IFERROR(IF(OR(E848="",INDEX(E:E,MATCH(DATE(YEAR($A848)-1,MONTH($A848),DAY($A848)),$A:$A,0))=""),"",E848/INDEX(E:E,MATCH(DATE(YEAR($A848)-1,MONTH($A848),DAY($A848)),$A:$A,0))-1),"")</f>
        <v/>
      </c>
      <c r="K848" s="19">
        <f>IFERROR(IF(OR(F848="",INDEX(F:F,MATCH(DATE(YEAR($A848)-1,MONTH($A848),DAY($A848)),$A:$A,0))=""),"",F848/INDEX(F:F,MATCH(DATE(YEAR($A848)-1,MONTH($A848),DAY($A848)),$A:$A,0))-1),"")</f>
        <v/>
      </c>
      <c r="L848" s="19">
        <f>IFERROR(IF(OR(G848="",INDEX(G:G,MATCH(DATE(YEAR($A848)-1,MONTH($A848),DAY($A848)),$A:$A,0))=""),"",G848/INDEX(G:G,MATCH(DATE(YEAR($A848)-1,MONTH($A848),DAY($A848)),$A:$A,0))-1),"")</f>
        <v/>
      </c>
      <c r="M848" s="19">
        <f>IF(OR(E848="",E847=""),"",E848/E847-1)</f>
        <v/>
      </c>
      <c r="N848" s="19">
        <f>IF(OR(F848="",F847=""),"",F848/F847-1)</f>
        <v/>
      </c>
      <c r="O848" s="19">
        <f>IF(OR(G848="",G847=""),"",G848/G847-1)</f>
        <v/>
      </c>
      <c r="P848" s="22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IF(R848="","",P848/R848)</f>
        <v/>
      </c>
      <c r="T848" s="23">
        <f>IF(R848="","",Q848/R848)</f>
        <v/>
      </c>
      <c r="U848" s="24">
        <f>IF(SUMIFS('Daily NSE Equity Options'!$M:$M,'Daily NSE Equity Options'!$A:$A,$A848)=0,"",SUMIFS('Daily NSE Equity Options'!$M:$M,'Daily NSE Equity Options'!$A:$A,$A848))</f>
        <v/>
      </c>
      <c r="V848" s="9">
        <f>IF(SUMIFS('Daily BSE Equity Options'!$M:$M,'Daily BSE Equity Options'!$A:$A,$A848)=0,"",SUMIFS('Daily BSE Equity Options'!$M:$M,'Daily BSE Equity Options'!$A:$A,$A848))</f>
        <v/>
      </c>
      <c r="W848" s="9">
        <f>IF(OR(U848="",V848=""),"",U848+V848)</f>
        <v/>
      </c>
      <c r="X848" s="25">
        <f>IF(W848="","",U848/W848)</f>
        <v/>
      </c>
      <c r="Y848" s="25">
        <f>IF(W848="","",V848/W848)</f>
        <v/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19">
        <f>IF(G849="","",E849/G849)</f>
        <v/>
      </c>
      <c r="I849" s="19">
        <f>IF(G849="","",F849/G849)</f>
        <v/>
      </c>
      <c r="J849" s="26">
        <f>IFERROR(IF(OR(E849="",INDEX(E:E,MATCH(DATE(YEAR($A849)-1,MONTH($A849),DAY($A849)),$A:$A,0))=""),"",E849/INDEX(E:E,MATCH(DATE(YEAR($A849)-1,MONTH($A849),DAY($A849)),$A:$A,0))-1),"")</f>
        <v/>
      </c>
      <c r="K849" s="19">
        <f>IFERROR(IF(OR(F849="",INDEX(F:F,MATCH(DATE(YEAR($A849)-1,MONTH($A849),DAY($A849)),$A:$A,0))=""),"",F849/INDEX(F:F,MATCH(DATE(YEAR($A849)-1,MONTH($A849),DAY($A849)),$A:$A,0))-1),"")</f>
        <v/>
      </c>
      <c r="L849" s="19">
        <f>IFERROR(IF(OR(G849="",INDEX(G:G,MATCH(DATE(YEAR($A849)-1,MONTH($A849),DAY($A849)),$A:$A,0))=""),"",G849/INDEX(G:G,MATCH(DATE(YEAR($A849)-1,MONTH($A849),DAY($A849)),$A:$A,0))-1),"")</f>
        <v/>
      </c>
      <c r="M849" s="19">
        <f>IF(OR(E849="",E848=""),"",E849/E848-1)</f>
        <v/>
      </c>
      <c r="N849" s="19">
        <f>IF(OR(F849="",F848=""),"",F849/F848-1)</f>
        <v/>
      </c>
      <c r="O849" s="19">
        <f>IF(OR(G849="",G848=""),"",G849/G848-1)</f>
        <v/>
      </c>
      <c r="P849" s="22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IF(R849="","",P849/R849)</f>
        <v/>
      </c>
      <c r="T849" s="23">
        <f>IF(R849="","",Q849/R849)</f>
        <v/>
      </c>
      <c r="U849" s="24">
        <f>IF(SUMIFS('Daily NSE Equity Options'!$M:$M,'Daily NSE Equity Options'!$A:$A,$A849)=0,"",SUMIFS('Daily NSE Equity Options'!$M:$M,'Daily NSE Equity Options'!$A:$A,$A849))</f>
        <v/>
      </c>
      <c r="V849" s="9">
        <f>IF(SUMIFS('Daily BSE Equity Options'!$M:$M,'Daily BSE Equity Options'!$A:$A,$A849)=0,"",SUMIFS('Daily BSE Equity Options'!$M:$M,'Daily BSE Equity Options'!$A:$A,$A849))</f>
        <v/>
      </c>
      <c r="W849" s="9">
        <f>IF(OR(U849="",V849=""),"",U849+V849)</f>
        <v/>
      </c>
      <c r="X849" s="25">
        <f>IF(W849="","",U849/W849)</f>
        <v/>
      </c>
      <c r="Y849" s="25">
        <f>IF(W849="","",V849/W849)</f>
        <v/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19">
        <f>IF(G850="","",E850/G850)</f>
        <v/>
      </c>
      <c r="I850" s="19">
        <f>IF(G850="","",F850/G850)</f>
        <v/>
      </c>
      <c r="J850" s="26">
        <f>IFERROR(IF(OR(E850="",INDEX(E:E,MATCH(DATE(YEAR($A850)-1,MONTH($A850),DAY($A850)),$A:$A,0))=""),"",E850/INDEX(E:E,MATCH(DATE(YEAR($A850)-1,MONTH($A850),DAY($A850)),$A:$A,0))-1),"")</f>
        <v/>
      </c>
      <c r="K850" s="19">
        <f>IFERROR(IF(OR(F850="",INDEX(F:F,MATCH(DATE(YEAR($A850)-1,MONTH($A850),DAY($A850)),$A:$A,0))=""),"",F850/INDEX(F:F,MATCH(DATE(YEAR($A850)-1,MONTH($A850),DAY($A850)),$A:$A,0))-1),"")</f>
        <v/>
      </c>
      <c r="L850" s="19">
        <f>IFERROR(IF(OR(G850="",INDEX(G:G,MATCH(DATE(YEAR($A850)-1,MONTH($A850),DAY($A850)),$A:$A,0))=""),"",G850/INDEX(G:G,MATCH(DATE(YEAR($A850)-1,MONTH($A850),DAY($A850)),$A:$A,0))-1),"")</f>
        <v/>
      </c>
      <c r="M850" s="19">
        <f>IF(OR(E850="",E849=""),"",E850/E849-1)</f>
        <v/>
      </c>
      <c r="N850" s="19">
        <f>IF(OR(F850="",F849=""),"",F850/F849-1)</f>
        <v/>
      </c>
      <c r="O850" s="19">
        <f>IF(OR(G850="",G849=""),"",G850/G849-1)</f>
        <v/>
      </c>
      <c r="P850" s="22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IF(R850="","",P850/R850)</f>
        <v/>
      </c>
      <c r="T850" s="23">
        <f>IF(R850="","",Q850/R850)</f>
        <v/>
      </c>
      <c r="U850" s="24">
        <f>IF(SUMIFS('Daily NSE Equity Options'!$M:$M,'Daily NSE Equity Options'!$A:$A,$A850)=0,"",SUMIFS('Daily NSE Equity Options'!$M:$M,'Daily NSE Equity Options'!$A:$A,$A850))</f>
        <v/>
      </c>
      <c r="V850" s="9">
        <f>IF(SUMIFS('Daily BSE Equity Options'!$M:$M,'Daily BSE Equity Options'!$A:$A,$A850)=0,"",SUMIFS('Daily BSE Equity Options'!$M:$M,'Daily BSE Equity Options'!$A:$A,$A850))</f>
        <v/>
      </c>
      <c r="W850" s="9">
        <f>IF(OR(U850="",V850=""),"",U850+V850)</f>
        <v/>
      </c>
      <c r="X850" s="25">
        <f>IF(W850="","",U850/W850)</f>
        <v/>
      </c>
      <c r="Y850" s="25">
        <f>IF(W850="","",V850/W850)</f>
        <v/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19">
        <f>IF(G851="","",E851/G851)</f>
        <v/>
      </c>
      <c r="I851" s="19">
        <f>IF(G851="","",F851/G851)</f>
        <v/>
      </c>
      <c r="J851" s="26">
        <f>IFERROR(IF(OR(E851="",INDEX(E:E,MATCH(DATE(YEAR($A851)-1,MONTH($A851),DAY($A851)),$A:$A,0))=""),"",E851/INDEX(E:E,MATCH(DATE(YEAR($A851)-1,MONTH($A851),DAY($A851)),$A:$A,0))-1),"")</f>
        <v/>
      </c>
      <c r="K851" s="19">
        <f>IFERROR(IF(OR(F851="",INDEX(F:F,MATCH(DATE(YEAR($A851)-1,MONTH($A851),DAY($A851)),$A:$A,0))=""),"",F851/INDEX(F:F,MATCH(DATE(YEAR($A851)-1,MONTH($A851),DAY($A851)),$A:$A,0))-1),"")</f>
        <v/>
      </c>
      <c r="L851" s="19">
        <f>IFERROR(IF(OR(G851="",INDEX(G:G,MATCH(DATE(YEAR($A851)-1,MONTH($A851),DAY($A851)),$A:$A,0))=""),"",G851/INDEX(G:G,MATCH(DATE(YEAR($A851)-1,MONTH($A851),DAY($A851)),$A:$A,0))-1),"")</f>
        <v/>
      </c>
      <c r="M851" s="19">
        <f>IF(OR(E851="",E850=""),"",E851/E850-1)</f>
        <v/>
      </c>
      <c r="N851" s="19">
        <f>IF(OR(F851="",F850=""),"",F851/F850-1)</f>
        <v/>
      </c>
      <c r="O851" s="19">
        <f>IF(OR(G851="",G850=""),"",G851/G850-1)</f>
        <v/>
      </c>
      <c r="P851" s="22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IF(R851="","",P851/R851)</f>
        <v/>
      </c>
      <c r="T851" s="23">
        <f>IF(R851="","",Q851/R851)</f>
        <v/>
      </c>
      <c r="U851" s="24">
        <f>IF(SUMIFS('Daily NSE Equity Options'!$M:$M,'Daily NSE Equity Options'!$A:$A,$A851)=0,"",SUMIFS('Daily NSE Equity Options'!$M:$M,'Daily NSE Equity Options'!$A:$A,$A851))</f>
        <v/>
      </c>
      <c r="V851" s="9">
        <f>IF(SUMIFS('Daily BSE Equity Options'!$M:$M,'Daily BSE Equity Options'!$A:$A,$A851)=0,"",SUMIFS('Daily BSE Equity Options'!$M:$M,'Daily BSE Equity Options'!$A:$A,$A851))</f>
        <v/>
      </c>
      <c r="W851" s="9">
        <f>IF(OR(U851="",V851=""),"",U851+V851)</f>
        <v/>
      </c>
      <c r="X851" s="25">
        <f>IF(W851="","",U851/W851)</f>
        <v/>
      </c>
      <c r="Y851" s="25">
        <f>IF(W851="","",V851/W851)</f>
        <v/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19">
        <f>IF(G852="","",E852/G852)</f>
        <v/>
      </c>
      <c r="I852" s="19">
        <f>IF(G852="","",F852/G852)</f>
        <v/>
      </c>
      <c r="J852" s="26">
        <f>IFERROR(IF(OR(E852="",INDEX(E:E,MATCH(DATE(YEAR($A852)-1,MONTH($A852),DAY($A852)),$A:$A,0))=""),"",E852/INDEX(E:E,MATCH(DATE(YEAR($A852)-1,MONTH($A852),DAY($A852)),$A:$A,0))-1),"")</f>
        <v/>
      </c>
      <c r="K852" s="19">
        <f>IFERROR(IF(OR(F852="",INDEX(F:F,MATCH(DATE(YEAR($A852)-1,MONTH($A852),DAY($A852)),$A:$A,0))=""),"",F852/INDEX(F:F,MATCH(DATE(YEAR($A852)-1,MONTH($A852),DAY($A852)),$A:$A,0))-1),"")</f>
        <v/>
      </c>
      <c r="L852" s="19">
        <f>IFERROR(IF(OR(G852="",INDEX(G:G,MATCH(DATE(YEAR($A852)-1,MONTH($A852),DAY($A852)),$A:$A,0))=""),"",G852/INDEX(G:G,MATCH(DATE(YEAR($A852)-1,MONTH($A852),DAY($A852)),$A:$A,0))-1),"")</f>
        <v/>
      </c>
      <c r="M852" s="19">
        <f>IF(OR(E852="",E851=""),"",E852/E851-1)</f>
        <v/>
      </c>
      <c r="N852" s="19">
        <f>IF(OR(F852="",F851=""),"",F852/F851-1)</f>
        <v/>
      </c>
      <c r="O852" s="19">
        <f>IF(OR(G852="",G851=""),"",G852/G851-1)</f>
        <v/>
      </c>
      <c r="P852" s="22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IF(R852="","",P852/R852)</f>
        <v/>
      </c>
      <c r="T852" s="23">
        <f>IF(R852="","",Q852/R852)</f>
        <v/>
      </c>
      <c r="U852" s="24">
        <f>IF(SUMIFS('Daily NSE Equity Options'!$M:$M,'Daily NSE Equity Options'!$A:$A,$A852)=0,"",SUMIFS('Daily NSE Equity Options'!$M:$M,'Daily NSE Equity Options'!$A:$A,$A852))</f>
        <v/>
      </c>
      <c r="V852" s="9">
        <f>IF(SUMIFS('Daily BSE Equity Options'!$M:$M,'Daily BSE Equity Options'!$A:$A,$A852)=0,"",SUMIFS('Daily BSE Equity Options'!$M:$M,'Daily BSE Equity Options'!$A:$A,$A852))</f>
        <v/>
      </c>
      <c r="W852" s="9">
        <f>IF(OR(U852="",V852=""),"",U852+V852)</f>
        <v/>
      </c>
      <c r="X852" s="25">
        <f>IF(W852="","",U852/W852)</f>
        <v/>
      </c>
      <c r="Y852" s="25">
        <f>IF(W852="","",V852/W852)</f>
        <v/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19">
        <f>IF(G853="","",E853/G853)</f>
        <v/>
      </c>
      <c r="I853" s="19">
        <f>IF(G853="","",F853/G853)</f>
        <v/>
      </c>
      <c r="J853" s="26">
        <f>IFERROR(IF(OR(E853="",INDEX(E:E,MATCH(DATE(YEAR($A853)-1,MONTH($A853),DAY($A853)),$A:$A,0))=""),"",E853/INDEX(E:E,MATCH(DATE(YEAR($A853)-1,MONTH($A853),DAY($A853)),$A:$A,0))-1),"")</f>
        <v/>
      </c>
      <c r="K853" s="19">
        <f>IFERROR(IF(OR(F853="",INDEX(F:F,MATCH(DATE(YEAR($A853)-1,MONTH($A853),DAY($A853)),$A:$A,0))=""),"",F853/INDEX(F:F,MATCH(DATE(YEAR($A853)-1,MONTH($A853),DAY($A853)),$A:$A,0))-1),"")</f>
        <v/>
      </c>
      <c r="L853" s="19">
        <f>IFERROR(IF(OR(G853="",INDEX(G:G,MATCH(DATE(YEAR($A853)-1,MONTH($A853),DAY($A853)),$A:$A,0))=""),"",G853/INDEX(G:G,MATCH(DATE(YEAR($A853)-1,MONTH($A853),DAY($A853)),$A:$A,0))-1),"")</f>
        <v/>
      </c>
      <c r="M853" s="19">
        <f>IF(OR(E853="",E852=""),"",E853/E852-1)</f>
        <v/>
      </c>
      <c r="N853" s="19">
        <f>IF(OR(F853="",F852=""),"",F853/F852-1)</f>
        <v/>
      </c>
      <c r="O853" s="19">
        <f>IF(OR(G853="",G852=""),"",G853/G852-1)</f>
        <v/>
      </c>
      <c r="P853" s="22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IF(R853="","",P853/R853)</f>
        <v/>
      </c>
      <c r="T853" s="23">
        <f>IF(R853="","",Q853/R853)</f>
        <v/>
      </c>
      <c r="U853" s="24">
        <f>IF(SUMIFS('Daily NSE Equity Options'!$M:$M,'Daily NSE Equity Options'!$A:$A,$A853)=0,"",SUMIFS('Daily NSE Equity Options'!$M:$M,'Daily NSE Equity Options'!$A:$A,$A853))</f>
        <v/>
      </c>
      <c r="V853" s="9">
        <f>IF(SUMIFS('Daily BSE Equity Options'!$M:$M,'Daily BSE Equity Options'!$A:$A,$A853)=0,"",SUMIFS('Daily BSE Equity Options'!$M:$M,'Daily BSE Equity Options'!$A:$A,$A853))</f>
        <v/>
      </c>
      <c r="W853" s="9">
        <f>IF(OR(U853="",V853=""),"",U853+V853)</f>
        <v/>
      </c>
      <c r="X853" s="25">
        <f>IF(W853="","",U853/W853)</f>
        <v/>
      </c>
      <c r="Y853" s="25">
        <f>IF(W853="","",V853/W853)</f>
        <v/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19">
        <f>IF(G854="","",E854/G854)</f>
        <v/>
      </c>
      <c r="I854" s="19">
        <f>IF(G854="","",F854/G854)</f>
        <v/>
      </c>
      <c r="J854" s="26">
        <f>IFERROR(IF(OR(E854="",INDEX(E:E,MATCH(DATE(YEAR($A854)-1,MONTH($A854),DAY($A854)),$A:$A,0))=""),"",E854/INDEX(E:E,MATCH(DATE(YEAR($A854)-1,MONTH($A854),DAY($A854)),$A:$A,0))-1),"")</f>
        <v/>
      </c>
      <c r="K854" s="19">
        <f>IFERROR(IF(OR(F854="",INDEX(F:F,MATCH(DATE(YEAR($A854)-1,MONTH($A854),DAY($A854)),$A:$A,0))=""),"",F854/INDEX(F:F,MATCH(DATE(YEAR($A854)-1,MONTH($A854),DAY($A854)),$A:$A,0))-1),"")</f>
        <v/>
      </c>
      <c r="L854" s="19">
        <f>IFERROR(IF(OR(G854="",INDEX(G:G,MATCH(DATE(YEAR($A854)-1,MONTH($A854),DAY($A854)),$A:$A,0))=""),"",G854/INDEX(G:G,MATCH(DATE(YEAR($A854)-1,MONTH($A854),DAY($A854)),$A:$A,0))-1),"")</f>
        <v/>
      </c>
      <c r="M854" s="19">
        <f>IF(OR(E854="",E853=""),"",E854/E853-1)</f>
        <v/>
      </c>
      <c r="N854" s="19">
        <f>IF(OR(F854="",F853=""),"",F854/F853-1)</f>
        <v/>
      </c>
      <c r="O854" s="19">
        <f>IF(OR(G854="",G853=""),"",G854/G853-1)</f>
        <v/>
      </c>
      <c r="P854" s="22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IF(R854="","",P854/R854)</f>
        <v/>
      </c>
      <c r="T854" s="23">
        <f>IF(R854="","",Q854/R854)</f>
        <v/>
      </c>
      <c r="U854" s="24">
        <f>IF(SUMIFS('Daily NSE Equity Options'!$M:$M,'Daily NSE Equity Options'!$A:$A,$A854)=0,"",SUMIFS('Daily NSE Equity Options'!$M:$M,'Daily NSE Equity Options'!$A:$A,$A854))</f>
        <v/>
      </c>
      <c r="V854" s="9">
        <f>IF(SUMIFS('Daily BSE Equity Options'!$M:$M,'Daily BSE Equity Options'!$A:$A,$A854)=0,"",SUMIFS('Daily BSE Equity Options'!$M:$M,'Daily BSE Equity Options'!$A:$A,$A854))</f>
        <v/>
      </c>
      <c r="W854" s="9">
        <f>IF(OR(U854="",V854=""),"",U854+V854)</f>
        <v/>
      </c>
      <c r="X854" s="25">
        <f>IF(W854="","",U854/W854)</f>
        <v/>
      </c>
      <c r="Y854" s="25">
        <f>IF(W854="","",V854/W854)</f>
        <v/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19">
        <f>IF(G855="","",E855/G855)</f>
        <v/>
      </c>
      <c r="I855" s="19">
        <f>IF(G855="","",F855/G855)</f>
        <v/>
      </c>
      <c r="J855" s="26">
        <f>IFERROR(IF(OR(E855="",INDEX(E:E,MATCH(DATE(YEAR($A855)-1,MONTH($A855),DAY($A855)),$A:$A,0))=""),"",E855/INDEX(E:E,MATCH(DATE(YEAR($A855)-1,MONTH($A855),DAY($A855)),$A:$A,0))-1),"")</f>
        <v/>
      </c>
      <c r="K855" s="19">
        <f>IFERROR(IF(OR(F855="",INDEX(F:F,MATCH(DATE(YEAR($A855)-1,MONTH($A855),DAY($A855)),$A:$A,0))=""),"",F855/INDEX(F:F,MATCH(DATE(YEAR($A855)-1,MONTH($A855),DAY($A855)),$A:$A,0))-1),"")</f>
        <v/>
      </c>
      <c r="L855" s="19">
        <f>IFERROR(IF(OR(G855="",INDEX(G:G,MATCH(DATE(YEAR($A855)-1,MONTH($A855),DAY($A855)),$A:$A,0))=""),"",G855/INDEX(G:G,MATCH(DATE(YEAR($A855)-1,MONTH($A855),DAY($A855)),$A:$A,0))-1),"")</f>
        <v/>
      </c>
      <c r="M855" s="19">
        <f>IF(OR(E855="",E854=""),"",E855/E854-1)</f>
        <v/>
      </c>
      <c r="N855" s="19">
        <f>IF(OR(F855="",F854=""),"",F855/F854-1)</f>
        <v/>
      </c>
      <c r="O855" s="19">
        <f>IF(OR(G855="",G854=""),"",G855/G854-1)</f>
        <v/>
      </c>
      <c r="P855" s="22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IF(R855="","",P855/R855)</f>
        <v/>
      </c>
      <c r="T855" s="23">
        <f>IF(R855="","",Q855/R855)</f>
        <v/>
      </c>
      <c r="U855" s="24">
        <f>IF(SUMIFS('Daily NSE Equity Options'!$M:$M,'Daily NSE Equity Options'!$A:$A,$A855)=0,"",SUMIFS('Daily NSE Equity Options'!$M:$M,'Daily NSE Equity Options'!$A:$A,$A855))</f>
        <v/>
      </c>
      <c r="V855" s="9">
        <f>IF(SUMIFS('Daily BSE Equity Options'!$M:$M,'Daily BSE Equity Options'!$A:$A,$A855)=0,"",SUMIFS('Daily BSE Equity Options'!$M:$M,'Daily BSE Equity Options'!$A:$A,$A855))</f>
        <v/>
      </c>
      <c r="W855" s="9">
        <f>IF(OR(U855="",V855=""),"",U855+V855)</f>
        <v/>
      </c>
      <c r="X855" s="25">
        <f>IF(W855="","",U855/W855)</f>
        <v/>
      </c>
      <c r="Y855" s="25">
        <f>IF(W855="","",V855/W855)</f>
        <v/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19">
        <f>IF(G856="","",E856/G856)</f>
        <v/>
      </c>
      <c r="I856" s="19">
        <f>IF(G856="","",F856/G856)</f>
        <v/>
      </c>
      <c r="J856" s="26">
        <f>IFERROR(IF(OR(E856="",INDEX(E:E,MATCH(DATE(YEAR($A856)-1,MONTH($A856),DAY($A856)),$A:$A,0))=""),"",E856/INDEX(E:E,MATCH(DATE(YEAR($A856)-1,MONTH($A856),DAY($A856)),$A:$A,0))-1),"")</f>
        <v/>
      </c>
      <c r="K856" s="19">
        <f>IFERROR(IF(OR(F856="",INDEX(F:F,MATCH(DATE(YEAR($A856)-1,MONTH($A856),DAY($A856)),$A:$A,0))=""),"",F856/INDEX(F:F,MATCH(DATE(YEAR($A856)-1,MONTH($A856),DAY($A856)),$A:$A,0))-1),"")</f>
        <v/>
      </c>
      <c r="L856" s="19">
        <f>IFERROR(IF(OR(G856="",INDEX(G:G,MATCH(DATE(YEAR($A856)-1,MONTH($A856),DAY($A856)),$A:$A,0))=""),"",G856/INDEX(G:G,MATCH(DATE(YEAR($A856)-1,MONTH($A856),DAY($A856)),$A:$A,0))-1),"")</f>
        <v/>
      </c>
      <c r="M856" s="19">
        <f>IF(OR(E856="",E855=""),"",E856/E855-1)</f>
        <v/>
      </c>
      <c r="N856" s="19">
        <f>IF(OR(F856="",F855=""),"",F856/F855-1)</f>
        <v/>
      </c>
      <c r="O856" s="19">
        <f>IF(OR(G856="",G855=""),"",G856/G855-1)</f>
        <v/>
      </c>
      <c r="P856" s="22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IF(R856="","",P856/R856)</f>
        <v/>
      </c>
      <c r="T856" s="23">
        <f>IF(R856="","",Q856/R856)</f>
        <v/>
      </c>
      <c r="U856" s="24">
        <f>IF(SUMIFS('Daily NSE Equity Options'!$M:$M,'Daily NSE Equity Options'!$A:$A,$A856)=0,"",SUMIFS('Daily NSE Equity Options'!$M:$M,'Daily NSE Equity Options'!$A:$A,$A856))</f>
        <v/>
      </c>
      <c r="V856" s="9">
        <f>IF(SUMIFS('Daily BSE Equity Options'!$M:$M,'Daily BSE Equity Options'!$A:$A,$A856)=0,"",SUMIFS('Daily BSE Equity Options'!$M:$M,'Daily BSE Equity Options'!$A:$A,$A856))</f>
        <v/>
      </c>
      <c r="W856" s="9">
        <f>IF(OR(U856="",V856=""),"",U856+V856)</f>
        <v/>
      </c>
      <c r="X856" s="25">
        <f>IF(W856="","",U856/W856)</f>
        <v/>
      </c>
      <c r="Y856" s="25">
        <f>IF(W856="","",V856/W856)</f>
        <v/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19">
        <f>IF(G857="","",E857/G857)</f>
        <v/>
      </c>
      <c r="I857" s="19">
        <f>IF(G857="","",F857/G857)</f>
        <v/>
      </c>
      <c r="J857" s="26">
        <f>IFERROR(IF(OR(E857="",INDEX(E:E,MATCH(DATE(YEAR($A857)-1,MONTH($A857),DAY($A857)),$A:$A,0))=""),"",E857/INDEX(E:E,MATCH(DATE(YEAR($A857)-1,MONTH($A857),DAY($A857)),$A:$A,0))-1),"")</f>
        <v/>
      </c>
      <c r="K857" s="19">
        <f>IFERROR(IF(OR(F857="",INDEX(F:F,MATCH(DATE(YEAR($A857)-1,MONTH($A857),DAY($A857)),$A:$A,0))=""),"",F857/INDEX(F:F,MATCH(DATE(YEAR($A857)-1,MONTH($A857),DAY($A857)),$A:$A,0))-1),"")</f>
        <v/>
      </c>
      <c r="L857" s="19">
        <f>IFERROR(IF(OR(G857="",INDEX(G:G,MATCH(DATE(YEAR($A857)-1,MONTH($A857),DAY($A857)),$A:$A,0))=""),"",G857/INDEX(G:G,MATCH(DATE(YEAR($A857)-1,MONTH($A857),DAY($A857)),$A:$A,0))-1),"")</f>
        <v/>
      </c>
      <c r="M857" s="19">
        <f>IF(OR(E857="",E856=""),"",E857/E856-1)</f>
        <v/>
      </c>
      <c r="N857" s="19">
        <f>IF(OR(F857="",F856=""),"",F857/F856-1)</f>
        <v/>
      </c>
      <c r="O857" s="19">
        <f>IF(OR(G857="",G856=""),"",G857/G856-1)</f>
        <v/>
      </c>
      <c r="P857" s="22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IF(R857="","",P857/R857)</f>
        <v/>
      </c>
      <c r="T857" s="23">
        <f>IF(R857="","",Q857/R857)</f>
        <v/>
      </c>
      <c r="U857" s="24">
        <f>IF(SUMIFS('Daily NSE Equity Options'!$M:$M,'Daily NSE Equity Options'!$A:$A,$A857)=0,"",SUMIFS('Daily NSE Equity Options'!$M:$M,'Daily NSE Equity Options'!$A:$A,$A857))</f>
        <v/>
      </c>
      <c r="V857" s="9">
        <f>IF(SUMIFS('Daily BSE Equity Options'!$M:$M,'Daily BSE Equity Options'!$A:$A,$A857)=0,"",SUMIFS('Daily BSE Equity Options'!$M:$M,'Daily BSE Equity Options'!$A:$A,$A857))</f>
        <v/>
      </c>
      <c r="W857" s="9">
        <f>IF(OR(U857="",V857=""),"",U857+V857)</f>
        <v/>
      </c>
      <c r="X857" s="25">
        <f>IF(W857="","",U857/W857)</f>
        <v/>
      </c>
      <c r="Y857" s="25">
        <f>IF(W857="","",V857/W857)</f>
        <v/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19">
        <f>IF(G858="","",E858/G858)</f>
        <v/>
      </c>
      <c r="I858" s="19">
        <f>IF(G858="","",F858/G858)</f>
        <v/>
      </c>
      <c r="J858" s="26">
        <f>IFERROR(IF(OR(E858="",INDEX(E:E,MATCH(DATE(YEAR($A858)-1,MONTH($A858),DAY($A858)),$A:$A,0))=""),"",E858/INDEX(E:E,MATCH(DATE(YEAR($A858)-1,MONTH($A858),DAY($A858)),$A:$A,0))-1),"")</f>
        <v/>
      </c>
      <c r="K858" s="19">
        <f>IFERROR(IF(OR(F858="",INDEX(F:F,MATCH(DATE(YEAR($A858)-1,MONTH($A858),DAY($A858)),$A:$A,0))=""),"",F858/INDEX(F:F,MATCH(DATE(YEAR($A858)-1,MONTH($A858),DAY($A858)),$A:$A,0))-1),"")</f>
        <v/>
      </c>
      <c r="L858" s="19">
        <f>IFERROR(IF(OR(G858="",INDEX(G:G,MATCH(DATE(YEAR($A858)-1,MONTH($A858),DAY($A858)),$A:$A,0))=""),"",G858/INDEX(G:G,MATCH(DATE(YEAR($A858)-1,MONTH($A858),DAY($A858)),$A:$A,0))-1),"")</f>
        <v/>
      </c>
      <c r="M858" s="19">
        <f>IF(OR(E858="",E857=""),"",E858/E857-1)</f>
        <v/>
      </c>
      <c r="N858" s="19">
        <f>IF(OR(F858="",F857=""),"",F858/F857-1)</f>
        <v/>
      </c>
      <c r="O858" s="19">
        <f>IF(OR(G858="",G857=""),"",G858/G857-1)</f>
        <v/>
      </c>
      <c r="P858" s="22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IF(R858="","",P858/R858)</f>
        <v/>
      </c>
      <c r="T858" s="23">
        <f>IF(R858="","",Q858/R858)</f>
        <v/>
      </c>
      <c r="U858" s="24">
        <f>IF(SUMIFS('Daily NSE Equity Options'!$M:$M,'Daily NSE Equity Options'!$A:$A,$A858)=0,"",SUMIFS('Daily NSE Equity Options'!$M:$M,'Daily NSE Equity Options'!$A:$A,$A858))</f>
        <v/>
      </c>
      <c r="V858" s="9">
        <f>IF(SUMIFS('Daily BSE Equity Options'!$M:$M,'Daily BSE Equity Options'!$A:$A,$A858)=0,"",SUMIFS('Daily BSE Equity Options'!$M:$M,'Daily BSE Equity Options'!$A:$A,$A858))</f>
        <v/>
      </c>
      <c r="W858" s="9">
        <f>IF(OR(U858="",V858=""),"",U858+V858)</f>
        <v/>
      </c>
      <c r="X858" s="25">
        <f>IF(W858="","",U858/W858)</f>
        <v/>
      </c>
      <c r="Y858" s="25">
        <f>IF(W858="","",V858/W858)</f>
        <v/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19">
        <f>IF(G859="","",E859/G859)</f>
        <v/>
      </c>
      <c r="I859" s="19">
        <f>IF(G859="","",F859/G859)</f>
        <v/>
      </c>
      <c r="J859" s="26">
        <f>IFERROR(IF(OR(E859="",INDEX(E:E,MATCH(DATE(YEAR($A859)-1,MONTH($A859),DAY($A859)),$A:$A,0))=""),"",E859/INDEX(E:E,MATCH(DATE(YEAR($A859)-1,MONTH($A859),DAY($A859)),$A:$A,0))-1),"")</f>
        <v/>
      </c>
      <c r="K859" s="19">
        <f>IFERROR(IF(OR(F859="",INDEX(F:F,MATCH(DATE(YEAR($A859)-1,MONTH($A859),DAY($A859)),$A:$A,0))=""),"",F859/INDEX(F:F,MATCH(DATE(YEAR($A859)-1,MONTH($A859),DAY($A859)),$A:$A,0))-1),"")</f>
        <v/>
      </c>
      <c r="L859" s="19">
        <f>IFERROR(IF(OR(G859="",INDEX(G:G,MATCH(DATE(YEAR($A859)-1,MONTH($A859),DAY($A859)),$A:$A,0))=""),"",G859/INDEX(G:G,MATCH(DATE(YEAR($A859)-1,MONTH($A859),DAY($A859)),$A:$A,0))-1),"")</f>
        <v/>
      </c>
      <c r="M859" s="19">
        <f>IF(OR(E859="",E858=""),"",E859/E858-1)</f>
        <v/>
      </c>
      <c r="N859" s="19">
        <f>IF(OR(F859="",F858=""),"",F859/F858-1)</f>
        <v/>
      </c>
      <c r="O859" s="19">
        <f>IF(OR(G859="",G858=""),"",G859/G858-1)</f>
        <v/>
      </c>
      <c r="P859" s="22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IF(R859="","",P859/R859)</f>
        <v/>
      </c>
      <c r="T859" s="23">
        <f>IF(R859="","",Q859/R859)</f>
        <v/>
      </c>
      <c r="U859" s="24">
        <f>IF(SUMIFS('Daily NSE Equity Options'!$M:$M,'Daily NSE Equity Options'!$A:$A,$A859)=0,"",SUMIFS('Daily NSE Equity Options'!$M:$M,'Daily NSE Equity Options'!$A:$A,$A859))</f>
        <v/>
      </c>
      <c r="V859" s="9">
        <f>IF(SUMIFS('Daily BSE Equity Options'!$M:$M,'Daily BSE Equity Options'!$A:$A,$A859)=0,"",SUMIFS('Daily BSE Equity Options'!$M:$M,'Daily BSE Equity Options'!$A:$A,$A859))</f>
        <v/>
      </c>
      <c r="W859" s="9">
        <f>IF(OR(U859="",V859=""),"",U859+V859)</f>
        <v/>
      </c>
      <c r="X859" s="25">
        <f>IF(W859="","",U859/W859)</f>
        <v/>
      </c>
      <c r="Y859" s="25">
        <f>IF(W859="","",V859/W859)</f>
        <v/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19">
        <f>IF(G860="","",E860/G860)</f>
        <v/>
      </c>
      <c r="I860" s="19">
        <f>IF(G860="","",F860/G860)</f>
        <v/>
      </c>
      <c r="J860" s="26">
        <f>IFERROR(IF(OR(E860="",INDEX(E:E,MATCH(DATE(YEAR($A860)-1,MONTH($A860),DAY($A860)),$A:$A,0))=""),"",E860/INDEX(E:E,MATCH(DATE(YEAR($A860)-1,MONTH($A860),DAY($A860)),$A:$A,0))-1),"")</f>
        <v/>
      </c>
      <c r="K860" s="19">
        <f>IFERROR(IF(OR(F860="",INDEX(F:F,MATCH(DATE(YEAR($A860)-1,MONTH($A860),DAY($A860)),$A:$A,0))=""),"",F860/INDEX(F:F,MATCH(DATE(YEAR($A860)-1,MONTH($A860),DAY($A860)),$A:$A,0))-1),"")</f>
        <v/>
      </c>
      <c r="L860" s="19">
        <f>IFERROR(IF(OR(G860="",INDEX(G:G,MATCH(DATE(YEAR($A860)-1,MONTH($A860),DAY($A860)),$A:$A,0))=""),"",G860/INDEX(G:G,MATCH(DATE(YEAR($A860)-1,MONTH($A860),DAY($A860)),$A:$A,0))-1),"")</f>
        <v/>
      </c>
      <c r="M860" s="19">
        <f>IF(OR(E860="",E859=""),"",E860/E859-1)</f>
        <v/>
      </c>
      <c r="N860" s="19">
        <f>IF(OR(F860="",F859=""),"",F860/F859-1)</f>
        <v/>
      </c>
      <c r="O860" s="19">
        <f>IF(OR(G860="",G859=""),"",G860/G859-1)</f>
        <v/>
      </c>
      <c r="P860" s="22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IF(R860="","",P860/R860)</f>
        <v/>
      </c>
      <c r="T860" s="23">
        <f>IF(R860="","",Q860/R860)</f>
        <v/>
      </c>
      <c r="U860" s="24">
        <f>IF(SUMIFS('Daily NSE Equity Options'!$M:$M,'Daily NSE Equity Options'!$A:$A,$A860)=0,"",SUMIFS('Daily NSE Equity Options'!$M:$M,'Daily NSE Equity Options'!$A:$A,$A860))</f>
        <v/>
      </c>
      <c r="V860" s="9">
        <f>IF(SUMIFS('Daily BSE Equity Options'!$M:$M,'Daily BSE Equity Options'!$A:$A,$A860)=0,"",SUMIFS('Daily BSE Equity Options'!$M:$M,'Daily BSE Equity Options'!$A:$A,$A860))</f>
        <v/>
      </c>
      <c r="W860" s="9">
        <f>IF(OR(U860="",V860=""),"",U860+V860)</f>
        <v/>
      </c>
      <c r="X860" s="25">
        <f>IF(W860="","",U860/W860)</f>
        <v/>
      </c>
      <c r="Y860" s="25">
        <f>IF(W860="","",V860/W860)</f>
        <v/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19">
        <f>IF(G861="","",E861/G861)</f>
        <v/>
      </c>
      <c r="I861" s="19">
        <f>IF(G861="","",F861/G861)</f>
        <v/>
      </c>
      <c r="J861" s="26">
        <f>IFERROR(IF(OR(E861="",INDEX(E:E,MATCH(DATE(YEAR($A861)-1,MONTH($A861),DAY($A861)),$A:$A,0))=""),"",E861/INDEX(E:E,MATCH(DATE(YEAR($A861)-1,MONTH($A861),DAY($A861)),$A:$A,0))-1),"")</f>
        <v/>
      </c>
      <c r="K861" s="19">
        <f>IFERROR(IF(OR(F861="",INDEX(F:F,MATCH(DATE(YEAR($A861)-1,MONTH($A861),DAY($A861)),$A:$A,0))=""),"",F861/INDEX(F:F,MATCH(DATE(YEAR($A861)-1,MONTH($A861),DAY($A861)),$A:$A,0))-1),"")</f>
        <v/>
      </c>
      <c r="L861" s="19">
        <f>IFERROR(IF(OR(G861="",INDEX(G:G,MATCH(DATE(YEAR($A861)-1,MONTH($A861),DAY($A861)),$A:$A,0))=""),"",G861/INDEX(G:G,MATCH(DATE(YEAR($A861)-1,MONTH($A861),DAY($A861)),$A:$A,0))-1),"")</f>
        <v/>
      </c>
      <c r="M861" s="19">
        <f>IF(OR(E861="",E860=""),"",E861/E860-1)</f>
        <v/>
      </c>
      <c r="N861" s="19">
        <f>IF(OR(F861="",F860=""),"",F861/F860-1)</f>
        <v/>
      </c>
      <c r="O861" s="19">
        <f>IF(OR(G861="",G860=""),"",G861/G860-1)</f>
        <v/>
      </c>
      <c r="P861" s="22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IF(R861="","",P861/R861)</f>
        <v/>
      </c>
      <c r="T861" s="23">
        <f>IF(R861="","",Q861/R861)</f>
        <v/>
      </c>
      <c r="U861" s="24">
        <f>IF(SUMIFS('Daily NSE Equity Options'!$M:$M,'Daily NSE Equity Options'!$A:$A,$A861)=0,"",SUMIFS('Daily NSE Equity Options'!$M:$M,'Daily NSE Equity Options'!$A:$A,$A861))</f>
        <v/>
      </c>
      <c r="V861" s="9">
        <f>IF(SUMIFS('Daily BSE Equity Options'!$M:$M,'Daily BSE Equity Options'!$A:$A,$A861)=0,"",SUMIFS('Daily BSE Equity Options'!$M:$M,'Daily BSE Equity Options'!$A:$A,$A861))</f>
        <v/>
      </c>
      <c r="W861" s="9">
        <f>IF(OR(U861="",V861=""),"",U861+V861)</f>
        <v/>
      </c>
      <c r="X861" s="25">
        <f>IF(W861="","",U861/W861)</f>
        <v/>
      </c>
      <c r="Y861" s="25">
        <f>IF(W861="","",V861/W861)</f>
        <v/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19">
        <f>IF(G862="","",E862/G862)</f>
        <v/>
      </c>
      <c r="I862" s="19">
        <f>IF(G862="","",F862/G862)</f>
        <v/>
      </c>
      <c r="J862" s="26">
        <f>IFERROR(IF(OR(E862="",INDEX(E:E,MATCH(DATE(YEAR($A862)-1,MONTH($A862),DAY($A862)),$A:$A,0))=""),"",E862/INDEX(E:E,MATCH(DATE(YEAR($A862)-1,MONTH($A862),DAY($A862)),$A:$A,0))-1),"")</f>
        <v/>
      </c>
      <c r="K862" s="19">
        <f>IFERROR(IF(OR(F862="",INDEX(F:F,MATCH(DATE(YEAR($A862)-1,MONTH($A862),DAY($A862)),$A:$A,0))=""),"",F862/INDEX(F:F,MATCH(DATE(YEAR($A862)-1,MONTH($A862),DAY($A862)),$A:$A,0))-1),"")</f>
        <v/>
      </c>
      <c r="L862" s="19">
        <f>IFERROR(IF(OR(G862="",INDEX(G:G,MATCH(DATE(YEAR($A862)-1,MONTH($A862),DAY($A862)),$A:$A,0))=""),"",G862/INDEX(G:G,MATCH(DATE(YEAR($A862)-1,MONTH($A862),DAY($A862)),$A:$A,0))-1),"")</f>
        <v/>
      </c>
      <c r="M862" s="19">
        <f>IF(OR(E862="",E861=""),"",E862/E861-1)</f>
        <v/>
      </c>
      <c r="N862" s="19">
        <f>IF(OR(F862="",F861=""),"",F862/F861-1)</f>
        <v/>
      </c>
      <c r="O862" s="19">
        <f>IF(OR(G862="",G861=""),"",G862/G861-1)</f>
        <v/>
      </c>
      <c r="P862" s="22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IF(R862="","",P862/R862)</f>
        <v/>
      </c>
      <c r="T862" s="23">
        <f>IF(R862="","",Q862/R862)</f>
        <v/>
      </c>
      <c r="U862" s="24">
        <f>IF(SUMIFS('Daily NSE Equity Options'!$M:$M,'Daily NSE Equity Options'!$A:$A,$A862)=0,"",SUMIFS('Daily NSE Equity Options'!$M:$M,'Daily NSE Equity Options'!$A:$A,$A862))</f>
        <v/>
      </c>
      <c r="V862" s="9">
        <f>IF(SUMIFS('Daily BSE Equity Options'!$M:$M,'Daily BSE Equity Options'!$A:$A,$A862)=0,"",SUMIFS('Daily BSE Equity Options'!$M:$M,'Daily BSE Equity Options'!$A:$A,$A862))</f>
        <v/>
      </c>
      <c r="W862" s="9">
        <f>IF(OR(U862="",V862=""),"",U862+V862)</f>
        <v/>
      </c>
      <c r="X862" s="25">
        <f>IF(W862="","",U862/W862)</f>
        <v/>
      </c>
      <c r="Y862" s="25">
        <f>IF(W862="","",V862/W862)</f>
        <v/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19">
        <f>IF(G863="","",E863/G863)</f>
        <v/>
      </c>
      <c r="I863" s="19">
        <f>IF(G863="","",F863/G863)</f>
        <v/>
      </c>
      <c r="J863" s="26">
        <f>IFERROR(IF(OR(E863="",INDEX(E:E,MATCH(DATE(YEAR($A863)-1,MONTH($A863),DAY($A863)),$A:$A,0))=""),"",E863/INDEX(E:E,MATCH(DATE(YEAR($A863)-1,MONTH($A863),DAY($A863)),$A:$A,0))-1),"")</f>
        <v/>
      </c>
      <c r="K863" s="19">
        <f>IFERROR(IF(OR(F863="",INDEX(F:F,MATCH(DATE(YEAR($A863)-1,MONTH($A863),DAY($A863)),$A:$A,0))=""),"",F863/INDEX(F:F,MATCH(DATE(YEAR($A863)-1,MONTH($A863),DAY($A863)),$A:$A,0))-1),"")</f>
        <v/>
      </c>
      <c r="L863" s="19">
        <f>IFERROR(IF(OR(G863="",INDEX(G:G,MATCH(DATE(YEAR($A863)-1,MONTH($A863),DAY($A863)),$A:$A,0))=""),"",G863/INDEX(G:G,MATCH(DATE(YEAR($A863)-1,MONTH($A863),DAY($A863)),$A:$A,0))-1),"")</f>
        <v/>
      </c>
      <c r="M863" s="19">
        <f>IF(OR(E863="",E862=""),"",E863/E862-1)</f>
        <v/>
      </c>
      <c r="N863" s="19">
        <f>IF(OR(F863="",F862=""),"",F863/F862-1)</f>
        <v/>
      </c>
      <c r="O863" s="19">
        <f>IF(OR(G863="",G862=""),"",G863/G862-1)</f>
        <v/>
      </c>
      <c r="P863" s="22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IF(R863="","",P863/R863)</f>
        <v/>
      </c>
      <c r="T863" s="23">
        <f>IF(R863="","",Q863/R863)</f>
        <v/>
      </c>
      <c r="U863" s="24">
        <f>IF(SUMIFS('Daily NSE Equity Options'!$M:$M,'Daily NSE Equity Options'!$A:$A,$A863)=0,"",SUMIFS('Daily NSE Equity Options'!$M:$M,'Daily NSE Equity Options'!$A:$A,$A863))</f>
        <v/>
      </c>
      <c r="V863" s="9">
        <f>IF(SUMIFS('Daily BSE Equity Options'!$M:$M,'Daily BSE Equity Options'!$A:$A,$A863)=0,"",SUMIFS('Daily BSE Equity Options'!$M:$M,'Daily BSE Equity Options'!$A:$A,$A863))</f>
        <v/>
      </c>
      <c r="W863" s="9">
        <f>IF(OR(U863="",V863=""),"",U863+V863)</f>
        <v/>
      </c>
      <c r="X863" s="25">
        <f>IF(W863="","",U863/W863)</f>
        <v/>
      </c>
      <c r="Y863" s="25">
        <f>IF(W863="","",V863/W863)</f>
        <v/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19">
        <f>IF(G864="","",E864/G864)</f>
        <v/>
      </c>
      <c r="I864" s="19">
        <f>IF(G864="","",F864/G864)</f>
        <v/>
      </c>
      <c r="J864" s="26">
        <f>IFERROR(IF(OR(E864="",INDEX(E:E,MATCH(DATE(YEAR($A864)-1,MONTH($A864),DAY($A864)),$A:$A,0))=""),"",E864/INDEX(E:E,MATCH(DATE(YEAR($A864)-1,MONTH($A864),DAY($A864)),$A:$A,0))-1),"")</f>
        <v/>
      </c>
      <c r="K864" s="19">
        <f>IFERROR(IF(OR(F864="",INDEX(F:F,MATCH(DATE(YEAR($A864)-1,MONTH($A864),DAY($A864)),$A:$A,0))=""),"",F864/INDEX(F:F,MATCH(DATE(YEAR($A864)-1,MONTH($A864),DAY($A864)),$A:$A,0))-1),"")</f>
        <v/>
      </c>
      <c r="L864" s="19">
        <f>IFERROR(IF(OR(G864="",INDEX(G:G,MATCH(DATE(YEAR($A864)-1,MONTH($A864),DAY($A864)),$A:$A,0))=""),"",G864/INDEX(G:G,MATCH(DATE(YEAR($A864)-1,MONTH($A864),DAY($A864)),$A:$A,0))-1),"")</f>
        <v/>
      </c>
      <c r="M864" s="19">
        <f>IF(OR(E864="",E863=""),"",E864/E863-1)</f>
        <v/>
      </c>
      <c r="N864" s="19">
        <f>IF(OR(F864="",F863=""),"",F864/F863-1)</f>
        <v/>
      </c>
      <c r="O864" s="19">
        <f>IF(OR(G864="",G863=""),"",G864/G863-1)</f>
        <v/>
      </c>
      <c r="P864" s="22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IF(R864="","",P864/R864)</f>
        <v/>
      </c>
      <c r="T864" s="23">
        <f>IF(R864="","",Q864/R864)</f>
        <v/>
      </c>
      <c r="U864" s="24">
        <f>IF(SUMIFS('Daily NSE Equity Options'!$M:$M,'Daily NSE Equity Options'!$A:$A,$A864)=0,"",SUMIFS('Daily NSE Equity Options'!$M:$M,'Daily NSE Equity Options'!$A:$A,$A864))</f>
        <v/>
      </c>
      <c r="V864" s="9">
        <f>IF(SUMIFS('Daily BSE Equity Options'!$M:$M,'Daily BSE Equity Options'!$A:$A,$A864)=0,"",SUMIFS('Daily BSE Equity Options'!$M:$M,'Daily BSE Equity Options'!$A:$A,$A864))</f>
        <v/>
      </c>
      <c r="W864" s="9">
        <f>IF(OR(U864="",V864=""),"",U864+V864)</f>
        <v/>
      </c>
      <c r="X864" s="25">
        <f>IF(W864="","",U864/W864)</f>
        <v/>
      </c>
      <c r="Y864" s="25">
        <f>IF(W864="","",V864/W864)</f>
        <v/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19">
        <f>IF(G865="","",E865/G865)</f>
        <v/>
      </c>
      <c r="I865" s="19">
        <f>IF(G865="","",F865/G865)</f>
        <v/>
      </c>
      <c r="J865" s="26">
        <f>IFERROR(IF(OR(E865="",INDEX(E:E,MATCH(DATE(YEAR($A865)-1,MONTH($A865),DAY($A865)),$A:$A,0))=""),"",E865/INDEX(E:E,MATCH(DATE(YEAR($A865)-1,MONTH($A865),DAY($A865)),$A:$A,0))-1),"")</f>
        <v/>
      </c>
      <c r="K865" s="19">
        <f>IFERROR(IF(OR(F865="",INDEX(F:F,MATCH(DATE(YEAR($A865)-1,MONTH($A865),DAY($A865)),$A:$A,0))=""),"",F865/INDEX(F:F,MATCH(DATE(YEAR($A865)-1,MONTH($A865),DAY($A865)),$A:$A,0))-1),"")</f>
        <v/>
      </c>
      <c r="L865" s="19">
        <f>IFERROR(IF(OR(G865="",INDEX(G:G,MATCH(DATE(YEAR($A865)-1,MONTH($A865),DAY($A865)),$A:$A,0))=""),"",G865/INDEX(G:G,MATCH(DATE(YEAR($A865)-1,MONTH($A865),DAY($A865)),$A:$A,0))-1),"")</f>
        <v/>
      </c>
      <c r="M865" s="19">
        <f>IF(OR(E865="",E864=""),"",E865/E864-1)</f>
        <v/>
      </c>
      <c r="N865" s="19">
        <f>IF(OR(F865="",F864=""),"",F865/F864-1)</f>
        <v/>
      </c>
      <c r="O865" s="19">
        <f>IF(OR(G865="",G864=""),"",G865/G864-1)</f>
        <v/>
      </c>
      <c r="P865" s="22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IF(R865="","",P865/R865)</f>
        <v/>
      </c>
      <c r="T865" s="23">
        <f>IF(R865="","",Q865/R865)</f>
        <v/>
      </c>
      <c r="U865" s="24">
        <f>IF(SUMIFS('Daily NSE Equity Options'!$M:$M,'Daily NSE Equity Options'!$A:$A,$A865)=0,"",SUMIFS('Daily NSE Equity Options'!$M:$M,'Daily NSE Equity Options'!$A:$A,$A865))</f>
        <v/>
      </c>
      <c r="V865" s="9">
        <f>IF(SUMIFS('Daily BSE Equity Options'!$M:$M,'Daily BSE Equity Options'!$A:$A,$A865)=0,"",SUMIFS('Daily BSE Equity Options'!$M:$M,'Daily BSE Equity Options'!$A:$A,$A865))</f>
        <v/>
      </c>
      <c r="W865" s="9">
        <f>IF(OR(U865="",V865=""),"",U865+V865)</f>
        <v/>
      </c>
      <c r="X865" s="25">
        <f>IF(W865="","",U865/W865)</f>
        <v/>
      </c>
      <c r="Y865" s="25">
        <f>IF(W865="","",V865/W865)</f>
        <v/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19">
        <f>IF(G866="","",E866/G866)</f>
        <v/>
      </c>
      <c r="I866" s="19">
        <f>IF(G866="","",F866/G866)</f>
        <v/>
      </c>
      <c r="J866" s="26">
        <f>IFERROR(IF(OR(E866="",INDEX(E:E,MATCH(DATE(YEAR($A866)-1,MONTH($A866),DAY($A866)),$A:$A,0))=""),"",E866/INDEX(E:E,MATCH(DATE(YEAR($A866)-1,MONTH($A866),DAY($A866)),$A:$A,0))-1),"")</f>
        <v/>
      </c>
      <c r="K866" s="19">
        <f>IFERROR(IF(OR(F866="",INDEX(F:F,MATCH(DATE(YEAR($A866)-1,MONTH($A866),DAY($A866)),$A:$A,0))=""),"",F866/INDEX(F:F,MATCH(DATE(YEAR($A866)-1,MONTH($A866),DAY($A866)),$A:$A,0))-1),"")</f>
        <v/>
      </c>
      <c r="L866" s="19">
        <f>IFERROR(IF(OR(G866="",INDEX(G:G,MATCH(DATE(YEAR($A866)-1,MONTH($A866),DAY($A866)),$A:$A,0))=""),"",G866/INDEX(G:G,MATCH(DATE(YEAR($A866)-1,MONTH($A866),DAY($A866)),$A:$A,0))-1),"")</f>
        <v/>
      </c>
      <c r="M866" s="19">
        <f>IF(OR(E866="",E865=""),"",E866/E865-1)</f>
        <v/>
      </c>
      <c r="N866" s="19">
        <f>IF(OR(F866="",F865=""),"",F866/F865-1)</f>
        <v/>
      </c>
      <c r="O866" s="19">
        <f>IF(OR(G866="",G865=""),"",G866/G865-1)</f>
        <v/>
      </c>
      <c r="P866" s="22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IF(R866="","",P866/R866)</f>
        <v/>
      </c>
      <c r="T866" s="23">
        <f>IF(R866="","",Q866/R866)</f>
        <v/>
      </c>
      <c r="U866" s="24">
        <f>IF(SUMIFS('Daily NSE Equity Options'!$M:$M,'Daily NSE Equity Options'!$A:$A,$A866)=0,"",SUMIFS('Daily NSE Equity Options'!$M:$M,'Daily NSE Equity Options'!$A:$A,$A866))</f>
        <v/>
      </c>
      <c r="V866" s="9">
        <f>IF(SUMIFS('Daily BSE Equity Options'!$M:$M,'Daily BSE Equity Options'!$A:$A,$A866)=0,"",SUMIFS('Daily BSE Equity Options'!$M:$M,'Daily BSE Equity Options'!$A:$A,$A866))</f>
        <v/>
      </c>
      <c r="W866" s="9">
        <f>IF(OR(U866="",V866=""),"",U866+V866)</f>
        <v/>
      </c>
      <c r="X866" s="25">
        <f>IF(W866="","",U866/W866)</f>
        <v/>
      </c>
      <c r="Y866" s="25">
        <f>IF(W866="","",V866/W866)</f>
        <v/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19">
        <f>IF(G867="","",E867/G867)</f>
        <v/>
      </c>
      <c r="I867" s="19">
        <f>IF(G867="","",F867/G867)</f>
        <v/>
      </c>
      <c r="J867" s="26">
        <f>IFERROR(IF(OR(E867="",INDEX(E:E,MATCH(DATE(YEAR($A867)-1,MONTH($A867),DAY($A867)),$A:$A,0))=""),"",E867/INDEX(E:E,MATCH(DATE(YEAR($A867)-1,MONTH($A867),DAY($A867)),$A:$A,0))-1),"")</f>
        <v/>
      </c>
      <c r="K867" s="19">
        <f>IFERROR(IF(OR(F867="",INDEX(F:F,MATCH(DATE(YEAR($A867)-1,MONTH($A867),DAY($A867)),$A:$A,0))=""),"",F867/INDEX(F:F,MATCH(DATE(YEAR($A867)-1,MONTH($A867),DAY($A867)),$A:$A,0))-1),"")</f>
        <v/>
      </c>
      <c r="L867" s="19">
        <f>IFERROR(IF(OR(G867="",INDEX(G:G,MATCH(DATE(YEAR($A867)-1,MONTH($A867),DAY($A867)),$A:$A,0))=""),"",G867/INDEX(G:G,MATCH(DATE(YEAR($A867)-1,MONTH($A867),DAY($A867)),$A:$A,0))-1),"")</f>
        <v/>
      </c>
      <c r="M867" s="19">
        <f>IF(OR(E867="",E866=""),"",E867/E866-1)</f>
        <v/>
      </c>
      <c r="N867" s="19">
        <f>IF(OR(F867="",F866=""),"",F867/F866-1)</f>
        <v/>
      </c>
      <c r="O867" s="19">
        <f>IF(OR(G867="",G866=""),"",G867/G866-1)</f>
        <v/>
      </c>
      <c r="P867" s="22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IF(R867="","",P867/R867)</f>
        <v/>
      </c>
      <c r="T867" s="23">
        <f>IF(R867="","",Q867/R867)</f>
        <v/>
      </c>
      <c r="U867" s="24">
        <f>IF(SUMIFS('Daily NSE Equity Options'!$M:$M,'Daily NSE Equity Options'!$A:$A,$A867)=0,"",SUMIFS('Daily NSE Equity Options'!$M:$M,'Daily NSE Equity Options'!$A:$A,$A867))</f>
        <v/>
      </c>
      <c r="V867" s="9">
        <f>IF(SUMIFS('Daily BSE Equity Options'!$M:$M,'Daily BSE Equity Options'!$A:$A,$A867)=0,"",SUMIFS('Daily BSE Equity Options'!$M:$M,'Daily BSE Equity Options'!$A:$A,$A867))</f>
        <v/>
      </c>
      <c r="W867" s="9">
        <f>IF(OR(U867="",V867=""),"",U867+V867)</f>
        <v/>
      </c>
      <c r="X867" s="25">
        <f>IF(W867="","",U867/W867)</f>
        <v/>
      </c>
      <c r="Y867" s="25">
        <f>IF(W867="","",V867/W867)</f>
        <v/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19">
        <f>IF(G868="","",E868/G868)</f>
        <v/>
      </c>
      <c r="I868" s="19">
        <f>IF(G868="","",F868/G868)</f>
        <v/>
      </c>
      <c r="J868" s="26">
        <f>IFERROR(IF(OR(E868="",INDEX(E:E,MATCH(DATE(YEAR($A868)-1,MONTH($A868),DAY($A868)),$A:$A,0))=""),"",E868/INDEX(E:E,MATCH(DATE(YEAR($A868)-1,MONTH($A868),DAY($A868)),$A:$A,0))-1),"")</f>
        <v/>
      </c>
      <c r="K868" s="19">
        <f>IFERROR(IF(OR(F868="",INDEX(F:F,MATCH(DATE(YEAR($A868)-1,MONTH($A868),DAY($A868)),$A:$A,0))=""),"",F868/INDEX(F:F,MATCH(DATE(YEAR($A868)-1,MONTH($A868),DAY($A868)),$A:$A,0))-1),"")</f>
        <v/>
      </c>
      <c r="L868" s="19">
        <f>IFERROR(IF(OR(G868="",INDEX(G:G,MATCH(DATE(YEAR($A868)-1,MONTH($A868),DAY($A868)),$A:$A,0))=""),"",G868/INDEX(G:G,MATCH(DATE(YEAR($A868)-1,MONTH($A868),DAY($A868)),$A:$A,0))-1),"")</f>
        <v/>
      </c>
      <c r="M868" s="19">
        <f>IF(OR(E868="",E867=""),"",E868/E867-1)</f>
        <v/>
      </c>
      <c r="N868" s="19">
        <f>IF(OR(F868="",F867=""),"",F868/F867-1)</f>
        <v/>
      </c>
      <c r="O868" s="19">
        <f>IF(OR(G868="",G867=""),"",G868/G867-1)</f>
        <v/>
      </c>
      <c r="P868" s="22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IF(R868="","",P868/R868)</f>
        <v/>
      </c>
      <c r="T868" s="23">
        <f>IF(R868="","",Q868/R868)</f>
        <v/>
      </c>
      <c r="U868" s="24">
        <f>IF(SUMIFS('Daily NSE Equity Options'!$M:$M,'Daily NSE Equity Options'!$A:$A,$A868)=0,"",SUMIFS('Daily NSE Equity Options'!$M:$M,'Daily NSE Equity Options'!$A:$A,$A868))</f>
        <v/>
      </c>
      <c r="V868" s="9">
        <f>IF(SUMIFS('Daily BSE Equity Options'!$M:$M,'Daily BSE Equity Options'!$A:$A,$A868)=0,"",SUMIFS('Daily BSE Equity Options'!$M:$M,'Daily BSE Equity Options'!$A:$A,$A868))</f>
        <v/>
      </c>
      <c r="W868" s="9">
        <f>IF(OR(U868="",V868=""),"",U868+V868)</f>
        <v/>
      </c>
      <c r="X868" s="25">
        <f>IF(W868="","",U868/W868)</f>
        <v/>
      </c>
      <c r="Y868" s="25">
        <f>IF(W868="","",V868/W868)</f>
        <v/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19">
        <f>IF(G869="","",E869/G869)</f>
        <v/>
      </c>
      <c r="I869" s="19">
        <f>IF(G869="","",F869/G869)</f>
        <v/>
      </c>
      <c r="J869" s="26">
        <f>IFERROR(IF(OR(E869="",INDEX(E:E,MATCH(DATE(YEAR($A869)-1,MONTH($A869),DAY($A869)),$A:$A,0))=""),"",E869/INDEX(E:E,MATCH(DATE(YEAR($A869)-1,MONTH($A869),DAY($A869)),$A:$A,0))-1),"")</f>
        <v/>
      </c>
      <c r="K869" s="19">
        <f>IFERROR(IF(OR(F869="",INDEX(F:F,MATCH(DATE(YEAR($A869)-1,MONTH($A869),DAY($A869)),$A:$A,0))=""),"",F869/INDEX(F:F,MATCH(DATE(YEAR($A869)-1,MONTH($A869),DAY($A869)),$A:$A,0))-1),"")</f>
        <v/>
      </c>
      <c r="L869" s="19">
        <f>IFERROR(IF(OR(G869="",INDEX(G:G,MATCH(DATE(YEAR($A869)-1,MONTH($A869),DAY($A869)),$A:$A,0))=""),"",G869/INDEX(G:G,MATCH(DATE(YEAR($A869)-1,MONTH($A869),DAY($A869)),$A:$A,0))-1),"")</f>
        <v/>
      </c>
      <c r="M869" s="19">
        <f>IF(OR(E869="",E868=""),"",E869/E868-1)</f>
        <v/>
      </c>
      <c r="N869" s="19">
        <f>IF(OR(F869="",F868=""),"",F869/F868-1)</f>
        <v/>
      </c>
      <c r="O869" s="19">
        <f>IF(OR(G869="",G868=""),"",G869/G868-1)</f>
        <v/>
      </c>
      <c r="P869" s="22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IF(R869="","",P869/R869)</f>
        <v/>
      </c>
      <c r="T869" s="23">
        <f>IF(R869="","",Q869/R869)</f>
        <v/>
      </c>
      <c r="U869" s="24">
        <f>IF(SUMIFS('Daily NSE Equity Options'!$M:$M,'Daily NSE Equity Options'!$A:$A,$A869)=0,"",SUMIFS('Daily NSE Equity Options'!$M:$M,'Daily NSE Equity Options'!$A:$A,$A869))</f>
        <v/>
      </c>
      <c r="V869" s="9">
        <f>IF(SUMIFS('Daily BSE Equity Options'!$M:$M,'Daily BSE Equity Options'!$A:$A,$A869)=0,"",SUMIFS('Daily BSE Equity Options'!$M:$M,'Daily BSE Equity Options'!$A:$A,$A869))</f>
        <v/>
      </c>
      <c r="W869" s="9">
        <f>IF(OR(U869="",V869=""),"",U869+V869)</f>
        <v/>
      </c>
      <c r="X869" s="25">
        <f>IF(W869="","",U869/W869)</f>
        <v/>
      </c>
      <c r="Y869" s="25">
        <f>IF(W869="","",V869/W869)</f>
        <v/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19">
        <f>IF(G870="","",E870/G870)</f>
        <v/>
      </c>
      <c r="I870" s="19">
        <f>IF(G870="","",F870/G870)</f>
        <v/>
      </c>
      <c r="J870" s="26">
        <f>IFERROR(IF(OR(E870="",INDEX(E:E,MATCH(DATE(YEAR($A870)-1,MONTH($A870),DAY($A870)),$A:$A,0))=""),"",E870/INDEX(E:E,MATCH(DATE(YEAR($A870)-1,MONTH($A870),DAY($A870)),$A:$A,0))-1),"")</f>
        <v/>
      </c>
      <c r="K870" s="19">
        <f>IFERROR(IF(OR(F870="",INDEX(F:F,MATCH(DATE(YEAR($A870)-1,MONTH($A870),DAY($A870)),$A:$A,0))=""),"",F870/INDEX(F:F,MATCH(DATE(YEAR($A870)-1,MONTH($A870),DAY($A870)),$A:$A,0))-1),"")</f>
        <v/>
      </c>
      <c r="L870" s="19">
        <f>IFERROR(IF(OR(G870="",INDEX(G:G,MATCH(DATE(YEAR($A870)-1,MONTH($A870),DAY($A870)),$A:$A,0))=""),"",G870/INDEX(G:G,MATCH(DATE(YEAR($A870)-1,MONTH($A870),DAY($A870)),$A:$A,0))-1),"")</f>
        <v/>
      </c>
      <c r="M870" s="19">
        <f>IF(OR(E870="",E869=""),"",E870/E869-1)</f>
        <v/>
      </c>
      <c r="N870" s="19">
        <f>IF(OR(F870="",F869=""),"",F870/F869-1)</f>
        <v/>
      </c>
      <c r="O870" s="19">
        <f>IF(OR(G870="",G869=""),"",G870/G869-1)</f>
        <v/>
      </c>
      <c r="P870" s="22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IF(R870="","",P870/R870)</f>
        <v/>
      </c>
      <c r="T870" s="23">
        <f>IF(R870="","",Q870/R870)</f>
        <v/>
      </c>
      <c r="U870" s="24">
        <f>IF(SUMIFS('Daily NSE Equity Options'!$M:$M,'Daily NSE Equity Options'!$A:$A,$A870)=0,"",SUMIFS('Daily NSE Equity Options'!$M:$M,'Daily NSE Equity Options'!$A:$A,$A870))</f>
        <v/>
      </c>
      <c r="V870" s="9">
        <f>IF(SUMIFS('Daily BSE Equity Options'!$M:$M,'Daily BSE Equity Options'!$A:$A,$A870)=0,"",SUMIFS('Daily BSE Equity Options'!$M:$M,'Daily BSE Equity Options'!$A:$A,$A870))</f>
        <v/>
      </c>
      <c r="W870" s="9">
        <f>IF(OR(U870="",V870=""),"",U870+V870)</f>
        <v/>
      </c>
      <c r="X870" s="25">
        <f>IF(W870="","",U870/W870)</f>
        <v/>
      </c>
      <c r="Y870" s="25">
        <f>IF(W870="","",V870/W870)</f>
        <v/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19">
        <f>IF(G871="","",E871/G871)</f>
        <v/>
      </c>
      <c r="I871" s="19">
        <f>IF(G871="","",F871/G871)</f>
        <v/>
      </c>
      <c r="J871" s="26">
        <f>IFERROR(IF(OR(E871="",INDEX(E:E,MATCH(DATE(YEAR($A871)-1,MONTH($A871),DAY($A871)),$A:$A,0))=""),"",E871/INDEX(E:E,MATCH(DATE(YEAR($A871)-1,MONTH($A871),DAY($A871)),$A:$A,0))-1),"")</f>
        <v/>
      </c>
      <c r="K871" s="19">
        <f>IFERROR(IF(OR(F871="",INDEX(F:F,MATCH(DATE(YEAR($A871)-1,MONTH($A871),DAY($A871)),$A:$A,0))=""),"",F871/INDEX(F:F,MATCH(DATE(YEAR($A871)-1,MONTH($A871),DAY($A871)),$A:$A,0))-1),"")</f>
        <v/>
      </c>
      <c r="L871" s="19">
        <f>IFERROR(IF(OR(G871="",INDEX(G:G,MATCH(DATE(YEAR($A871)-1,MONTH($A871),DAY($A871)),$A:$A,0))=""),"",G871/INDEX(G:G,MATCH(DATE(YEAR($A871)-1,MONTH($A871),DAY($A871)),$A:$A,0))-1),"")</f>
        <v/>
      </c>
      <c r="M871" s="19">
        <f>IF(OR(E871="",E870=""),"",E871/E870-1)</f>
        <v/>
      </c>
      <c r="N871" s="19">
        <f>IF(OR(F871="",F870=""),"",F871/F870-1)</f>
        <v/>
      </c>
      <c r="O871" s="19">
        <f>IF(OR(G871="",G870=""),"",G871/G870-1)</f>
        <v/>
      </c>
      <c r="P871" s="22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IF(R871="","",P871/R871)</f>
        <v/>
      </c>
      <c r="T871" s="23">
        <f>IF(R871="","",Q871/R871)</f>
        <v/>
      </c>
      <c r="U871" s="24">
        <f>IF(SUMIFS('Daily NSE Equity Options'!$M:$M,'Daily NSE Equity Options'!$A:$A,$A871)=0,"",SUMIFS('Daily NSE Equity Options'!$M:$M,'Daily NSE Equity Options'!$A:$A,$A871))</f>
        <v/>
      </c>
      <c r="V871" s="9">
        <f>IF(SUMIFS('Daily BSE Equity Options'!$M:$M,'Daily BSE Equity Options'!$A:$A,$A871)=0,"",SUMIFS('Daily BSE Equity Options'!$M:$M,'Daily BSE Equity Options'!$A:$A,$A871))</f>
        <v/>
      </c>
      <c r="W871" s="9">
        <f>IF(OR(U871="",V871=""),"",U871+V871)</f>
        <v/>
      </c>
      <c r="X871" s="25">
        <f>IF(W871="","",U871/W871)</f>
        <v/>
      </c>
      <c r="Y871" s="25">
        <f>IF(W871="","",V871/W871)</f>
        <v/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19">
        <f>IF(G872="","",E872/G872)</f>
        <v/>
      </c>
      <c r="I872" s="19">
        <f>IF(G872="","",F872/G872)</f>
        <v/>
      </c>
      <c r="J872" s="26">
        <f>IFERROR(IF(OR(E872="",INDEX(E:E,MATCH(DATE(YEAR($A872)-1,MONTH($A872),DAY($A872)),$A:$A,0))=""),"",E872/INDEX(E:E,MATCH(DATE(YEAR($A872)-1,MONTH($A872),DAY($A872)),$A:$A,0))-1),"")</f>
        <v/>
      </c>
      <c r="K872" s="19">
        <f>IFERROR(IF(OR(F872="",INDEX(F:F,MATCH(DATE(YEAR($A872)-1,MONTH($A872),DAY($A872)),$A:$A,0))=""),"",F872/INDEX(F:F,MATCH(DATE(YEAR($A872)-1,MONTH($A872),DAY($A872)),$A:$A,0))-1),"")</f>
        <v/>
      </c>
      <c r="L872" s="19">
        <f>IFERROR(IF(OR(G872="",INDEX(G:G,MATCH(DATE(YEAR($A872)-1,MONTH($A872),DAY($A872)),$A:$A,0))=""),"",G872/INDEX(G:G,MATCH(DATE(YEAR($A872)-1,MONTH($A872),DAY($A872)),$A:$A,0))-1),"")</f>
        <v/>
      </c>
      <c r="M872" s="19">
        <f>IF(OR(E872="",E871=""),"",E872/E871-1)</f>
        <v/>
      </c>
      <c r="N872" s="19">
        <f>IF(OR(F872="",F871=""),"",F872/F871-1)</f>
        <v/>
      </c>
      <c r="O872" s="19">
        <f>IF(OR(G872="",G871=""),"",G872/G871-1)</f>
        <v/>
      </c>
      <c r="P872" s="22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IF(R872="","",P872/R872)</f>
        <v/>
      </c>
      <c r="T872" s="23">
        <f>IF(R872="","",Q872/R872)</f>
        <v/>
      </c>
      <c r="U872" s="24">
        <f>IF(SUMIFS('Daily NSE Equity Options'!$M:$M,'Daily NSE Equity Options'!$A:$A,$A872)=0,"",SUMIFS('Daily NSE Equity Options'!$M:$M,'Daily NSE Equity Options'!$A:$A,$A872))</f>
        <v/>
      </c>
      <c r="V872" s="9">
        <f>IF(SUMIFS('Daily BSE Equity Options'!$M:$M,'Daily BSE Equity Options'!$A:$A,$A872)=0,"",SUMIFS('Daily BSE Equity Options'!$M:$M,'Daily BSE Equity Options'!$A:$A,$A872))</f>
        <v/>
      </c>
      <c r="W872" s="9">
        <f>IF(OR(U872="",V872=""),"",U872+V872)</f>
        <v/>
      </c>
      <c r="X872" s="25">
        <f>IF(W872="","",U872/W872)</f>
        <v/>
      </c>
      <c r="Y872" s="25">
        <f>IF(W872="","",V872/W872)</f>
        <v/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19">
        <f>IF(G873="","",E873/G873)</f>
        <v/>
      </c>
      <c r="I873" s="19">
        <f>IF(G873="","",F873/G873)</f>
        <v/>
      </c>
      <c r="J873" s="26">
        <f>IFERROR(IF(OR(E873="",INDEX(E:E,MATCH(DATE(YEAR($A873)-1,MONTH($A873),DAY($A873)),$A:$A,0))=""),"",E873/INDEX(E:E,MATCH(DATE(YEAR($A873)-1,MONTH($A873),DAY($A873)),$A:$A,0))-1),"")</f>
        <v/>
      </c>
      <c r="K873" s="19">
        <f>IFERROR(IF(OR(F873="",INDEX(F:F,MATCH(DATE(YEAR($A873)-1,MONTH($A873),DAY($A873)),$A:$A,0))=""),"",F873/INDEX(F:F,MATCH(DATE(YEAR($A873)-1,MONTH($A873),DAY($A873)),$A:$A,0))-1),"")</f>
        <v/>
      </c>
      <c r="L873" s="19">
        <f>IFERROR(IF(OR(G873="",INDEX(G:G,MATCH(DATE(YEAR($A873)-1,MONTH($A873),DAY($A873)),$A:$A,0))=""),"",G873/INDEX(G:G,MATCH(DATE(YEAR($A873)-1,MONTH($A873),DAY($A873)),$A:$A,0))-1),"")</f>
        <v/>
      </c>
      <c r="M873" s="19">
        <f>IF(OR(E873="",E872=""),"",E873/E872-1)</f>
        <v/>
      </c>
      <c r="N873" s="19">
        <f>IF(OR(F873="",F872=""),"",F873/F872-1)</f>
        <v/>
      </c>
      <c r="O873" s="19">
        <f>IF(OR(G873="",G872=""),"",G873/G872-1)</f>
        <v/>
      </c>
      <c r="P873" s="22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IF(R873="","",P873/R873)</f>
        <v/>
      </c>
      <c r="T873" s="23">
        <f>IF(R873="","",Q873/R873)</f>
        <v/>
      </c>
      <c r="U873" s="24">
        <f>IF(SUMIFS('Daily NSE Equity Options'!$M:$M,'Daily NSE Equity Options'!$A:$A,$A873)=0,"",SUMIFS('Daily NSE Equity Options'!$M:$M,'Daily NSE Equity Options'!$A:$A,$A873))</f>
        <v/>
      </c>
      <c r="V873" s="9">
        <f>IF(SUMIFS('Daily BSE Equity Options'!$M:$M,'Daily BSE Equity Options'!$A:$A,$A873)=0,"",SUMIFS('Daily BSE Equity Options'!$M:$M,'Daily BSE Equity Options'!$A:$A,$A873))</f>
        <v/>
      </c>
      <c r="W873" s="9">
        <f>IF(OR(U873="",V873=""),"",U873+V873)</f>
        <v/>
      </c>
      <c r="X873" s="25">
        <f>IF(W873="","",U873/W873)</f>
        <v/>
      </c>
      <c r="Y873" s="25">
        <f>IF(W873="","",V873/W873)</f>
        <v/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19">
        <f>IF(G874="","",E874/G874)</f>
        <v/>
      </c>
      <c r="I874" s="19">
        <f>IF(G874="","",F874/G874)</f>
        <v/>
      </c>
      <c r="J874" s="26">
        <f>IFERROR(IF(OR(E874="",INDEX(E:E,MATCH(DATE(YEAR($A874)-1,MONTH($A874),DAY($A874)),$A:$A,0))=""),"",E874/INDEX(E:E,MATCH(DATE(YEAR($A874)-1,MONTH($A874),DAY($A874)),$A:$A,0))-1),"")</f>
        <v/>
      </c>
      <c r="K874" s="19">
        <f>IFERROR(IF(OR(F874="",INDEX(F:F,MATCH(DATE(YEAR($A874)-1,MONTH($A874),DAY($A874)),$A:$A,0))=""),"",F874/INDEX(F:F,MATCH(DATE(YEAR($A874)-1,MONTH($A874),DAY($A874)),$A:$A,0))-1),"")</f>
        <v/>
      </c>
      <c r="L874" s="19">
        <f>IFERROR(IF(OR(G874="",INDEX(G:G,MATCH(DATE(YEAR($A874)-1,MONTH($A874),DAY($A874)),$A:$A,0))=""),"",G874/INDEX(G:G,MATCH(DATE(YEAR($A874)-1,MONTH($A874),DAY($A874)),$A:$A,0))-1),"")</f>
        <v/>
      </c>
      <c r="M874" s="19">
        <f>IF(OR(E874="",E873=""),"",E874/E873-1)</f>
        <v/>
      </c>
      <c r="N874" s="19">
        <f>IF(OR(F874="",F873=""),"",F874/F873-1)</f>
        <v/>
      </c>
      <c r="O874" s="19">
        <f>IF(OR(G874="",G873=""),"",G874/G873-1)</f>
        <v/>
      </c>
      <c r="P874" s="22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IF(R874="","",P874/R874)</f>
        <v/>
      </c>
      <c r="T874" s="23">
        <f>IF(R874="","",Q874/R874)</f>
        <v/>
      </c>
      <c r="U874" s="24">
        <f>IF(SUMIFS('Daily NSE Equity Options'!$M:$M,'Daily NSE Equity Options'!$A:$A,$A874)=0,"",SUMIFS('Daily NSE Equity Options'!$M:$M,'Daily NSE Equity Options'!$A:$A,$A874))</f>
        <v/>
      </c>
      <c r="V874" s="9">
        <f>IF(SUMIFS('Daily BSE Equity Options'!$M:$M,'Daily BSE Equity Options'!$A:$A,$A874)=0,"",SUMIFS('Daily BSE Equity Options'!$M:$M,'Daily BSE Equity Options'!$A:$A,$A874))</f>
        <v/>
      </c>
      <c r="W874" s="9">
        <f>IF(OR(U874="",V874=""),"",U874+V874)</f>
        <v/>
      </c>
      <c r="X874" s="25">
        <f>IF(W874="","",U874/W874)</f>
        <v/>
      </c>
      <c r="Y874" s="25">
        <f>IF(W874="","",V874/W874)</f>
        <v/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19">
        <f>IF(G875="","",E875/G875)</f>
        <v/>
      </c>
      <c r="I875" s="19">
        <f>IF(G875="","",F875/G875)</f>
        <v/>
      </c>
      <c r="J875" s="26">
        <f>IFERROR(IF(OR(E875="",INDEX(E:E,MATCH(DATE(YEAR($A875)-1,MONTH($A875),DAY($A875)),$A:$A,0))=""),"",E875/INDEX(E:E,MATCH(DATE(YEAR($A875)-1,MONTH($A875),DAY($A875)),$A:$A,0))-1),"")</f>
        <v/>
      </c>
      <c r="K875" s="19">
        <f>IFERROR(IF(OR(F875="",INDEX(F:F,MATCH(DATE(YEAR($A875)-1,MONTH($A875),DAY($A875)),$A:$A,0))=""),"",F875/INDEX(F:F,MATCH(DATE(YEAR($A875)-1,MONTH($A875),DAY($A875)),$A:$A,0))-1),"")</f>
        <v/>
      </c>
      <c r="L875" s="19">
        <f>IFERROR(IF(OR(G875="",INDEX(G:G,MATCH(DATE(YEAR($A875)-1,MONTH($A875),DAY($A875)),$A:$A,0))=""),"",G875/INDEX(G:G,MATCH(DATE(YEAR($A875)-1,MONTH($A875),DAY($A875)),$A:$A,0))-1),"")</f>
        <v/>
      </c>
      <c r="M875" s="19">
        <f>IF(OR(E875="",E874=""),"",E875/E874-1)</f>
        <v/>
      </c>
      <c r="N875" s="19">
        <f>IF(OR(F875="",F874=""),"",F875/F874-1)</f>
        <v/>
      </c>
      <c r="O875" s="19">
        <f>IF(OR(G875="",G874=""),"",G875/G874-1)</f>
        <v/>
      </c>
      <c r="P875" s="22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IF(R875="","",P875/R875)</f>
        <v/>
      </c>
      <c r="T875" s="23">
        <f>IF(R875="","",Q875/R875)</f>
        <v/>
      </c>
      <c r="U875" s="24">
        <f>IF(SUMIFS('Daily NSE Equity Options'!$M:$M,'Daily NSE Equity Options'!$A:$A,$A875)=0,"",SUMIFS('Daily NSE Equity Options'!$M:$M,'Daily NSE Equity Options'!$A:$A,$A875))</f>
        <v/>
      </c>
      <c r="V875" s="9">
        <f>IF(SUMIFS('Daily BSE Equity Options'!$M:$M,'Daily BSE Equity Options'!$A:$A,$A875)=0,"",SUMIFS('Daily BSE Equity Options'!$M:$M,'Daily BSE Equity Options'!$A:$A,$A875))</f>
        <v/>
      </c>
      <c r="W875" s="9">
        <f>IF(OR(U875="",V875=""),"",U875+V875)</f>
        <v/>
      </c>
      <c r="X875" s="25">
        <f>IF(W875="","",U875/W875)</f>
        <v/>
      </c>
      <c r="Y875" s="25">
        <f>IF(W875="","",V875/W875)</f>
        <v/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19">
        <f>IF(G876="","",E876/G876)</f>
        <v/>
      </c>
      <c r="I876" s="19">
        <f>IF(G876="","",F876/G876)</f>
        <v/>
      </c>
      <c r="J876" s="26">
        <f>IFERROR(IF(OR(E876="",INDEX(E:E,MATCH(DATE(YEAR($A876)-1,MONTH($A876),DAY($A876)),$A:$A,0))=""),"",E876/INDEX(E:E,MATCH(DATE(YEAR($A876)-1,MONTH($A876),DAY($A876)),$A:$A,0))-1),"")</f>
        <v/>
      </c>
      <c r="K876" s="19">
        <f>IFERROR(IF(OR(F876="",INDEX(F:F,MATCH(DATE(YEAR($A876)-1,MONTH($A876),DAY($A876)),$A:$A,0))=""),"",F876/INDEX(F:F,MATCH(DATE(YEAR($A876)-1,MONTH($A876),DAY($A876)),$A:$A,0))-1),"")</f>
        <v/>
      </c>
      <c r="L876" s="19">
        <f>IFERROR(IF(OR(G876="",INDEX(G:G,MATCH(DATE(YEAR($A876)-1,MONTH($A876),DAY($A876)),$A:$A,0))=""),"",G876/INDEX(G:G,MATCH(DATE(YEAR($A876)-1,MONTH($A876),DAY($A876)),$A:$A,0))-1),"")</f>
        <v/>
      </c>
      <c r="M876" s="19">
        <f>IF(OR(E876="",E875=""),"",E876/E875-1)</f>
        <v/>
      </c>
      <c r="N876" s="19">
        <f>IF(OR(F876="",F875=""),"",F876/F875-1)</f>
        <v/>
      </c>
      <c r="O876" s="19">
        <f>IF(OR(G876="",G875=""),"",G876/G875-1)</f>
        <v/>
      </c>
      <c r="P876" s="22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IF(R876="","",P876/R876)</f>
        <v/>
      </c>
      <c r="T876" s="23">
        <f>IF(R876="","",Q876/R876)</f>
        <v/>
      </c>
      <c r="U876" s="24">
        <f>IF(SUMIFS('Daily NSE Equity Options'!$M:$M,'Daily NSE Equity Options'!$A:$A,$A876)=0,"",SUMIFS('Daily NSE Equity Options'!$M:$M,'Daily NSE Equity Options'!$A:$A,$A876))</f>
        <v/>
      </c>
      <c r="V876" s="9">
        <f>IF(SUMIFS('Daily BSE Equity Options'!$M:$M,'Daily BSE Equity Options'!$A:$A,$A876)=0,"",SUMIFS('Daily BSE Equity Options'!$M:$M,'Daily BSE Equity Options'!$A:$A,$A876))</f>
        <v/>
      </c>
      <c r="W876" s="9">
        <f>IF(OR(U876="",V876=""),"",U876+V876)</f>
        <v/>
      </c>
      <c r="X876" s="25">
        <f>IF(W876="","",U876/W876)</f>
        <v/>
      </c>
      <c r="Y876" s="25">
        <f>IF(W876="","",V876/W876)</f>
        <v/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19">
        <f>IF(G877="","",E877/G877)</f>
        <v/>
      </c>
      <c r="I877" s="19">
        <f>IF(G877="","",F877/G877)</f>
        <v/>
      </c>
      <c r="J877" s="26">
        <f>IFERROR(IF(OR(E877="",INDEX(E:E,MATCH(DATE(YEAR($A877)-1,MONTH($A877),DAY($A877)),$A:$A,0))=""),"",E877/INDEX(E:E,MATCH(DATE(YEAR($A877)-1,MONTH($A877),DAY($A877)),$A:$A,0))-1),"")</f>
        <v/>
      </c>
      <c r="K877" s="19">
        <f>IFERROR(IF(OR(F877="",INDEX(F:F,MATCH(DATE(YEAR($A877)-1,MONTH($A877),DAY($A877)),$A:$A,0))=""),"",F877/INDEX(F:F,MATCH(DATE(YEAR($A877)-1,MONTH($A877),DAY($A877)),$A:$A,0))-1),"")</f>
        <v/>
      </c>
      <c r="L877" s="19">
        <f>IFERROR(IF(OR(G877="",INDEX(G:G,MATCH(DATE(YEAR($A877)-1,MONTH($A877),DAY($A877)),$A:$A,0))=""),"",G877/INDEX(G:G,MATCH(DATE(YEAR($A877)-1,MONTH($A877),DAY($A877)),$A:$A,0))-1),"")</f>
        <v/>
      </c>
      <c r="M877" s="19">
        <f>IF(OR(E877="",E876=""),"",E877/E876-1)</f>
        <v/>
      </c>
      <c r="N877" s="19">
        <f>IF(OR(F877="",F876=""),"",F877/F876-1)</f>
        <v/>
      </c>
      <c r="O877" s="19">
        <f>IF(OR(G877="",G876=""),"",G877/G876-1)</f>
        <v/>
      </c>
      <c r="P877" s="22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IF(R877="","",P877/R877)</f>
        <v/>
      </c>
      <c r="T877" s="23">
        <f>IF(R877="","",Q877/R877)</f>
        <v/>
      </c>
      <c r="U877" s="24">
        <f>IF(SUMIFS('Daily NSE Equity Options'!$M:$M,'Daily NSE Equity Options'!$A:$A,$A877)=0,"",SUMIFS('Daily NSE Equity Options'!$M:$M,'Daily NSE Equity Options'!$A:$A,$A877))</f>
        <v/>
      </c>
      <c r="V877" s="9">
        <f>IF(SUMIFS('Daily BSE Equity Options'!$M:$M,'Daily BSE Equity Options'!$A:$A,$A877)=0,"",SUMIFS('Daily BSE Equity Options'!$M:$M,'Daily BSE Equity Options'!$A:$A,$A877))</f>
        <v/>
      </c>
      <c r="W877" s="9">
        <f>IF(OR(U877="",V877=""),"",U877+V877)</f>
        <v/>
      </c>
      <c r="X877" s="25">
        <f>IF(W877="","",U877/W877)</f>
        <v/>
      </c>
      <c r="Y877" s="25">
        <f>IF(W877="","",V877/W877)</f>
        <v/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19">
        <f>IF(G878="","",E878/G878)</f>
        <v/>
      </c>
      <c r="I878" s="19">
        <f>IF(G878="","",F878/G878)</f>
        <v/>
      </c>
      <c r="J878" s="26">
        <f>IFERROR(IF(OR(E878="",INDEX(E:E,MATCH(DATE(YEAR($A878)-1,MONTH($A878),DAY($A878)),$A:$A,0))=""),"",E878/INDEX(E:E,MATCH(DATE(YEAR($A878)-1,MONTH($A878),DAY($A878)),$A:$A,0))-1),"")</f>
        <v/>
      </c>
      <c r="K878" s="19">
        <f>IFERROR(IF(OR(F878="",INDEX(F:F,MATCH(DATE(YEAR($A878)-1,MONTH($A878),DAY($A878)),$A:$A,0))=""),"",F878/INDEX(F:F,MATCH(DATE(YEAR($A878)-1,MONTH($A878),DAY($A878)),$A:$A,0))-1),"")</f>
        <v/>
      </c>
      <c r="L878" s="19">
        <f>IFERROR(IF(OR(G878="",INDEX(G:G,MATCH(DATE(YEAR($A878)-1,MONTH($A878),DAY($A878)),$A:$A,0))=""),"",G878/INDEX(G:G,MATCH(DATE(YEAR($A878)-1,MONTH($A878),DAY($A878)),$A:$A,0))-1),"")</f>
        <v/>
      </c>
      <c r="M878" s="19">
        <f>IF(OR(E878="",E877=""),"",E878/E877-1)</f>
        <v/>
      </c>
      <c r="N878" s="19">
        <f>IF(OR(F878="",F877=""),"",F878/F877-1)</f>
        <v/>
      </c>
      <c r="O878" s="19">
        <f>IF(OR(G878="",G877=""),"",G878/G877-1)</f>
        <v/>
      </c>
      <c r="P878" s="22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IF(R878="","",P878/R878)</f>
        <v/>
      </c>
      <c r="T878" s="23">
        <f>IF(R878="","",Q878/R878)</f>
        <v/>
      </c>
      <c r="U878" s="24">
        <f>IF(SUMIFS('Daily NSE Equity Options'!$M:$M,'Daily NSE Equity Options'!$A:$A,$A878)=0,"",SUMIFS('Daily NSE Equity Options'!$M:$M,'Daily NSE Equity Options'!$A:$A,$A878))</f>
        <v/>
      </c>
      <c r="V878" s="9">
        <f>IF(SUMIFS('Daily BSE Equity Options'!$M:$M,'Daily BSE Equity Options'!$A:$A,$A878)=0,"",SUMIFS('Daily BSE Equity Options'!$M:$M,'Daily BSE Equity Options'!$A:$A,$A878))</f>
        <v/>
      </c>
      <c r="W878" s="9">
        <f>IF(OR(U878="",V878=""),"",U878+V878)</f>
        <v/>
      </c>
      <c r="X878" s="25">
        <f>IF(W878="","",U878/W878)</f>
        <v/>
      </c>
      <c r="Y878" s="25">
        <f>IF(W878="","",V878/W878)</f>
        <v/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19">
        <f>IF(G879="","",E879/G879)</f>
        <v/>
      </c>
      <c r="I879" s="19">
        <f>IF(G879="","",F879/G879)</f>
        <v/>
      </c>
      <c r="J879" s="26">
        <f>IFERROR(IF(OR(E879="",INDEX(E:E,MATCH(DATE(YEAR($A879)-1,MONTH($A879),DAY($A879)),$A:$A,0))=""),"",E879/INDEX(E:E,MATCH(DATE(YEAR($A879)-1,MONTH($A879),DAY($A879)),$A:$A,0))-1),"")</f>
        <v/>
      </c>
      <c r="K879" s="19">
        <f>IFERROR(IF(OR(F879="",INDEX(F:F,MATCH(DATE(YEAR($A879)-1,MONTH($A879),DAY($A879)),$A:$A,0))=""),"",F879/INDEX(F:F,MATCH(DATE(YEAR($A879)-1,MONTH($A879),DAY($A879)),$A:$A,0))-1),"")</f>
        <v/>
      </c>
      <c r="L879" s="19">
        <f>IFERROR(IF(OR(G879="",INDEX(G:G,MATCH(DATE(YEAR($A879)-1,MONTH($A879),DAY($A879)),$A:$A,0))=""),"",G879/INDEX(G:G,MATCH(DATE(YEAR($A879)-1,MONTH($A879),DAY($A879)),$A:$A,0))-1),"")</f>
        <v/>
      </c>
      <c r="M879" s="19">
        <f>IF(OR(E879="",E878=""),"",E879/E878-1)</f>
        <v/>
      </c>
      <c r="N879" s="19">
        <f>IF(OR(F879="",F878=""),"",F879/F878-1)</f>
        <v/>
      </c>
      <c r="O879" s="19">
        <f>IF(OR(G879="",G878=""),"",G879/G878-1)</f>
        <v/>
      </c>
      <c r="P879" s="22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IF(R879="","",P879/R879)</f>
        <v/>
      </c>
      <c r="T879" s="23">
        <f>IF(R879="","",Q879/R879)</f>
        <v/>
      </c>
      <c r="U879" s="24">
        <f>IF(SUMIFS('Daily NSE Equity Options'!$M:$M,'Daily NSE Equity Options'!$A:$A,$A879)=0,"",SUMIFS('Daily NSE Equity Options'!$M:$M,'Daily NSE Equity Options'!$A:$A,$A879))</f>
        <v/>
      </c>
      <c r="V879" s="9">
        <f>IF(SUMIFS('Daily BSE Equity Options'!$M:$M,'Daily BSE Equity Options'!$A:$A,$A879)=0,"",SUMIFS('Daily BSE Equity Options'!$M:$M,'Daily BSE Equity Options'!$A:$A,$A879))</f>
        <v/>
      </c>
      <c r="W879" s="9">
        <f>IF(OR(U879="",V879=""),"",U879+V879)</f>
        <v/>
      </c>
      <c r="X879" s="25">
        <f>IF(W879="","",U879/W879)</f>
        <v/>
      </c>
      <c r="Y879" s="25">
        <f>IF(W879="","",V879/W879)</f>
        <v/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19">
        <f>IF(G880="","",E880/G880)</f>
        <v/>
      </c>
      <c r="I880" s="19">
        <f>IF(G880="","",F880/G880)</f>
        <v/>
      </c>
      <c r="J880" s="26">
        <f>IFERROR(IF(OR(E880="",INDEX(E:E,MATCH(DATE(YEAR($A880)-1,MONTH($A880),DAY($A880)),$A:$A,0))=""),"",E880/INDEX(E:E,MATCH(DATE(YEAR($A880)-1,MONTH($A880),DAY($A880)),$A:$A,0))-1),"")</f>
        <v/>
      </c>
      <c r="K880" s="19">
        <f>IFERROR(IF(OR(F880="",INDEX(F:F,MATCH(DATE(YEAR($A880)-1,MONTH($A880),DAY($A880)),$A:$A,0))=""),"",F880/INDEX(F:F,MATCH(DATE(YEAR($A880)-1,MONTH($A880),DAY($A880)),$A:$A,0))-1),"")</f>
        <v/>
      </c>
      <c r="L880" s="19">
        <f>IFERROR(IF(OR(G880="",INDEX(G:G,MATCH(DATE(YEAR($A880)-1,MONTH($A880),DAY($A880)),$A:$A,0))=""),"",G880/INDEX(G:G,MATCH(DATE(YEAR($A880)-1,MONTH($A880),DAY($A880)),$A:$A,0))-1),"")</f>
        <v/>
      </c>
      <c r="M880" s="19">
        <f>IF(OR(E880="",E879=""),"",E880/E879-1)</f>
        <v/>
      </c>
      <c r="N880" s="19">
        <f>IF(OR(F880="",F879=""),"",F880/F879-1)</f>
        <v/>
      </c>
      <c r="O880" s="19">
        <f>IF(OR(G880="",G879=""),"",G880/G879-1)</f>
        <v/>
      </c>
      <c r="P880" s="22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IF(R880="","",P880/R880)</f>
        <v/>
      </c>
      <c r="T880" s="23">
        <f>IF(R880="","",Q880/R880)</f>
        <v/>
      </c>
      <c r="U880" s="24">
        <f>IF(SUMIFS('Daily NSE Equity Options'!$M:$M,'Daily NSE Equity Options'!$A:$A,$A880)=0,"",SUMIFS('Daily NSE Equity Options'!$M:$M,'Daily NSE Equity Options'!$A:$A,$A880))</f>
        <v/>
      </c>
      <c r="V880" s="9">
        <f>IF(SUMIFS('Daily BSE Equity Options'!$M:$M,'Daily BSE Equity Options'!$A:$A,$A880)=0,"",SUMIFS('Daily BSE Equity Options'!$M:$M,'Daily BSE Equity Options'!$A:$A,$A880))</f>
        <v/>
      </c>
      <c r="W880" s="9">
        <f>IF(OR(U880="",V880=""),"",U880+V880)</f>
        <v/>
      </c>
      <c r="X880" s="25">
        <f>IF(W880="","",U880/W880)</f>
        <v/>
      </c>
      <c r="Y880" s="25">
        <f>IF(W880="","",V880/W880)</f>
        <v/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19">
        <f>IF(G881="","",E881/G881)</f>
        <v/>
      </c>
      <c r="I881" s="19">
        <f>IF(G881="","",F881/G881)</f>
        <v/>
      </c>
      <c r="J881" s="26">
        <f>IFERROR(IF(OR(E881="",INDEX(E:E,MATCH(DATE(YEAR($A881)-1,MONTH($A881),DAY($A881)),$A:$A,0))=""),"",E881/INDEX(E:E,MATCH(DATE(YEAR($A881)-1,MONTH($A881),DAY($A881)),$A:$A,0))-1),"")</f>
        <v/>
      </c>
      <c r="K881" s="19">
        <f>IFERROR(IF(OR(F881="",INDEX(F:F,MATCH(DATE(YEAR($A881)-1,MONTH($A881),DAY($A881)),$A:$A,0))=""),"",F881/INDEX(F:F,MATCH(DATE(YEAR($A881)-1,MONTH($A881),DAY($A881)),$A:$A,0))-1),"")</f>
        <v/>
      </c>
      <c r="L881" s="19">
        <f>IFERROR(IF(OR(G881="",INDEX(G:G,MATCH(DATE(YEAR($A881)-1,MONTH($A881),DAY($A881)),$A:$A,0))=""),"",G881/INDEX(G:G,MATCH(DATE(YEAR($A881)-1,MONTH($A881),DAY($A881)),$A:$A,0))-1),"")</f>
        <v/>
      </c>
      <c r="M881" s="19">
        <f>IF(OR(E881="",E880=""),"",E881/E880-1)</f>
        <v/>
      </c>
      <c r="N881" s="19">
        <f>IF(OR(F881="",F880=""),"",F881/F880-1)</f>
        <v/>
      </c>
      <c r="O881" s="19">
        <f>IF(OR(G881="",G880=""),"",G881/G880-1)</f>
        <v/>
      </c>
      <c r="P881" s="22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IF(R881="","",P881/R881)</f>
        <v/>
      </c>
      <c r="T881" s="23">
        <f>IF(R881="","",Q881/R881)</f>
        <v/>
      </c>
      <c r="U881" s="24">
        <f>IF(SUMIFS('Daily NSE Equity Options'!$M:$M,'Daily NSE Equity Options'!$A:$A,$A881)=0,"",SUMIFS('Daily NSE Equity Options'!$M:$M,'Daily NSE Equity Options'!$A:$A,$A881))</f>
        <v/>
      </c>
      <c r="V881" s="9">
        <f>IF(SUMIFS('Daily BSE Equity Options'!$M:$M,'Daily BSE Equity Options'!$A:$A,$A881)=0,"",SUMIFS('Daily BSE Equity Options'!$M:$M,'Daily BSE Equity Options'!$A:$A,$A881))</f>
        <v/>
      </c>
      <c r="W881" s="9">
        <f>IF(OR(U881="",V881=""),"",U881+V881)</f>
        <v/>
      </c>
      <c r="X881" s="25">
        <f>IF(W881="","",U881/W881)</f>
        <v/>
      </c>
      <c r="Y881" s="25">
        <f>IF(W881="","",V881/W881)</f>
        <v/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19">
        <f>IF(G882="","",E882/G882)</f>
        <v/>
      </c>
      <c r="I882" s="19">
        <f>IF(G882="","",F882/G882)</f>
        <v/>
      </c>
      <c r="J882" s="26">
        <f>IFERROR(IF(OR(E882="",INDEX(E:E,MATCH(DATE(YEAR($A882)-1,MONTH($A882),DAY($A882)),$A:$A,0))=""),"",E882/INDEX(E:E,MATCH(DATE(YEAR($A882)-1,MONTH($A882),DAY($A882)),$A:$A,0))-1),"")</f>
        <v/>
      </c>
      <c r="K882" s="19">
        <f>IFERROR(IF(OR(F882="",INDEX(F:F,MATCH(DATE(YEAR($A882)-1,MONTH($A882),DAY($A882)),$A:$A,0))=""),"",F882/INDEX(F:F,MATCH(DATE(YEAR($A882)-1,MONTH($A882),DAY($A882)),$A:$A,0))-1),"")</f>
        <v/>
      </c>
      <c r="L882" s="19">
        <f>IFERROR(IF(OR(G882="",INDEX(G:G,MATCH(DATE(YEAR($A882)-1,MONTH($A882),DAY($A882)),$A:$A,0))=""),"",G882/INDEX(G:G,MATCH(DATE(YEAR($A882)-1,MONTH($A882),DAY($A882)),$A:$A,0))-1),"")</f>
        <v/>
      </c>
      <c r="M882" s="19">
        <f>IF(OR(E882="",E881=""),"",E882/E881-1)</f>
        <v/>
      </c>
      <c r="N882" s="19">
        <f>IF(OR(F882="",F881=""),"",F882/F881-1)</f>
        <v/>
      </c>
      <c r="O882" s="19">
        <f>IF(OR(G882="",G881=""),"",G882/G881-1)</f>
        <v/>
      </c>
      <c r="P882" s="22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IF(R882="","",P882/R882)</f>
        <v/>
      </c>
      <c r="T882" s="23">
        <f>IF(R882="","",Q882/R882)</f>
        <v/>
      </c>
      <c r="U882" s="24">
        <f>IF(SUMIFS('Daily NSE Equity Options'!$M:$M,'Daily NSE Equity Options'!$A:$A,$A882)=0,"",SUMIFS('Daily NSE Equity Options'!$M:$M,'Daily NSE Equity Options'!$A:$A,$A882))</f>
        <v/>
      </c>
      <c r="V882" s="9">
        <f>IF(SUMIFS('Daily BSE Equity Options'!$M:$M,'Daily BSE Equity Options'!$A:$A,$A882)=0,"",SUMIFS('Daily BSE Equity Options'!$M:$M,'Daily BSE Equity Options'!$A:$A,$A882))</f>
        <v/>
      </c>
      <c r="W882" s="9">
        <f>IF(OR(U882="",V882=""),"",U882+V882)</f>
        <v/>
      </c>
      <c r="X882" s="25">
        <f>IF(W882="","",U882/W882)</f>
        <v/>
      </c>
      <c r="Y882" s="25">
        <f>IF(W882="","",V882/W882)</f>
        <v/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19">
        <f>IF(G883="","",E883/G883)</f>
        <v/>
      </c>
      <c r="I883" s="19">
        <f>IF(G883="","",F883/G883)</f>
        <v/>
      </c>
      <c r="J883" s="26">
        <f>IFERROR(IF(OR(E883="",INDEX(E:E,MATCH(DATE(YEAR($A883)-1,MONTH($A883),DAY($A883)),$A:$A,0))=""),"",E883/INDEX(E:E,MATCH(DATE(YEAR($A883)-1,MONTH($A883),DAY($A883)),$A:$A,0))-1),"")</f>
        <v/>
      </c>
      <c r="K883" s="19">
        <f>IFERROR(IF(OR(F883="",INDEX(F:F,MATCH(DATE(YEAR($A883)-1,MONTH($A883),DAY($A883)),$A:$A,0))=""),"",F883/INDEX(F:F,MATCH(DATE(YEAR($A883)-1,MONTH($A883),DAY($A883)),$A:$A,0))-1),"")</f>
        <v/>
      </c>
      <c r="L883" s="19">
        <f>IFERROR(IF(OR(G883="",INDEX(G:G,MATCH(DATE(YEAR($A883)-1,MONTH($A883),DAY($A883)),$A:$A,0))=""),"",G883/INDEX(G:G,MATCH(DATE(YEAR($A883)-1,MONTH($A883),DAY($A883)),$A:$A,0))-1),"")</f>
        <v/>
      </c>
      <c r="M883" s="19">
        <f>IF(OR(E883="",E882=""),"",E883/E882-1)</f>
        <v/>
      </c>
      <c r="N883" s="19">
        <f>IF(OR(F883="",F882=""),"",F883/F882-1)</f>
        <v/>
      </c>
      <c r="O883" s="19">
        <f>IF(OR(G883="",G882=""),"",G883/G882-1)</f>
        <v/>
      </c>
      <c r="P883" s="22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IF(R883="","",P883/R883)</f>
        <v/>
      </c>
      <c r="T883" s="23">
        <f>IF(R883="","",Q883/R883)</f>
        <v/>
      </c>
      <c r="U883" s="24">
        <f>IF(SUMIFS('Daily NSE Equity Options'!$M:$M,'Daily NSE Equity Options'!$A:$A,$A883)=0,"",SUMIFS('Daily NSE Equity Options'!$M:$M,'Daily NSE Equity Options'!$A:$A,$A883))</f>
        <v/>
      </c>
      <c r="V883" s="9">
        <f>IF(SUMIFS('Daily BSE Equity Options'!$M:$M,'Daily BSE Equity Options'!$A:$A,$A883)=0,"",SUMIFS('Daily BSE Equity Options'!$M:$M,'Daily BSE Equity Options'!$A:$A,$A883))</f>
        <v/>
      </c>
      <c r="W883" s="9">
        <f>IF(OR(U883="",V883=""),"",U883+V883)</f>
        <v/>
      </c>
      <c r="X883" s="25">
        <f>IF(W883="","",U883/W883)</f>
        <v/>
      </c>
      <c r="Y883" s="25">
        <f>IF(W883="","",V883/W883)</f>
        <v/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19">
        <f>IF(G884="","",E884/G884)</f>
        <v/>
      </c>
      <c r="I884" s="19">
        <f>IF(G884="","",F884/G884)</f>
        <v/>
      </c>
      <c r="J884" s="26">
        <f>IFERROR(IF(OR(E884="",INDEX(E:E,MATCH(DATE(YEAR($A884)-1,MONTH($A884),DAY($A884)),$A:$A,0))=""),"",E884/INDEX(E:E,MATCH(DATE(YEAR($A884)-1,MONTH($A884),DAY($A884)),$A:$A,0))-1),"")</f>
        <v/>
      </c>
      <c r="K884" s="19">
        <f>IFERROR(IF(OR(F884="",INDEX(F:F,MATCH(DATE(YEAR($A884)-1,MONTH($A884),DAY($A884)),$A:$A,0))=""),"",F884/INDEX(F:F,MATCH(DATE(YEAR($A884)-1,MONTH($A884),DAY($A884)),$A:$A,0))-1),"")</f>
        <v/>
      </c>
      <c r="L884" s="19">
        <f>IFERROR(IF(OR(G884="",INDEX(G:G,MATCH(DATE(YEAR($A884)-1,MONTH($A884),DAY($A884)),$A:$A,0))=""),"",G884/INDEX(G:G,MATCH(DATE(YEAR($A884)-1,MONTH($A884),DAY($A884)),$A:$A,0))-1),"")</f>
        <v/>
      </c>
      <c r="M884" s="19">
        <f>IF(OR(E884="",E883=""),"",E884/E883-1)</f>
        <v/>
      </c>
      <c r="N884" s="19">
        <f>IF(OR(F884="",F883=""),"",F884/F883-1)</f>
        <v/>
      </c>
      <c r="O884" s="19">
        <f>IF(OR(G884="",G883=""),"",G884/G883-1)</f>
        <v/>
      </c>
      <c r="P884" s="22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IF(R884="","",P884/R884)</f>
        <v/>
      </c>
      <c r="T884" s="23">
        <f>IF(R884="","",Q884/R884)</f>
        <v/>
      </c>
      <c r="U884" s="24">
        <f>IF(SUMIFS('Daily NSE Equity Options'!$M:$M,'Daily NSE Equity Options'!$A:$A,$A884)=0,"",SUMIFS('Daily NSE Equity Options'!$M:$M,'Daily NSE Equity Options'!$A:$A,$A884))</f>
        <v/>
      </c>
      <c r="V884" s="9">
        <f>IF(SUMIFS('Daily BSE Equity Options'!$M:$M,'Daily BSE Equity Options'!$A:$A,$A884)=0,"",SUMIFS('Daily BSE Equity Options'!$M:$M,'Daily BSE Equity Options'!$A:$A,$A884))</f>
        <v/>
      </c>
      <c r="W884" s="9">
        <f>IF(OR(U884="",V884=""),"",U884+V884)</f>
        <v/>
      </c>
      <c r="X884" s="25">
        <f>IF(W884="","",U884/W884)</f>
        <v/>
      </c>
      <c r="Y884" s="25">
        <f>IF(W884="","",V884/W884)</f>
        <v/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19">
        <f>IF(G885="","",E885/G885)</f>
        <v/>
      </c>
      <c r="I885" s="19">
        <f>IF(G885="","",F885/G885)</f>
        <v/>
      </c>
      <c r="J885" s="26">
        <f>IFERROR(IF(OR(E885="",INDEX(E:E,MATCH(DATE(YEAR($A885)-1,MONTH($A885),DAY($A885)),$A:$A,0))=""),"",E885/INDEX(E:E,MATCH(DATE(YEAR($A885)-1,MONTH($A885),DAY($A885)),$A:$A,0))-1),"")</f>
        <v/>
      </c>
      <c r="K885" s="19">
        <f>IFERROR(IF(OR(F885="",INDEX(F:F,MATCH(DATE(YEAR($A885)-1,MONTH($A885),DAY($A885)),$A:$A,0))=""),"",F885/INDEX(F:F,MATCH(DATE(YEAR($A885)-1,MONTH($A885),DAY($A885)),$A:$A,0))-1),"")</f>
        <v/>
      </c>
      <c r="L885" s="19">
        <f>IFERROR(IF(OR(G885="",INDEX(G:G,MATCH(DATE(YEAR($A885)-1,MONTH($A885),DAY($A885)),$A:$A,0))=""),"",G885/INDEX(G:G,MATCH(DATE(YEAR($A885)-1,MONTH($A885),DAY($A885)),$A:$A,0))-1),"")</f>
        <v/>
      </c>
      <c r="M885" s="19">
        <f>IF(OR(E885="",E884=""),"",E885/E884-1)</f>
        <v/>
      </c>
      <c r="N885" s="19">
        <f>IF(OR(F885="",F884=""),"",F885/F884-1)</f>
        <v/>
      </c>
      <c r="O885" s="19">
        <f>IF(OR(G885="",G884=""),"",G885/G884-1)</f>
        <v/>
      </c>
      <c r="P885" s="22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IF(R885="","",P885/R885)</f>
        <v/>
      </c>
      <c r="T885" s="23">
        <f>IF(R885="","",Q885/R885)</f>
        <v/>
      </c>
      <c r="U885" s="24">
        <f>IF(SUMIFS('Daily NSE Equity Options'!$M:$M,'Daily NSE Equity Options'!$A:$A,$A885)=0,"",SUMIFS('Daily NSE Equity Options'!$M:$M,'Daily NSE Equity Options'!$A:$A,$A885))</f>
        <v/>
      </c>
      <c r="V885" s="9">
        <f>IF(SUMIFS('Daily BSE Equity Options'!$M:$M,'Daily BSE Equity Options'!$A:$A,$A885)=0,"",SUMIFS('Daily BSE Equity Options'!$M:$M,'Daily BSE Equity Options'!$A:$A,$A885))</f>
        <v/>
      </c>
      <c r="W885" s="9">
        <f>IF(OR(U885="",V885=""),"",U885+V885)</f>
        <v/>
      </c>
      <c r="X885" s="25">
        <f>IF(W885="","",U885/W885)</f>
        <v/>
      </c>
      <c r="Y885" s="25">
        <f>IF(W885="","",V885/W885)</f>
        <v/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19">
        <f>IF(G886="","",E886/G886)</f>
        <v/>
      </c>
      <c r="I886" s="19">
        <f>IF(G886="","",F886/G886)</f>
        <v/>
      </c>
      <c r="J886" s="26">
        <f>IFERROR(IF(OR(E886="",INDEX(E:E,MATCH(DATE(YEAR($A886)-1,MONTH($A886),DAY($A886)),$A:$A,0))=""),"",E886/INDEX(E:E,MATCH(DATE(YEAR($A886)-1,MONTH($A886),DAY($A886)),$A:$A,0))-1),"")</f>
        <v/>
      </c>
      <c r="K886" s="19">
        <f>IFERROR(IF(OR(F886="",INDEX(F:F,MATCH(DATE(YEAR($A886)-1,MONTH($A886),DAY($A886)),$A:$A,0))=""),"",F886/INDEX(F:F,MATCH(DATE(YEAR($A886)-1,MONTH($A886),DAY($A886)),$A:$A,0))-1),"")</f>
        <v/>
      </c>
      <c r="L886" s="19">
        <f>IFERROR(IF(OR(G886="",INDEX(G:G,MATCH(DATE(YEAR($A886)-1,MONTH($A886),DAY($A886)),$A:$A,0))=""),"",G886/INDEX(G:G,MATCH(DATE(YEAR($A886)-1,MONTH($A886),DAY($A886)),$A:$A,0))-1),"")</f>
        <v/>
      </c>
      <c r="M886" s="19">
        <f>IF(OR(E886="",E885=""),"",E886/E885-1)</f>
        <v/>
      </c>
      <c r="N886" s="19">
        <f>IF(OR(F886="",F885=""),"",F886/F885-1)</f>
        <v/>
      </c>
      <c r="O886" s="19">
        <f>IF(OR(G886="",G885=""),"",G886/G885-1)</f>
        <v/>
      </c>
      <c r="P886" s="22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IF(R886="","",P886/R886)</f>
        <v/>
      </c>
      <c r="T886" s="23">
        <f>IF(R886="","",Q886/R886)</f>
        <v/>
      </c>
      <c r="U886" s="24">
        <f>IF(SUMIFS('Daily NSE Equity Options'!$M:$M,'Daily NSE Equity Options'!$A:$A,$A886)=0,"",SUMIFS('Daily NSE Equity Options'!$M:$M,'Daily NSE Equity Options'!$A:$A,$A886))</f>
        <v/>
      </c>
      <c r="V886" s="9">
        <f>IF(SUMIFS('Daily BSE Equity Options'!$M:$M,'Daily BSE Equity Options'!$A:$A,$A886)=0,"",SUMIFS('Daily BSE Equity Options'!$M:$M,'Daily BSE Equity Options'!$A:$A,$A886))</f>
        <v/>
      </c>
      <c r="W886" s="9">
        <f>IF(OR(U886="",V886=""),"",U886+V886)</f>
        <v/>
      </c>
      <c r="X886" s="25">
        <f>IF(W886="","",U886/W886)</f>
        <v/>
      </c>
      <c r="Y886" s="25">
        <f>IF(W886="","",V886/W886)</f>
        <v/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19">
        <f>IF(G887="","",E887/G887)</f>
        <v/>
      </c>
      <c r="I887" s="19">
        <f>IF(G887="","",F887/G887)</f>
        <v/>
      </c>
      <c r="J887" s="26">
        <f>IFERROR(IF(OR(E887="",INDEX(E:E,MATCH(DATE(YEAR($A887)-1,MONTH($A887),DAY($A887)),$A:$A,0))=""),"",E887/INDEX(E:E,MATCH(DATE(YEAR($A887)-1,MONTH($A887),DAY($A887)),$A:$A,0))-1),"")</f>
        <v/>
      </c>
      <c r="K887" s="19">
        <f>IFERROR(IF(OR(F887="",INDEX(F:F,MATCH(DATE(YEAR($A887)-1,MONTH($A887),DAY($A887)),$A:$A,0))=""),"",F887/INDEX(F:F,MATCH(DATE(YEAR($A887)-1,MONTH($A887),DAY($A887)),$A:$A,0))-1),"")</f>
        <v/>
      </c>
      <c r="L887" s="19">
        <f>IFERROR(IF(OR(G887="",INDEX(G:G,MATCH(DATE(YEAR($A887)-1,MONTH($A887),DAY($A887)),$A:$A,0))=""),"",G887/INDEX(G:G,MATCH(DATE(YEAR($A887)-1,MONTH($A887),DAY($A887)),$A:$A,0))-1),"")</f>
        <v/>
      </c>
      <c r="M887" s="19">
        <f>IF(OR(E887="",E886=""),"",E887/E886-1)</f>
        <v/>
      </c>
      <c r="N887" s="19">
        <f>IF(OR(F887="",F886=""),"",F887/F886-1)</f>
        <v/>
      </c>
      <c r="O887" s="19">
        <f>IF(OR(G887="",G886=""),"",G887/G886-1)</f>
        <v/>
      </c>
      <c r="P887" s="22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IF(R887="","",P887/R887)</f>
        <v/>
      </c>
      <c r="T887" s="23">
        <f>IF(R887="","",Q887/R887)</f>
        <v/>
      </c>
      <c r="U887" s="24">
        <f>IF(SUMIFS('Daily NSE Equity Options'!$M:$M,'Daily NSE Equity Options'!$A:$A,$A887)=0,"",SUMIFS('Daily NSE Equity Options'!$M:$M,'Daily NSE Equity Options'!$A:$A,$A887))</f>
        <v/>
      </c>
      <c r="V887" s="9">
        <f>IF(SUMIFS('Daily BSE Equity Options'!$M:$M,'Daily BSE Equity Options'!$A:$A,$A887)=0,"",SUMIFS('Daily BSE Equity Options'!$M:$M,'Daily BSE Equity Options'!$A:$A,$A887))</f>
        <v/>
      </c>
      <c r="W887" s="9">
        <f>IF(OR(U887="",V887=""),"",U887+V887)</f>
        <v/>
      </c>
      <c r="X887" s="25">
        <f>IF(W887="","",U887/W887)</f>
        <v/>
      </c>
      <c r="Y887" s="25">
        <f>IF(W887="","",V887/W887)</f>
        <v/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19">
        <f>IF(G888="","",E888/G888)</f>
        <v/>
      </c>
      <c r="I888" s="19">
        <f>IF(G888="","",F888/G888)</f>
        <v/>
      </c>
      <c r="J888" s="26">
        <f>IFERROR(IF(OR(E888="",INDEX(E:E,MATCH(DATE(YEAR($A888)-1,MONTH($A888),DAY($A888)),$A:$A,0))=""),"",E888/INDEX(E:E,MATCH(DATE(YEAR($A888)-1,MONTH($A888),DAY($A888)),$A:$A,0))-1),"")</f>
        <v/>
      </c>
      <c r="K888" s="19">
        <f>IFERROR(IF(OR(F888="",INDEX(F:F,MATCH(DATE(YEAR($A888)-1,MONTH($A888),DAY($A888)),$A:$A,0))=""),"",F888/INDEX(F:F,MATCH(DATE(YEAR($A888)-1,MONTH($A888),DAY($A888)),$A:$A,0))-1),"")</f>
        <v/>
      </c>
      <c r="L888" s="19">
        <f>IFERROR(IF(OR(G888="",INDEX(G:G,MATCH(DATE(YEAR($A888)-1,MONTH($A888),DAY($A888)),$A:$A,0))=""),"",G888/INDEX(G:G,MATCH(DATE(YEAR($A888)-1,MONTH($A888),DAY($A888)),$A:$A,0))-1),"")</f>
        <v/>
      </c>
      <c r="M888" s="19">
        <f>IF(OR(E888="",E887=""),"",E888/E887-1)</f>
        <v/>
      </c>
      <c r="N888" s="19">
        <f>IF(OR(F888="",F887=""),"",F888/F887-1)</f>
        <v/>
      </c>
      <c r="O888" s="19">
        <f>IF(OR(G888="",G887=""),"",G888/G887-1)</f>
        <v/>
      </c>
      <c r="P888" s="22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IF(R888="","",P888/R888)</f>
        <v/>
      </c>
      <c r="T888" s="23">
        <f>IF(R888="","",Q888/R888)</f>
        <v/>
      </c>
      <c r="U888" s="24">
        <f>IF(SUMIFS('Daily NSE Equity Options'!$M:$M,'Daily NSE Equity Options'!$A:$A,$A888)=0,"",SUMIFS('Daily NSE Equity Options'!$M:$M,'Daily NSE Equity Options'!$A:$A,$A888))</f>
        <v/>
      </c>
      <c r="V888" s="9">
        <f>IF(SUMIFS('Daily BSE Equity Options'!$M:$M,'Daily BSE Equity Options'!$A:$A,$A888)=0,"",SUMIFS('Daily BSE Equity Options'!$M:$M,'Daily BSE Equity Options'!$A:$A,$A888))</f>
        <v/>
      </c>
      <c r="W888" s="9">
        <f>IF(OR(U888="",V888=""),"",U888+V888)</f>
        <v/>
      </c>
      <c r="X888" s="25">
        <f>IF(W888="","",U888/W888)</f>
        <v/>
      </c>
      <c r="Y888" s="25">
        <f>IF(W888="","",V888/W888)</f>
        <v/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19">
        <f>IF(G889="","",E889/G889)</f>
        <v/>
      </c>
      <c r="I889" s="19">
        <f>IF(G889="","",F889/G889)</f>
        <v/>
      </c>
      <c r="J889" s="26">
        <f>IFERROR(IF(OR(E889="",INDEX(E:E,MATCH(DATE(YEAR($A889)-1,MONTH($A889),DAY($A889)),$A:$A,0))=""),"",E889/INDEX(E:E,MATCH(DATE(YEAR($A889)-1,MONTH($A889),DAY($A889)),$A:$A,0))-1),"")</f>
        <v/>
      </c>
      <c r="K889" s="19">
        <f>IFERROR(IF(OR(F889="",INDEX(F:F,MATCH(DATE(YEAR($A889)-1,MONTH($A889),DAY($A889)),$A:$A,0))=""),"",F889/INDEX(F:F,MATCH(DATE(YEAR($A889)-1,MONTH($A889),DAY($A889)),$A:$A,0))-1),"")</f>
        <v/>
      </c>
      <c r="L889" s="19">
        <f>IFERROR(IF(OR(G889="",INDEX(G:G,MATCH(DATE(YEAR($A889)-1,MONTH($A889),DAY($A889)),$A:$A,0))=""),"",G889/INDEX(G:G,MATCH(DATE(YEAR($A889)-1,MONTH($A889),DAY($A889)),$A:$A,0))-1),"")</f>
        <v/>
      </c>
      <c r="M889" s="19">
        <f>IF(OR(E889="",E888=""),"",E889/E888-1)</f>
        <v/>
      </c>
      <c r="N889" s="19">
        <f>IF(OR(F889="",F888=""),"",F889/F888-1)</f>
        <v/>
      </c>
      <c r="O889" s="19">
        <f>IF(OR(G889="",G888=""),"",G889/G888-1)</f>
        <v/>
      </c>
      <c r="P889" s="22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IF(R889="","",P889/R889)</f>
        <v/>
      </c>
      <c r="T889" s="23">
        <f>IF(R889="","",Q889/R889)</f>
        <v/>
      </c>
      <c r="U889" s="24">
        <f>IF(SUMIFS('Daily NSE Equity Options'!$M:$M,'Daily NSE Equity Options'!$A:$A,$A889)=0,"",SUMIFS('Daily NSE Equity Options'!$M:$M,'Daily NSE Equity Options'!$A:$A,$A889))</f>
        <v/>
      </c>
      <c r="V889" s="9">
        <f>IF(SUMIFS('Daily BSE Equity Options'!$M:$M,'Daily BSE Equity Options'!$A:$A,$A889)=0,"",SUMIFS('Daily BSE Equity Options'!$M:$M,'Daily BSE Equity Options'!$A:$A,$A889))</f>
        <v/>
      </c>
      <c r="W889" s="9">
        <f>IF(OR(U889="",V889=""),"",U889+V889)</f>
        <v/>
      </c>
      <c r="X889" s="25">
        <f>IF(W889="","",U889/W889)</f>
        <v/>
      </c>
      <c r="Y889" s="25">
        <f>IF(W889="","",V889/W889)</f>
        <v/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19">
        <f>IF(G890="","",E890/G890)</f>
        <v/>
      </c>
      <c r="I890" s="19">
        <f>IF(G890="","",F890/G890)</f>
        <v/>
      </c>
      <c r="J890" s="26">
        <f>IFERROR(IF(OR(E890="",INDEX(E:E,MATCH(DATE(YEAR($A890)-1,MONTH($A890),DAY($A890)),$A:$A,0))=""),"",E890/INDEX(E:E,MATCH(DATE(YEAR($A890)-1,MONTH($A890),DAY($A890)),$A:$A,0))-1),"")</f>
        <v/>
      </c>
      <c r="K890" s="19">
        <f>IFERROR(IF(OR(F890="",INDEX(F:F,MATCH(DATE(YEAR($A890)-1,MONTH($A890),DAY($A890)),$A:$A,0))=""),"",F890/INDEX(F:F,MATCH(DATE(YEAR($A890)-1,MONTH($A890),DAY($A890)),$A:$A,0))-1),"")</f>
        <v/>
      </c>
      <c r="L890" s="19">
        <f>IFERROR(IF(OR(G890="",INDEX(G:G,MATCH(DATE(YEAR($A890)-1,MONTH($A890),DAY($A890)),$A:$A,0))=""),"",G890/INDEX(G:G,MATCH(DATE(YEAR($A890)-1,MONTH($A890),DAY($A890)),$A:$A,0))-1),"")</f>
        <v/>
      </c>
      <c r="M890" s="19">
        <f>IF(OR(E890="",E889=""),"",E890/E889-1)</f>
        <v/>
      </c>
      <c r="N890" s="19">
        <f>IF(OR(F890="",F889=""),"",F890/F889-1)</f>
        <v/>
      </c>
      <c r="O890" s="19">
        <f>IF(OR(G890="",G889=""),"",G890/G889-1)</f>
        <v/>
      </c>
      <c r="P890" s="22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IF(R890="","",P890/R890)</f>
        <v/>
      </c>
      <c r="T890" s="23">
        <f>IF(R890="","",Q890/R890)</f>
        <v/>
      </c>
      <c r="U890" s="24">
        <f>IF(SUMIFS('Daily NSE Equity Options'!$M:$M,'Daily NSE Equity Options'!$A:$A,$A890)=0,"",SUMIFS('Daily NSE Equity Options'!$M:$M,'Daily NSE Equity Options'!$A:$A,$A890))</f>
        <v/>
      </c>
      <c r="V890" s="9">
        <f>IF(SUMIFS('Daily BSE Equity Options'!$M:$M,'Daily BSE Equity Options'!$A:$A,$A890)=0,"",SUMIFS('Daily BSE Equity Options'!$M:$M,'Daily BSE Equity Options'!$A:$A,$A890))</f>
        <v/>
      </c>
      <c r="W890" s="9">
        <f>IF(OR(U890="",V890=""),"",U890+V890)</f>
        <v/>
      </c>
      <c r="X890" s="25">
        <f>IF(W890="","",U890/W890)</f>
        <v/>
      </c>
      <c r="Y890" s="25">
        <f>IF(W890="","",V890/W890)</f>
        <v/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19">
        <f>IF(G891="","",E891/G891)</f>
        <v/>
      </c>
      <c r="I891" s="19">
        <f>IF(G891="","",F891/G891)</f>
        <v/>
      </c>
      <c r="J891" s="26">
        <f>IFERROR(IF(OR(E891="",INDEX(E:E,MATCH(DATE(YEAR($A891)-1,MONTH($A891),DAY($A891)),$A:$A,0))=""),"",E891/INDEX(E:E,MATCH(DATE(YEAR($A891)-1,MONTH($A891),DAY($A891)),$A:$A,0))-1),"")</f>
        <v/>
      </c>
      <c r="K891" s="19">
        <f>IFERROR(IF(OR(F891="",INDEX(F:F,MATCH(DATE(YEAR($A891)-1,MONTH($A891),DAY($A891)),$A:$A,0))=""),"",F891/INDEX(F:F,MATCH(DATE(YEAR($A891)-1,MONTH($A891),DAY($A891)),$A:$A,0))-1),"")</f>
        <v/>
      </c>
      <c r="L891" s="19">
        <f>IFERROR(IF(OR(G891="",INDEX(G:G,MATCH(DATE(YEAR($A891)-1,MONTH($A891),DAY($A891)),$A:$A,0))=""),"",G891/INDEX(G:G,MATCH(DATE(YEAR($A891)-1,MONTH($A891),DAY($A891)),$A:$A,0))-1),"")</f>
        <v/>
      </c>
      <c r="M891" s="19">
        <f>IF(OR(E891="",E890=""),"",E891/E890-1)</f>
        <v/>
      </c>
      <c r="N891" s="19">
        <f>IF(OR(F891="",F890=""),"",F891/F890-1)</f>
        <v/>
      </c>
      <c r="O891" s="19">
        <f>IF(OR(G891="",G890=""),"",G891/G890-1)</f>
        <v/>
      </c>
      <c r="P891" s="22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IF(R891="","",P891/R891)</f>
        <v/>
      </c>
      <c r="T891" s="23">
        <f>IF(R891="","",Q891/R891)</f>
        <v/>
      </c>
      <c r="U891" s="24">
        <f>IF(SUMIFS('Daily NSE Equity Options'!$M:$M,'Daily NSE Equity Options'!$A:$A,$A891)=0,"",SUMIFS('Daily NSE Equity Options'!$M:$M,'Daily NSE Equity Options'!$A:$A,$A891))</f>
        <v/>
      </c>
      <c r="V891" s="9">
        <f>IF(SUMIFS('Daily BSE Equity Options'!$M:$M,'Daily BSE Equity Options'!$A:$A,$A891)=0,"",SUMIFS('Daily BSE Equity Options'!$M:$M,'Daily BSE Equity Options'!$A:$A,$A891))</f>
        <v/>
      </c>
      <c r="W891" s="9">
        <f>IF(OR(U891="",V891=""),"",U891+V891)</f>
        <v/>
      </c>
      <c r="X891" s="25">
        <f>IF(W891="","",U891/W891)</f>
        <v/>
      </c>
      <c r="Y891" s="25">
        <f>IF(W891="","",V891/W891)</f>
        <v/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19">
        <f>IF(G892="","",E892/G892)</f>
        <v/>
      </c>
      <c r="I892" s="19">
        <f>IF(G892="","",F892/G892)</f>
        <v/>
      </c>
      <c r="J892" s="26">
        <f>IFERROR(IF(OR(E892="",INDEX(E:E,MATCH(DATE(YEAR($A892)-1,MONTH($A892),DAY($A892)),$A:$A,0))=""),"",E892/INDEX(E:E,MATCH(DATE(YEAR($A892)-1,MONTH($A892),DAY($A892)),$A:$A,0))-1),"")</f>
        <v/>
      </c>
      <c r="K892" s="19">
        <f>IFERROR(IF(OR(F892="",INDEX(F:F,MATCH(DATE(YEAR($A892)-1,MONTH($A892),DAY($A892)),$A:$A,0))=""),"",F892/INDEX(F:F,MATCH(DATE(YEAR($A892)-1,MONTH($A892),DAY($A892)),$A:$A,0))-1),"")</f>
        <v/>
      </c>
      <c r="L892" s="19">
        <f>IFERROR(IF(OR(G892="",INDEX(G:G,MATCH(DATE(YEAR($A892)-1,MONTH($A892),DAY($A892)),$A:$A,0))=""),"",G892/INDEX(G:G,MATCH(DATE(YEAR($A892)-1,MONTH($A892),DAY($A892)),$A:$A,0))-1),"")</f>
        <v/>
      </c>
      <c r="M892" s="19">
        <f>IF(OR(E892="",E891=""),"",E892/E891-1)</f>
        <v/>
      </c>
      <c r="N892" s="19">
        <f>IF(OR(F892="",F891=""),"",F892/F891-1)</f>
        <v/>
      </c>
      <c r="O892" s="19">
        <f>IF(OR(G892="",G891=""),"",G892/G891-1)</f>
        <v/>
      </c>
      <c r="P892" s="22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IF(R892="","",P892/R892)</f>
        <v/>
      </c>
      <c r="T892" s="23">
        <f>IF(R892="","",Q892/R892)</f>
        <v/>
      </c>
      <c r="U892" s="24">
        <f>IF(SUMIFS('Daily NSE Equity Options'!$M:$M,'Daily NSE Equity Options'!$A:$A,$A892)=0,"",SUMIFS('Daily NSE Equity Options'!$M:$M,'Daily NSE Equity Options'!$A:$A,$A892))</f>
        <v/>
      </c>
      <c r="V892" s="9">
        <f>IF(SUMIFS('Daily BSE Equity Options'!$M:$M,'Daily BSE Equity Options'!$A:$A,$A892)=0,"",SUMIFS('Daily BSE Equity Options'!$M:$M,'Daily BSE Equity Options'!$A:$A,$A892))</f>
        <v/>
      </c>
      <c r="W892" s="9">
        <f>IF(OR(U892="",V892=""),"",U892+V892)</f>
        <v/>
      </c>
      <c r="X892" s="25">
        <f>IF(W892="","",U892/W892)</f>
        <v/>
      </c>
      <c r="Y892" s="25">
        <f>IF(W892="","",V892/W892)</f>
        <v/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19">
        <f>IF(G893="","",E893/G893)</f>
        <v/>
      </c>
      <c r="I893" s="19">
        <f>IF(G893="","",F893/G893)</f>
        <v/>
      </c>
      <c r="J893" s="26">
        <f>IFERROR(IF(OR(E893="",INDEX(E:E,MATCH(DATE(YEAR($A893)-1,MONTH($A893),DAY($A893)),$A:$A,0))=""),"",E893/INDEX(E:E,MATCH(DATE(YEAR($A893)-1,MONTH($A893),DAY($A893)),$A:$A,0))-1),"")</f>
        <v/>
      </c>
      <c r="K893" s="19">
        <f>IFERROR(IF(OR(F893="",INDEX(F:F,MATCH(DATE(YEAR($A893)-1,MONTH($A893),DAY($A893)),$A:$A,0))=""),"",F893/INDEX(F:F,MATCH(DATE(YEAR($A893)-1,MONTH($A893),DAY($A893)),$A:$A,0))-1),"")</f>
        <v/>
      </c>
      <c r="L893" s="19">
        <f>IFERROR(IF(OR(G893="",INDEX(G:G,MATCH(DATE(YEAR($A893)-1,MONTH($A893),DAY($A893)),$A:$A,0))=""),"",G893/INDEX(G:G,MATCH(DATE(YEAR($A893)-1,MONTH($A893),DAY($A893)),$A:$A,0))-1),"")</f>
        <v/>
      </c>
      <c r="M893" s="19">
        <f>IF(OR(E893="",E892=""),"",E893/E892-1)</f>
        <v/>
      </c>
      <c r="N893" s="19">
        <f>IF(OR(F893="",F892=""),"",F893/F892-1)</f>
        <v/>
      </c>
      <c r="O893" s="19">
        <f>IF(OR(G893="",G892=""),"",G893/G892-1)</f>
        <v/>
      </c>
      <c r="P893" s="22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IF(R893="","",P893/R893)</f>
        <v/>
      </c>
      <c r="T893" s="23">
        <f>IF(R893="","",Q893/R893)</f>
        <v/>
      </c>
      <c r="U893" s="24">
        <f>IF(SUMIFS('Daily NSE Equity Options'!$M:$M,'Daily NSE Equity Options'!$A:$A,$A893)=0,"",SUMIFS('Daily NSE Equity Options'!$M:$M,'Daily NSE Equity Options'!$A:$A,$A893))</f>
        <v/>
      </c>
      <c r="V893" s="9">
        <f>IF(SUMIFS('Daily BSE Equity Options'!$M:$M,'Daily BSE Equity Options'!$A:$A,$A893)=0,"",SUMIFS('Daily BSE Equity Options'!$M:$M,'Daily BSE Equity Options'!$A:$A,$A893))</f>
        <v/>
      </c>
      <c r="W893" s="9">
        <f>IF(OR(U893="",V893=""),"",U893+V893)</f>
        <v/>
      </c>
      <c r="X893" s="25">
        <f>IF(W893="","",U893/W893)</f>
        <v/>
      </c>
      <c r="Y893" s="25">
        <f>IF(W893="","",V893/W893)</f>
        <v/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19">
        <f>IF(G894="","",E894/G894)</f>
        <v/>
      </c>
      <c r="I894" s="19">
        <f>IF(G894="","",F894/G894)</f>
        <v/>
      </c>
      <c r="J894" s="26">
        <f>IFERROR(IF(OR(E894="",INDEX(E:E,MATCH(DATE(YEAR($A894)-1,MONTH($A894),DAY($A894)),$A:$A,0))=""),"",E894/INDEX(E:E,MATCH(DATE(YEAR($A894)-1,MONTH($A894),DAY($A894)),$A:$A,0))-1),"")</f>
        <v/>
      </c>
      <c r="K894" s="19">
        <f>IFERROR(IF(OR(F894="",INDEX(F:F,MATCH(DATE(YEAR($A894)-1,MONTH($A894),DAY($A894)),$A:$A,0))=""),"",F894/INDEX(F:F,MATCH(DATE(YEAR($A894)-1,MONTH($A894),DAY($A894)),$A:$A,0))-1),"")</f>
        <v/>
      </c>
      <c r="L894" s="19">
        <f>IFERROR(IF(OR(G894="",INDEX(G:G,MATCH(DATE(YEAR($A894)-1,MONTH($A894),DAY($A894)),$A:$A,0))=""),"",G894/INDEX(G:G,MATCH(DATE(YEAR($A894)-1,MONTH($A894),DAY($A894)),$A:$A,0))-1),"")</f>
        <v/>
      </c>
      <c r="M894" s="19">
        <f>IF(OR(E894="",E893=""),"",E894/E893-1)</f>
        <v/>
      </c>
      <c r="N894" s="19">
        <f>IF(OR(F894="",F893=""),"",F894/F893-1)</f>
        <v/>
      </c>
      <c r="O894" s="19">
        <f>IF(OR(G894="",G893=""),"",G894/G893-1)</f>
        <v/>
      </c>
      <c r="P894" s="22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IF(R894="","",P894/R894)</f>
        <v/>
      </c>
      <c r="T894" s="23">
        <f>IF(R894="","",Q894/R894)</f>
        <v/>
      </c>
      <c r="U894" s="24">
        <f>IF(SUMIFS('Daily NSE Equity Options'!$M:$M,'Daily NSE Equity Options'!$A:$A,$A894)=0,"",SUMIFS('Daily NSE Equity Options'!$M:$M,'Daily NSE Equity Options'!$A:$A,$A894))</f>
        <v/>
      </c>
      <c r="V894" s="9">
        <f>IF(SUMIFS('Daily BSE Equity Options'!$M:$M,'Daily BSE Equity Options'!$A:$A,$A894)=0,"",SUMIFS('Daily BSE Equity Options'!$M:$M,'Daily BSE Equity Options'!$A:$A,$A894))</f>
        <v/>
      </c>
      <c r="W894" s="9">
        <f>IF(OR(U894="",V894=""),"",U894+V894)</f>
        <v/>
      </c>
      <c r="X894" s="25">
        <f>IF(W894="","",U894/W894)</f>
        <v/>
      </c>
      <c r="Y894" s="25">
        <f>IF(W894="","",V894/W894)</f>
        <v/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19">
        <f>IF(G895="","",E895/G895)</f>
        <v/>
      </c>
      <c r="I895" s="19">
        <f>IF(G895="","",F895/G895)</f>
        <v/>
      </c>
      <c r="J895" s="26">
        <f>IFERROR(IF(OR(E895="",INDEX(E:E,MATCH(DATE(YEAR($A895)-1,MONTH($A895),DAY($A895)),$A:$A,0))=""),"",E895/INDEX(E:E,MATCH(DATE(YEAR($A895)-1,MONTH($A895),DAY($A895)),$A:$A,0))-1),"")</f>
        <v/>
      </c>
      <c r="K895" s="19">
        <f>IFERROR(IF(OR(F895="",INDEX(F:F,MATCH(DATE(YEAR($A895)-1,MONTH($A895),DAY($A895)),$A:$A,0))=""),"",F895/INDEX(F:F,MATCH(DATE(YEAR($A895)-1,MONTH($A895),DAY($A895)),$A:$A,0))-1),"")</f>
        <v/>
      </c>
      <c r="L895" s="19">
        <f>IFERROR(IF(OR(G895="",INDEX(G:G,MATCH(DATE(YEAR($A895)-1,MONTH($A895),DAY($A895)),$A:$A,0))=""),"",G895/INDEX(G:G,MATCH(DATE(YEAR($A895)-1,MONTH($A895),DAY($A895)),$A:$A,0))-1),"")</f>
        <v/>
      </c>
      <c r="M895" s="19">
        <f>IF(OR(E895="",E894=""),"",E895/E894-1)</f>
        <v/>
      </c>
      <c r="N895" s="19">
        <f>IF(OR(F895="",F894=""),"",F895/F894-1)</f>
        <v/>
      </c>
      <c r="O895" s="19">
        <f>IF(OR(G895="",G894=""),"",G895/G894-1)</f>
        <v/>
      </c>
      <c r="P895" s="22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IF(R895="","",P895/R895)</f>
        <v/>
      </c>
      <c r="T895" s="23">
        <f>IF(R895="","",Q895/R895)</f>
        <v/>
      </c>
      <c r="U895" s="24">
        <f>IF(SUMIFS('Daily NSE Equity Options'!$M:$M,'Daily NSE Equity Options'!$A:$A,$A895)=0,"",SUMIFS('Daily NSE Equity Options'!$M:$M,'Daily NSE Equity Options'!$A:$A,$A895))</f>
        <v/>
      </c>
      <c r="V895" s="9">
        <f>IF(SUMIFS('Daily BSE Equity Options'!$M:$M,'Daily BSE Equity Options'!$A:$A,$A895)=0,"",SUMIFS('Daily BSE Equity Options'!$M:$M,'Daily BSE Equity Options'!$A:$A,$A895))</f>
        <v/>
      </c>
      <c r="W895" s="9">
        <f>IF(OR(U895="",V895=""),"",U895+V895)</f>
        <v/>
      </c>
      <c r="X895" s="25">
        <f>IF(W895="","",U895/W895)</f>
        <v/>
      </c>
      <c r="Y895" s="25">
        <f>IF(W895="","",V895/W895)</f>
        <v/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19">
        <f>IF(G896="","",E896/G896)</f>
        <v/>
      </c>
      <c r="I896" s="19">
        <f>IF(G896="","",F896/G896)</f>
        <v/>
      </c>
      <c r="J896" s="26">
        <f>IFERROR(IF(OR(E896="",INDEX(E:E,MATCH(DATE(YEAR($A896)-1,MONTH($A896),DAY($A896)),$A:$A,0))=""),"",E896/INDEX(E:E,MATCH(DATE(YEAR($A896)-1,MONTH($A896),DAY($A896)),$A:$A,0))-1),"")</f>
        <v/>
      </c>
      <c r="K896" s="19">
        <f>IFERROR(IF(OR(F896="",INDEX(F:F,MATCH(DATE(YEAR($A896)-1,MONTH($A896),DAY($A896)),$A:$A,0))=""),"",F896/INDEX(F:F,MATCH(DATE(YEAR($A896)-1,MONTH($A896),DAY($A896)),$A:$A,0))-1),"")</f>
        <v/>
      </c>
      <c r="L896" s="19">
        <f>IFERROR(IF(OR(G896="",INDEX(G:G,MATCH(DATE(YEAR($A896)-1,MONTH($A896),DAY($A896)),$A:$A,0))=""),"",G896/INDEX(G:G,MATCH(DATE(YEAR($A896)-1,MONTH($A896),DAY($A896)),$A:$A,0))-1),"")</f>
        <v/>
      </c>
      <c r="M896" s="19">
        <f>IF(OR(E896="",E895=""),"",E896/E895-1)</f>
        <v/>
      </c>
      <c r="N896" s="19">
        <f>IF(OR(F896="",F895=""),"",F896/F895-1)</f>
        <v/>
      </c>
      <c r="O896" s="19">
        <f>IF(OR(G896="",G895=""),"",G896/G895-1)</f>
        <v/>
      </c>
      <c r="P896" s="22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IF(R896="","",P896/R896)</f>
        <v/>
      </c>
      <c r="T896" s="23">
        <f>IF(R896="","",Q896/R896)</f>
        <v/>
      </c>
      <c r="U896" s="24">
        <f>IF(SUMIFS('Daily NSE Equity Options'!$M:$M,'Daily NSE Equity Options'!$A:$A,$A896)=0,"",SUMIFS('Daily NSE Equity Options'!$M:$M,'Daily NSE Equity Options'!$A:$A,$A896))</f>
        <v/>
      </c>
      <c r="V896" s="9">
        <f>IF(SUMIFS('Daily BSE Equity Options'!$M:$M,'Daily BSE Equity Options'!$A:$A,$A896)=0,"",SUMIFS('Daily BSE Equity Options'!$M:$M,'Daily BSE Equity Options'!$A:$A,$A896))</f>
        <v/>
      </c>
      <c r="W896" s="9">
        <f>IF(OR(U896="",V896=""),"",U896+V896)</f>
        <v/>
      </c>
      <c r="X896" s="25">
        <f>IF(W896="","",U896/W896)</f>
        <v/>
      </c>
      <c r="Y896" s="25">
        <f>IF(W896="","",V896/W896)</f>
        <v/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19">
        <f>IF(G897="","",E897/G897)</f>
        <v/>
      </c>
      <c r="I897" s="19">
        <f>IF(G897="","",F897/G897)</f>
        <v/>
      </c>
      <c r="J897" s="26">
        <f>IFERROR(IF(OR(E897="",INDEX(E:E,MATCH(DATE(YEAR($A897)-1,MONTH($A897),DAY($A897)),$A:$A,0))=""),"",E897/INDEX(E:E,MATCH(DATE(YEAR($A897)-1,MONTH($A897),DAY($A897)),$A:$A,0))-1),"")</f>
        <v/>
      </c>
      <c r="K897" s="19">
        <f>IFERROR(IF(OR(F897="",INDEX(F:F,MATCH(DATE(YEAR($A897)-1,MONTH($A897),DAY($A897)),$A:$A,0))=""),"",F897/INDEX(F:F,MATCH(DATE(YEAR($A897)-1,MONTH($A897),DAY($A897)),$A:$A,0))-1),"")</f>
        <v/>
      </c>
      <c r="L897" s="19">
        <f>IFERROR(IF(OR(G897="",INDEX(G:G,MATCH(DATE(YEAR($A897)-1,MONTH($A897),DAY($A897)),$A:$A,0))=""),"",G897/INDEX(G:G,MATCH(DATE(YEAR($A897)-1,MONTH($A897),DAY($A897)),$A:$A,0))-1),"")</f>
        <v/>
      </c>
      <c r="M897" s="19">
        <f>IF(OR(E897="",E896=""),"",E897/E896-1)</f>
        <v/>
      </c>
      <c r="N897" s="19">
        <f>IF(OR(F897="",F896=""),"",F897/F896-1)</f>
        <v/>
      </c>
      <c r="O897" s="19">
        <f>IF(OR(G897="",G896=""),"",G897/G896-1)</f>
        <v/>
      </c>
      <c r="P897" s="22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IF(R897="","",P897/R897)</f>
        <v/>
      </c>
      <c r="T897" s="23">
        <f>IF(R897="","",Q897/R897)</f>
        <v/>
      </c>
      <c r="U897" s="24">
        <f>IF(SUMIFS('Daily NSE Equity Options'!$M:$M,'Daily NSE Equity Options'!$A:$A,$A897)=0,"",SUMIFS('Daily NSE Equity Options'!$M:$M,'Daily NSE Equity Options'!$A:$A,$A897))</f>
        <v/>
      </c>
      <c r="V897" s="9">
        <f>IF(SUMIFS('Daily BSE Equity Options'!$M:$M,'Daily BSE Equity Options'!$A:$A,$A897)=0,"",SUMIFS('Daily BSE Equity Options'!$M:$M,'Daily BSE Equity Options'!$A:$A,$A897))</f>
        <v/>
      </c>
      <c r="W897" s="9">
        <f>IF(OR(U897="",V897=""),"",U897+V897)</f>
        <v/>
      </c>
      <c r="X897" s="25">
        <f>IF(W897="","",U897/W897)</f>
        <v/>
      </c>
      <c r="Y897" s="25">
        <f>IF(W897="","",V897/W897)</f>
        <v/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19">
        <f>IF(G898="","",E898/G898)</f>
        <v/>
      </c>
      <c r="I898" s="19">
        <f>IF(G898="","",F898/G898)</f>
        <v/>
      </c>
      <c r="J898" s="26">
        <f>IFERROR(IF(OR(E898="",INDEX(E:E,MATCH(DATE(YEAR($A898)-1,MONTH($A898),DAY($A898)),$A:$A,0))=""),"",E898/INDEX(E:E,MATCH(DATE(YEAR($A898)-1,MONTH($A898),DAY($A898)),$A:$A,0))-1),"")</f>
        <v/>
      </c>
      <c r="K898" s="19">
        <f>IFERROR(IF(OR(F898="",INDEX(F:F,MATCH(DATE(YEAR($A898)-1,MONTH($A898),DAY($A898)),$A:$A,0))=""),"",F898/INDEX(F:F,MATCH(DATE(YEAR($A898)-1,MONTH($A898),DAY($A898)),$A:$A,0))-1),"")</f>
        <v/>
      </c>
      <c r="L898" s="19">
        <f>IFERROR(IF(OR(G898="",INDEX(G:G,MATCH(DATE(YEAR($A898)-1,MONTH($A898),DAY($A898)),$A:$A,0))=""),"",G898/INDEX(G:G,MATCH(DATE(YEAR($A898)-1,MONTH($A898),DAY($A898)),$A:$A,0))-1),"")</f>
        <v/>
      </c>
      <c r="M898" s="19">
        <f>IF(OR(E898="",E897=""),"",E898/E897-1)</f>
        <v/>
      </c>
      <c r="N898" s="19">
        <f>IF(OR(F898="",F897=""),"",F898/F897-1)</f>
        <v/>
      </c>
      <c r="O898" s="19">
        <f>IF(OR(G898="",G897=""),"",G898/G897-1)</f>
        <v/>
      </c>
      <c r="P898" s="22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IF(R898="","",P898/R898)</f>
        <v/>
      </c>
      <c r="T898" s="23">
        <f>IF(R898="","",Q898/R898)</f>
        <v/>
      </c>
      <c r="U898" s="24">
        <f>IF(SUMIFS('Daily NSE Equity Options'!$M:$M,'Daily NSE Equity Options'!$A:$A,$A898)=0,"",SUMIFS('Daily NSE Equity Options'!$M:$M,'Daily NSE Equity Options'!$A:$A,$A898))</f>
        <v/>
      </c>
      <c r="V898" s="9">
        <f>IF(SUMIFS('Daily BSE Equity Options'!$M:$M,'Daily BSE Equity Options'!$A:$A,$A898)=0,"",SUMIFS('Daily BSE Equity Options'!$M:$M,'Daily BSE Equity Options'!$A:$A,$A898))</f>
        <v/>
      </c>
      <c r="W898" s="9">
        <f>IF(OR(U898="",V898=""),"",U898+V898)</f>
        <v/>
      </c>
      <c r="X898" s="25">
        <f>IF(W898="","",U898/W898)</f>
        <v/>
      </c>
      <c r="Y898" s="25">
        <f>IF(W898="","",V898/W898)</f>
        <v/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19">
        <f>IF(G899="","",E899/G899)</f>
        <v/>
      </c>
      <c r="I899" s="19">
        <f>IF(G899="","",F899/G899)</f>
        <v/>
      </c>
      <c r="J899" s="26">
        <f>IFERROR(IF(OR(E899="",INDEX(E:E,MATCH(DATE(YEAR($A899)-1,MONTH($A899),DAY($A899)),$A:$A,0))=""),"",E899/INDEX(E:E,MATCH(DATE(YEAR($A899)-1,MONTH($A899),DAY($A899)),$A:$A,0))-1),"")</f>
        <v/>
      </c>
      <c r="K899" s="19">
        <f>IFERROR(IF(OR(F899="",INDEX(F:F,MATCH(DATE(YEAR($A899)-1,MONTH($A899),DAY($A899)),$A:$A,0))=""),"",F899/INDEX(F:F,MATCH(DATE(YEAR($A899)-1,MONTH($A899),DAY($A899)),$A:$A,0))-1),"")</f>
        <v/>
      </c>
      <c r="L899" s="19">
        <f>IFERROR(IF(OR(G899="",INDEX(G:G,MATCH(DATE(YEAR($A899)-1,MONTH($A899),DAY($A899)),$A:$A,0))=""),"",G899/INDEX(G:G,MATCH(DATE(YEAR($A899)-1,MONTH($A899),DAY($A899)),$A:$A,0))-1),"")</f>
        <v/>
      </c>
      <c r="M899" s="19">
        <f>IF(OR(E899="",E898=""),"",E899/E898-1)</f>
        <v/>
      </c>
      <c r="N899" s="19">
        <f>IF(OR(F899="",F898=""),"",F899/F898-1)</f>
        <v/>
      </c>
      <c r="O899" s="19">
        <f>IF(OR(G899="",G898=""),"",G899/G898-1)</f>
        <v/>
      </c>
      <c r="P899" s="22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IF(R899="","",P899/R899)</f>
        <v/>
      </c>
      <c r="T899" s="23">
        <f>IF(R899="","",Q899/R899)</f>
        <v/>
      </c>
      <c r="U899" s="24">
        <f>IF(SUMIFS('Daily NSE Equity Options'!$M:$M,'Daily NSE Equity Options'!$A:$A,$A899)=0,"",SUMIFS('Daily NSE Equity Options'!$M:$M,'Daily NSE Equity Options'!$A:$A,$A899))</f>
        <v/>
      </c>
      <c r="V899" s="9">
        <f>IF(SUMIFS('Daily BSE Equity Options'!$M:$M,'Daily BSE Equity Options'!$A:$A,$A899)=0,"",SUMIFS('Daily BSE Equity Options'!$M:$M,'Daily BSE Equity Options'!$A:$A,$A899))</f>
        <v/>
      </c>
      <c r="W899" s="9">
        <f>IF(OR(U899="",V899=""),"",U899+V899)</f>
        <v/>
      </c>
      <c r="X899" s="25">
        <f>IF(W899="","",U899/W899)</f>
        <v/>
      </c>
      <c r="Y899" s="25">
        <f>IF(W899="","",V899/W899)</f>
        <v/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19">
        <f>IF(G900="","",E900/G900)</f>
        <v/>
      </c>
      <c r="I900" s="19">
        <f>IF(G900="","",F900/G900)</f>
        <v/>
      </c>
      <c r="J900" s="26">
        <f>IFERROR(IF(OR(E900="",INDEX(E:E,MATCH(DATE(YEAR($A900)-1,MONTH($A900),DAY($A900)),$A:$A,0))=""),"",E900/INDEX(E:E,MATCH(DATE(YEAR($A900)-1,MONTH($A900),DAY($A900)),$A:$A,0))-1),"")</f>
        <v/>
      </c>
      <c r="K900" s="19">
        <f>IFERROR(IF(OR(F900="",INDEX(F:F,MATCH(DATE(YEAR($A900)-1,MONTH($A900),DAY($A900)),$A:$A,0))=""),"",F900/INDEX(F:F,MATCH(DATE(YEAR($A900)-1,MONTH($A900),DAY($A900)),$A:$A,0))-1),"")</f>
        <v/>
      </c>
      <c r="L900" s="19">
        <f>IFERROR(IF(OR(G900="",INDEX(G:G,MATCH(DATE(YEAR($A900)-1,MONTH($A900),DAY($A900)),$A:$A,0))=""),"",G900/INDEX(G:G,MATCH(DATE(YEAR($A900)-1,MONTH($A900),DAY($A900)),$A:$A,0))-1),"")</f>
        <v/>
      </c>
      <c r="M900" s="19">
        <f>IF(OR(E900="",E899=""),"",E900/E899-1)</f>
        <v/>
      </c>
      <c r="N900" s="19">
        <f>IF(OR(F900="",F899=""),"",F900/F899-1)</f>
        <v/>
      </c>
      <c r="O900" s="19">
        <f>IF(OR(G900="",G899=""),"",G900/G899-1)</f>
        <v/>
      </c>
      <c r="P900" s="22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IF(R900="","",P900/R900)</f>
        <v/>
      </c>
      <c r="T900" s="23">
        <f>IF(R900="","",Q900/R900)</f>
        <v/>
      </c>
      <c r="U900" s="24">
        <f>IF(SUMIFS('Daily NSE Equity Options'!$M:$M,'Daily NSE Equity Options'!$A:$A,$A900)=0,"",SUMIFS('Daily NSE Equity Options'!$M:$M,'Daily NSE Equity Options'!$A:$A,$A900))</f>
        <v/>
      </c>
      <c r="V900" s="9">
        <f>IF(SUMIFS('Daily BSE Equity Options'!$M:$M,'Daily BSE Equity Options'!$A:$A,$A900)=0,"",SUMIFS('Daily BSE Equity Options'!$M:$M,'Daily BSE Equity Options'!$A:$A,$A900))</f>
        <v/>
      </c>
      <c r="W900" s="9">
        <f>IF(OR(U900="",V900=""),"",U900+V900)</f>
        <v/>
      </c>
      <c r="X900" s="25">
        <f>IF(W900="","",U900/W900)</f>
        <v/>
      </c>
      <c r="Y900" s="25">
        <f>IF(W900="","",V900/W900)</f>
        <v/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19">
        <f>IF(G901="","",E901/G901)</f>
        <v/>
      </c>
      <c r="I901" s="19">
        <f>IF(G901="","",F901/G901)</f>
        <v/>
      </c>
      <c r="J901" s="26">
        <f>IFERROR(IF(OR(E901="",INDEX(E:E,MATCH(DATE(YEAR($A901)-1,MONTH($A901),DAY($A901)),$A:$A,0))=""),"",E901/INDEX(E:E,MATCH(DATE(YEAR($A901)-1,MONTH($A901),DAY($A901)),$A:$A,0))-1),"")</f>
        <v/>
      </c>
      <c r="K901" s="19">
        <f>IFERROR(IF(OR(F901="",INDEX(F:F,MATCH(DATE(YEAR($A901)-1,MONTH($A901),DAY($A901)),$A:$A,0))=""),"",F901/INDEX(F:F,MATCH(DATE(YEAR($A901)-1,MONTH($A901),DAY($A901)),$A:$A,0))-1),"")</f>
        <v/>
      </c>
      <c r="L901" s="19">
        <f>IFERROR(IF(OR(G901="",INDEX(G:G,MATCH(DATE(YEAR($A901)-1,MONTH($A901),DAY($A901)),$A:$A,0))=""),"",G901/INDEX(G:G,MATCH(DATE(YEAR($A901)-1,MONTH($A901),DAY($A901)),$A:$A,0))-1),"")</f>
        <v/>
      </c>
      <c r="M901" s="19">
        <f>IF(OR(E901="",E900=""),"",E901/E900-1)</f>
        <v/>
      </c>
      <c r="N901" s="19">
        <f>IF(OR(F901="",F900=""),"",F901/F900-1)</f>
        <v/>
      </c>
      <c r="O901" s="19">
        <f>IF(OR(G901="",G900=""),"",G901/G900-1)</f>
        <v/>
      </c>
      <c r="P901" s="22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IF(R901="","",P901/R901)</f>
        <v/>
      </c>
      <c r="T901" s="23">
        <f>IF(R901="","",Q901/R901)</f>
        <v/>
      </c>
      <c r="U901" s="24">
        <f>IF(SUMIFS('Daily NSE Equity Options'!$M:$M,'Daily NSE Equity Options'!$A:$A,$A901)=0,"",SUMIFS('Daily NSE Equity Options'!$M:$M,'Daily NSE Equity Options'!$A:$A,$A901))</f>
        <v/>
      </c>
      <c r="V901" s="9">
        <f>IF(SUMIFS('Daily BSE Equity Options'!$M:$M,'Daily BSE Equity Options'!$A:$A,$A901)=0,"",SUMIFS('Daily BSE Equity Options'!$M:$M,'Daily BSE Equity Options'!$A:$A,$A901))</f>
        <v/>
      </c>
      <c r="W901" s="9">
        <f>IF(OR(U901="",V901=""),"",U901+V901)</f>
        <v/>
      </c>
      <c r="X901" s="25">
        <f>IF(W901="","",U901/W901)</f>
        <v/>
      </c>
      <c r="Y901" s="25">
        <f>IF(W901="","",V901/W901)</f>
        <v/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19">
        <f>IF(G902="","",E902/G902)</f>
        <v/>
      </c>
      <c r="I902" s="19">
        <f>IF(G902="","",F902/G902)</f>
        <v/>
      </c>
      <c r="J902" s="26">
        <f>IFERROR(IF(OR(E902="",INDEX(E:E,MATCH(DATE(YEAR($A902)-1,MONTH($A902),DAY($A902)),$A:$A,0))=""),"",E902/INDEX(E:E,MATCH(DATE(YEAR($A902)-1,MONTH($A902),DAY($A902)),$A:$A,0))-1),"")</f>
        <v/>
      </c>
      <c r="K902" s="19">
        <f>IFERROR(IF(OR(F902="",INDEX(F:F,MATCH(DATE(YEAR($A902)-1,MONTH($A902),DAY($A902)),$A:$A,0))=""),"",F902/INDEX(F:F,MATCH(DATE(YEAR($A902)-1,MONTH($A902),DAY($A902)),$A:$A,0))-1),"")</f>
        <v/>
      </c>
      <c r="L902" s="19">
        <f>IFERROR(IF(OR(G902="",INDEX(G:G,MATCH(DATE(YEAR($A902)-1,MONTH($A902),DAY($A902)),$A:$A,0))=""),"",G902/INDEX(G:G,MATCH(DATE(YEAR($A902)-1,MONTH($A902),DAY($A902)),$A:$A,0))-1),"")</f>
        <v/>
      </c>
      <c r="M902" s="19">
        <f>IF(OR(E902="",E901=""),"",E902/E901-1)</f>
        <v/>
      </c>
      <c r="N902" s="19">
        <f>IF(OR(F902="",F901=""),"",F902/F901-1)</f>
        <v/>
      </c>
      <c r="O902" s="19">
        <f>IF(OR(G902="",G901=""),"",G902/G901-1)</f>
        <v/>
      </c>
      <c r="P902" s="22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IF(R902="","",P902/R902)</f>
        <v/>
      </c>
      <c r="T902" s="23">
        <f>IF(R902="","",Q902/R902)</f>
        <v/>
      </c>
      <c r="U902" s="24">
        <f>IF(SUMIFS('Daily NSE Equity Options'!$M:$M,'Daily NSE Equity Options'!$A:$A,$A902)=0,"",SUMIFS('Daily NSE Equity Options'!$M:$M,'Daily NSE Equity Options'!$A:$A,$A902))</f>
        <v/>
      </c>
      <c r="V902" s="9">
        <f>IF(SUMIFS('Daily BSE Equity Options'!$M:$M,'Daily BSE Equity Options'!$A:$A,$A902)=0,"",SUMIFS('Daily BSE Equity Options'!$M:$M,'Daily BSE Equity Options'!$A:$A,$A902))</f>
        <v/>
      </c>
      <c r="W902" s="9">
        <f>IF(OR(U902="",V902=""),"",U902+V902)</f>
        <v/>
      </c>
      <c r="X902" s="25">
        <f>IF(W902="","",U902/W902)</f>
        <v/>
      </c>
      <c r="Y902" s="25">
        <f>IF(W902="","",V902/W902)</f>
        <v/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19">
        <f>IF(G903="","",E903/G903)</f>
        <v/>
      </c>
      <c r="I903" s="19">
        <f>IF(G903="","",F903/G903)</f>
        <v/>
      </c>
      <c r="J903" s="26">
        <f>IFERROR(IF(OR(E903="",INDEX(E:E,MATCH(DATE(YEAR($A903)-1,MONTH($A903),DAY($A903)),$A:$A,0))=""),"",E903/INDEX(E:E,MATCH(DATE(YEAR($A903)-1,MONTH($A903),DAY($A903)),$A:$A,0))-1),"")</f>
        <v/>
      </c>
      <c r="K903" s="19">
        <f>IFERROR(IF(OR(F903="",INDEX(F:F,MATCH(DATE(YEAR($A903)-1,MONTH($A903),DAY($A903)),$A:$A,0))=""),"",F903/INDEX(F:F,MATCH(DATE(YEAR($A903)-1,MONTH($A903),DAY($A903)),$A:$A,0))-1),"")</f>
        <v/>
      </c>
      <c r="L903" s="19">
        <f>IFERROR(IF(OR(G903="",INDEX(G:G,MATCH(DATE(YEAR($A903)-1,MONTH($A903),DAY($A903)),$A:$A,0))=""),"",G903/INDEX(G:G,MATCH(DATE(YEAR($A903)-1,MONTH($A903),DAY($A903)),$A:$A,0))-1),"")</f>
        <v/>
      </c>
      <c r="M903" s="19">
        <f>IF(OR(E903="",E902=""),"",E903/E902-1)</f>
        <v/>
      </c>
      <c r="N903" s="19">
        <f>IF(OR(F903="",F902=""),"",F903/F902-1)</f>
        <v/>
      </c>
      <c r="O903" s="19">
        <f>IF(OR(G903="",G902=""),"",G903/G902-1)</f>
        <v/>
      </c>
      <c r="P903" s="22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IF(R903="","",P903/R903)</f>
        <v/>
      </c>
      <c r="T903" s="23">
        <f>IF(R903="","",Q903/R903)</f>
        <v/>
      </c>
      <c r="U903" s="24">
        <f>IF(SUMIFS('Daily NSE Equity Options'!$M:$M,'Daily NSE Equity Options'!$A:$A,$A903)=0,"",SUMIFS('Daily NSE Equity Options'!$M:$M,'Daily NSE Equity Options'!$A:$A,$A903))</f>
        <v/>
      </c>
      <c r="V903" s="9">
        <f>IF(SUMIFS('Daily BSE Equity Options'!$M:$M,'Daily BSE Equity Options'!$A:$A,$A903)=0,"",SUMIFS('Daily BSE Equity Options'!$M:$M,'Daily BSE Equity Options'!$A:$A,$A903))</f>
        <v/>
      </c>
      <c r="W903" s="9">
        <f>IF(OR(U903="",V903=""),"",U903+V903)</f>
        <v/>
      </c>
      <c r="X903" s="25">
        <f>IF(W903="","",U903/W903)</f>
        <v/>
      </c>
      <c r="Y903" s="25">
        <f>IF(W903="","",V903/W903)</f>
        <v/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19">
        <f>IF(G904="","",E904/G904)</f>
        <v/>
      </c>
      <c r="I904" s="19">
        <f>IF(G904="","",F904/G904)</f>
        <v/>
      </c>
      <c r="J904" s="26">
        <f>IFERROR(IF(OR(E904="",INDEX(E:E,MATCH(DATE(YEAR($A904)-1,MONTH($A904),DAY($A904)),$A:$A,0))=""),"",E904/INDEX(E:E,MATCH(DATE(YEAR($A904)-1,MONTH($A904),DAY($A904)),$A:$A,0))-1),"")</f>
        <v/>
      </c>
      <c r="K904" s="19">
        <f>IFERROR(IF(OR(F904="",INDEX(F:F,MATCH(DATE(YEAR($A904)-1,MONTH($A904),DAY($A904)),$A:$A,0))=""),"",F904/INDEX(F:F,MATCH(DATE(YEAR($A904)-1,MONTH($A904),DAY($A904)),$A:$A,0))-1),"")</f>
        <v/>
      </c>
      <c r="L904" s="19">
        <f>IFERROR(IF(OR(G904="",INDEX(G:G,MATCH(DATE(YEAR($A904)-1,MONTH($A904),DAY($A904)),$A:$A,0))=""),"",G904/INDEX(G:G,MATCH(DATE(YEAR($A904)-1,MONTH($A904),DAY($A904)),$A:$A,0))-1),"")</f>
        <v/>
      </c>
      <c r="M904" s="19">
        <f>IF(OR(E904="",E903=""),"",E904/E903-1)</f>
        <v/>
      </c>
      <c r="N904" s="19">
        <f>IF(OR(F904="",F903=""),"",F904/F903-1)</f>
        <v/>
      </c>
      <c r="O904" s="19">
        <f>IF(OR(G904="",G903=""),"",G904/G903-1)</f>
        <v/>
      </c>
      <c r="P904" s="22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IF(R904="","",P904/R904)</f>
        <v/>
      </c>
      <c r="T904" s="23">
        <f>IF(R904="","",Q904/R904)</f>
        <v/>
      </c>
      <c r="U904" s="24">
        <f>IF(SUMIFS('Daily NSE Equity Options'!$M:$M,'Daily NSE Equity Options'!$A:$A,$A904)=0,"",SUMIFS('Daily NSE Equity Options'!$M:$M,'Daily NSE Equity Options'!$A:$A,$A904))</f>
        <v/>
      </c>
      <c r="V904" s="9">
        <f>IF(SUMIFS('Daily BSE Equity Options'!$M:$M,'Daily BSE Equity Options'!$A:$A,$A904)=0,"",SUMIFS('Daily BSE Equity Options'!$M:$M,'Daily BSE Equity Options'!$A:$A,$A904))</f>
        <v/>
      </c>
      <c r="W904" s="9">
        <f>IF(OR(U904="",V904=""),"",U904+V904)</f>
        <v/>
      </c>
      <c r="X904" s="25">
        <f>IF(W904="","",U904/W904)</f>
        <v/>
      </c>
      <c r="Y904" s="25">
        <f>IF(W904="","",V904/W904)</f>
        <v/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19">
        <f>IF(G905="","",E905/G905)</f>
        <v/>
      </c>
      <c r="I905" s="19">
        <f>IF(G905="","",F905/G905)</f>
        <v/>
      </c>
      <c r="J905" s="26">
        <f>IFERROR(IF(OR(E905="",INDEX(E:E,MATCH(DATE(YEAR($A905)-1,MONTH($A905),DAY($A905)),$A:$A,0))=""),"",E905/INDEX(E:E,MATCH(DATE(YEAR($A905)-1,MONTH($A905),DAY($A905)),$A:$A,0))-1),"")</f>
        <v/>
      </c>
      <c r="K905" s="19">
        <f>IFERROR(IF(OR(F905="",INDEX(F:F,MATCH(DATE(YEAR($A905)-1,MONTH($A905),DAY($A905)),$A:$A,0))=""),"",F905/INDEX(F:F,MATCH(DATE(YEAR($A905)-1,MONTH($A905),DAY($A905)),$A:$A,0))-1),"")</f>
        <v/>
      </c>
      <c r="L905" s="19">
        <f>IFERROR(IF(OR(G905="",INDEX(G:G,MATCH(DATE(YEAR($A905)-1,MONTH($A905),DAY($A905)),$A:$A,0))=""),"",G905/INDEX(G:G,MATCH(DATE(YEAR($A905)-1,MONTH($A905),DAY($A905)),$A:$A,0))-1),"")</f>
        <v/>
      </c>
      <c r="M905" s="19">
        <f>IF(OR(E905="",E904=""),"",E905/E904-1)</f>
        <v/>
      </c>
      <c r="N905" s="19">
        <f>IF(OR(F905="",F904=""),"",F905/F904-1)</f>
        <v/>
      </c>
      <c r="O905" s="19">
        <f>IF(OR(G905="",G904=""),"",G905/G904-1)</f>
        <v/>
      </c>
      <c r="P905" s="22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IF(R905="","",P905/R905)</f>
        <v/>
      </c>
      <c r="T905" s="23">
        <f>IF(R905="","",Q905/R905)</f>
        <v/>
      </c>
      <c r="U905" s="24">
        <f>IF(SUMIFS('Daily NSE Equity Options'!$M:$M,'Daily NSE Equity Options'!$A:$A,$A905)=0,"",SUMIFS('Daily NSE Equity Options'!$M:$M,'Daily NSE Equity Options'!$A:$A,$A905))</f>
        <v/>
      </c>
      <c r="V905" s="9">
        <f>IF(SUMIFS('Daily BSE Equity Options'!$M:$M,'Daily BSE Equity Options'!$A:$A,$A905)=0,"",SUMIFS('Daily BSE Equity Options'!$M:$M,'Daily BSE Equity Options'!$A:$A,$A905))</f>
        <v/>
      </c>
      <c r="W905" s="9">
        <f>IF(OR(U905="",V905=""),"",U905+V905)</f>
        <v/>
      </c>
      <c r="X905" s="25">
        <f>IF(W905="","",U905/W905)</f>
        <v/>
      </c>
      <c r="Y905" s="25">
        <f>IF(W905="","",V905/W905)</f>
        <v/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19">
        <f>IF(G906="","",E906/G906)</f>
        <v/>
      </c>
      <c r="I906" s="19">
        <f>IF(G906="","",F906/G906)</f>
        <v/>
      </c>
      <c r="J906" s="26">
        <f>IFERROR(IF(OR(E906="",INDEX(E:E,MATCH(DATE(YEAR($A906)-1,MONTH($A906),DAY($A906)),$A:$A,0))=""),"",E906/INDEX(E:E,MATCH(DATE(YEAR($A906)-1,MONTH($A906),DAY($A906)),$A:$A,0))-1),"")</f>
        <v/>
      </c>
      <c r="K906" s="19">
        <f>IFERROR(IF(OR(F906="",INDEX(F:F,MATCH(DATE(YEAR($A906)-1,MONTH($A906),DAY($A906)),$A:$A,0))=""),"",F906/INDEX(F:F,MATCH(DATE(YEAR($A906)-1,MONTH($A906),DAY($A906)),$A:$A,0))-1),"")</f>
        <v/>
      </c>
      <c r="L906" s="19">
        <f>IFERROR(IF(OR(G906="",INDEX(G:G,MATCH(DATE(YEAR($A906)-1,MONTH($A906),DAY($A906)),$A:$A,0))=""),"",G906/INDEX(G:G,MATCH(DATE(YEAR($A906)-1,MONTH($A906),DAY($A906)),$A:$A,0))-1),"")</f>
        <v/>
      </c>
      <c r="M906" s="19">
        <f>IF(OR(E906="",E905=""),"",E906/E905-1)</f>
        <v/>
      </c>
      <c r="N906" s="19">
        <f>IF(OR(F906="",F905=""),"",F906/F905-1)</f>
        <v/>
      </c>
      <c r="O906" s="19">
        <f>IF(OR(G906="",G905=""),"",G906/G905-1)</f>
        <v/>
      </c>
      <c r="P906" s="22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IF(R906="","",P906/R906)</f>
        <v/>
      </c>
      <c r="T906" s="23">
        <f>IF(R906="","",Q906/R906)</f>
        <v/>
      </c>
      <c r="U906" s="24">
        <f>IF(SUMIFS('Daily NSE Equity Options'!$M:$M,'Daily NSE Equity Options'!$A:$A,$A906)=0,"",SUMIFS('Daily NSE Equity Options'!$M:$M,'Daily NSE Equity Options'!$A:$A,$A906))</f>
        <v/>
      </c>
      <c r="V906" s="9">
        <f>IF(SUMIFS('Daily BSE Equity Options'!$M:$M,'Daily BSE Equity Options'!$A:$A,$A906)=0,"",SUMIFS('Daily BSE Equity Options'!$M:$M,'Daily BSE Equity Options'!$A:$A,$A906))</f>
        <v/>
      </c>
      <c r="W906" s="9">
        <f>IF(OR(U906="",V906=""),"",U906+V906)</f>
        <v/>
      </c>
      <c r="X906" s="25">
        <f>IF(W906="","",U906/W906)</f>
        <v/>
      </c>
      <c r="Y906" s="25">
        <f>IF(W906="","",V906/W906)</f>
        <v/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19">
        <f>IF(G907="","",E907/G907)</f>
        <v/>
      </c>
      <c r="I907" s="19">
        <f>IF(G907="","",F907/G907)</f>
        <v/>
      </c>
      <c r="J907" s="26">
        <f>IFERROR(IF(OR(E907="",INDEX(E:E,MATCH(DATE(YEAR($A907)-1,MONTH($A907),DAY($A907)),$A:$A,0))=""),"",E907/INDEX(E:E,MATCH(DATE(YEAR($A907)-1,MONTH($A907),DAY($A907)),$A:$A,0))-1),"")</f>
        <v/>
      </c>
      <c r="K907" s="19">
        <f>IFERROR(IF(OR(F907="",INDEX(F:F,MATCH(DATE(YEAR($A907)-1,MONTH($A907),DAY($A907)),$A:$A,0))=""),"",F907/INDEX(F:F,MATCH(DATE(YEAR($A907)-1,MONTH($A907),DAY($A907)),$A:$A,0))-1),"")</f>
        <v/>
      </c>
      <c r="L907" s="19">
        <f>IFERROR(IF(OR(G907="",INDEX(G:G,MATCH(DATE(YEAR($A907)-1,MONTH($A907),DAY($A907)),$A:$A,0))=""),"",G907/INDEX(G:G,MATCH(DATE(YEAR($A907)-1,MONTH($A907),DAY($A907)),$A:$A,0))-1),"")</f>
        <v/>
      </c>
      <c r="M907" s="19">
        <f>IF(OR(E907="",E906=""),"",E907/E906-1)</f>
        <v/>
      </c>
      <c r="N907" s="19">
        <f>IF(OR(F907="",F906=""),"",F907/F906-1)</f>
        <v/>
      </c>
      <c r="O907" s="19">
        <f>IF(OR(G907="",G906=""),"",G907/G906-1)</f>
        <v/>
      </c>
      <c r="P907" s="22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IF(R907="","",P907/R907)</f>
        <v/>
      </c>
      <c r="T907" s="23">
        <f>IF(R907="","",Q907/R907)</f>
        <v/>
      </c>
      <c r="U907" s="24">
        <f>IF(SUMIFS('Daily NSE Equity Options'!$M:$M,'Daily NSE Equity Options'!$A:$A,$A907)=0,"",SUMIFS('Daily NSE Equity Options'!$M:$M,'Daily NSE Equity Options'!$A:$A,$A907))</f>
        <v/>
      </c>
      <c r="V907" s="9">
        <f>IF(SUMIFS('Daily BSE Equity Options'!$M:$M,'Daily BSE Equity Options'!$A:$A,$A907)=0,"",SUMIFS('Daily BSE Equity Options'!$M:$M,'Daily BSE Equity Options'!$A:$A,$A907))</f>
        <v/>
      </c>
      <c r="W907" s="9">
        <f>IF(OR(U907="",V907=""),"",U907+V907)</f>
        <v/>
      </c>
      <c r="X907" s="25">
        <f>IF(W907="","",U907/W907)</f>
        <v/>
      </c>
      <c r="Y907" s="25">
        <f>IF(W907="","",V907/W907)</f>
        <v/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19">
        <f>IF(G908="","",E908/G908)</f>
        <v/>
      </c>
      <c r="I908" s="19">
        <f>IF(G908="","",F908/G908)</f>
        <v/>
      </c>
      <c r="J908" s="26">
        <f>IFERROR(IF(OR(E908="",INDEX(E:E,MATCH(DATE(YEAR($A908)-1,MONTH($A908),DAY($A908)),$A:$A,0))=""),"",E908/INDEX(E:E,MATCH(DATE(YEAR($A908)-1,MONTH($A908),DAY($A908)),$A:$A,0))-1),"")</f>
        <v/>
      </c>
      <c r="K908" s="19">
        <f>IFERROR(IF(OR(F908="",INDEX(F:F,MATCH(DATE(YEAR($A908)-1,MONTH($A908),DAY($A908)),$A:$A,0))=""),"",F908/INDEX(F:F,MATCH(DATE(YEAR($A908)-1,MONTH($A908),DAY($A908)),$A:$A,0))-1),"")</f>
        <v/>
      </c>
      <c r="L908" s="19">
        <f>IFERROR(IF(OR(G908="",INDEX(G:G,MATCH(DATE(YEAR($A908)-1,MONTH($A908),DAY($A908)),$A:$A,0))=""),"",G908/INDEX(G:G,MATCH(DATE(YEAR($A908)-1,MONTH($A908),DAY($A908)),$A:$A,0))-1),"")</f>
        <v/>
      </c>
      <c r="M908" s="19">
        <f>IF(OR(E908="",E907=""),"",E908/E907-1)</f>
        <v/>
      </c>
      <c r="N908" s="19">
        <f>IF(OR(F908="",F907=""),"",F908/F907-1)</f>
        <v/>
      </c>
      <c r="O908" s="19">
        <f>IF(OR(G908="",G907=""),"",G908/G907-1)</f>
        <v/>
      </c>
      <c r="P908" s="22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IF(R908="","",P908/R908)</f>
        <v/>
      </c>
      <c r="T908" s="23">
        <f>IF(R908="","",Q908/R908)</f>
        <v/>
      </c>
      <c r="U908" s="24">
        <f>IF(SUMIFS('Daily NSE Equity Options'!$M:$M,'Daily NSE Equity Options'!$A:$A,$A908)=0,"",SUMIFS('Daily NSE Equity Options'!$M:$M,'Daily NSE Equity Options'!$A:$A,$A908))</f>
        <v/>
      </c>
      <c r="V908" s="9">
        <f>IF(SUMIFS('Daily BSE Equity Options'!$M:$M,'Daily BSE Equity Options'!$A:$A,$A908)=0,"",SUMIFS('Daily BSE Equity Options'!$M:$M,'Daily BSE Equity Options'!$A:$A,$A908))</f>
        <v/>
      </c>
      <c r="W908" s="9">
        <f>IF(OR(U908="",V908=""),"",U908+V908)</f>
        <v/>
      </c>
      <c r="X908" s="25">
        <f>IF(W908="","",U908/W908)</f>
        <v/>
      </c>
      <c r="Y908" s="25">
        <f>IF(W908="","",V908/W908)</f>
        <v/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19">
        <f>IF(G909="","",E909/G909)</f>
        <v/>
      </c>
      <c r="I909" s="19">
        <f>IF(G909="","",F909/G909)</f>
        <v/>
      </c>
      <c r="J909" s="26">
        <f>IFERROR(IF(OR(E909="",INDEX(E:E,MATCH(DATE(YEAR($A909)-1,MONTH($A909),DAY($A909)),$A:$A,0))=""),"",E909/INDEX(E:E,MATCH(DATE(YEAR($A909)-1,MONTH($A909),DAY($A909)),$A:$A,0))-1),"")</f>
        <v/>
      </c>
      <c r="K909" s="19">
        <f>IFERROR(IF(OR(F909="",INDEX(F:F,MATCH(DATE(YEAR($A909)-1,MONTH($A909),DAY($A909)),$A:$A,0))=""),"",F909/INDEX(F:F,MATCH(DATE(YEAR($A909)-1,MONTH($A909),DAY($A909)),$A:$A,0))-1),"")</f>
        <v/>
      </c>
      <c r="L909" s="19">
        <f>IFERROR(IF(OR(G909="",INDEX(G:G,MATCH(DATE(YEAR($A909)-1,MONTH($A909),DAY($A909)),$A:$A,0))=""),"",G909/INDEX(G:G,MATCH(DATE(YEAR($A909)-1,MONTH($A909),DAY($A909)),$A:$A,0))-1),"")</f>
        <v/>
      </c>
      <c r="M909" s="19">
        <f>IF(OR(E909="",E908=""),"",E909/E908-1)</f>
        <v/>
      </c>
      <c r="N909" s="19">
        <f>IF(OR(F909="",F908=""),"",F909/F908-1)</f>
        <v/>
      </c>
      <c r="O909" s="19">
        <f>IF(OR(G909="",G908=""),"",G909/G908-1)</f>
        <v/>
      </c>
      <c r="P909" s="22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IF(R909="","",P909/R909)</f>
        <v/>
      </c>
      <c r="T909" s="23">
        <f>IF(R909="","",Q909/R909)</f>
        <v/>
      </c>
      <c r="U909" s="24">
        <f>IF(SUMIFS('Daily NSE Equity Options'!$M:$M,'Daily NSE Equity Options'!$A:$A,$A909)=0,"",SUMIFS('Daily NSE Equity Options'!$M:$M,'Daily NSE Equity Options'!$A:$A,$A909))</f>
        <v/>
      </c>
      <c r="V909" s="9">
        <f>IF(SUMIFS('Daily BSE Equity Options'!$M:$M,'Daily BSE Equity Options'!$A:$A,$A909)=0,"",SUMIFS('Daily BSE Equity Options'!$M:$M,'Daily BSE Equity Options'!$A:$A,$A909))</f>
        <v/>
      </c>
      <c r="W909" s="9">
        <f>IF(OR(U909="",V909=""),"",U909+V909)</f>
        <v/>
      </c>
      <c r="X909" s="25">
        <f>IF(W909="","",U909/W909)</f>
        <v/>
      </c>
      <c r="Y909" s="25">
        <f>IF(W909="","",V909/W909)</f>
        <v/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19">
        <f>IF(G910="","",E910/G910)</f>
        <v/>
      </c>
      <c r="I910" s="19">
        <f>IF(G910="","",F910/G910)</f>
        <v/>
      </c>
      <c r="J910" s="26">
        <f>IFERROR(IF(OR(E910="",INDEX(E:E,MATCH(DATE(YEAR($A910)-1,MONTH($A910),DAY($A910)),$A:$A,0))=""),"",E910/INDEX(E:E,MATCH(DATE(YEAR($A910)-1,MONTH($A910),DAY($A910)),$A:$A,0))-1),"")</f>
        <v/>
      </c>
      <c r="K910" s="19">
        <f>IFERROR(IF(OR(F910="",INDEX(F:F,MATCH(DATE(YEAR($A910)-1,MONTH($A910),DAY($A910)),$A:$A,0))=""),"",F910/INDEX(F:F,MATCH(DATE(YEAR($A910)-1,MONTH($A910),DAY($A910)),$A:$A,0))-1),"")</f>
        <v/>
      </c>
      <c r="L910" s="19">
        <f>IFERROR(IF(OR(G910="",INDEX(G:G,MATCH(DATE(YEAR($A910)-1,MONTH($A910),DAY($A910)),$A:$A,0))=""),"",G910/INDEX(G:G,MATCH(DATE(YEAR($A910)-1,MONTH($A910),DAY($A910)),$A:$A,0))-1),"")</f>
        <v/>
      </c>
      <c r="M910" s="19">
        <f>IF(OR(E910="",E909=""),"",E910/E909-1)</f>
        <v/>
      </c>
      <c r="N910" s="19">
        <f>IF(OR(F910="",F909=""),"",F910/F909-1)</f>
        <v/>
      </c>
      <c r="O910" s="19">
        <f>IF(OR(G910="",G909=""),"",G910/G909-1)</f>
        <v/>
      </c>
      <c r="P910" s="22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IF(R910="","",P910/R910)</f>
        <v/>
      </c>
      <c r="T910" s="23">
        <f>IF(R910="","",Q910/R910)</f>
        <v/>
      </c>
      <c r="U910" s="24">
        <f>IF(SUMIFS('Daily NSE Equity Options'!$M:$M,'Daily NSE Equity Options'!$A:$A,$A910)=0,"",SUMIFS('Daily NSE Equity Options'!$M:$M,'Daily NSE Equity Options'!$A:$A,$A910))</f>
        <v/>
      </c>
      <c r="V910" s="9">
        <f>IF(SUMIFS('Daily BSE Equity Options'!$M:$M,'Daily BSE Equity Options'!$A:$A,$A910)=0,"",SUMIFS('Daily BSE Equity Options'!$M:$M,'Daily BSE Equity Options'!$A:$A,$A910))</f>
        <v/>
      </c>
      <c r="W910" s="9">
        <f>IF(OR(U910="",V910=""),"",U910+V910)</f>
        <v/>
      </c>
      <c r="X910" s="25">
        <f>IF(W910="","",U910/W910)</f>
        <v/>
      </c>
      <c r="Y910" s="25">
        <f>IF(W910="","",V910/W910)</f>
        <v/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19">
        <f>IF(G911="","",E911/G911)</f>
        <v/>
      </c>
      <c r="I911" s="19">
        <f>IF(G911="","",F911/G911)</f>
        <v/>
      </c>
      <c r="J911" s="26">
        <f>IFERROR(IF(OR(E911="",INDEX(E:E,MATCH(DATE(YEAR($A911)-1,MONTH($A911),DAY($A911)),$A:$A,0))=""),"",E911/INDEX(E:E,MATCH(DATE(YEAR($A911)-1,MONTH($A911),DAY($A911)),$A:$A,0))-1),"")</f>
        <v/>
      </c>
      <c r="K911" s="19">
        <f>IFERROR(IF(OR(F911="",INDEX(F:F,MATCH(DATE(YEAR($A911)-1,MONTH($A911),DAY($A911)),$A:$A,0))=""),"",F911/INDEX(F:F,MATCH(DATE(YEAR($A911)-1,MONTH($A911),DAY($A911)),$A:$A,0))-1),"")</f>
        <v/>
      </c>
      <c r="L911" s="19">
        <f>IFERROR(IF(OR(G911="",INDEX(G:G,MATCH(DATE(YEAR($A911)-1,MONTH($A911),DAY($A911)),$A:$A,0))=""),"",G911/INDEX(G:G,MATCH(DATE(YEAR($A911)-1,MONTH($A911),DAY($A911)),$A:$A,0))-1),"")</f>
        <v/>
      </c>
      <c r="M911" s="19">
        <f>IF(OR(E911="",E910=""),"",E911/E910-1)</f>
        <v/>
      </c>
      <c r="N911" s="19">
        <f>IF(OR(F911="",F910=""),"",F911/F910-1)</f>
        <v/>
      </c>
      <c r="O911" s="19">
        <f>IF(OR(G911="",G910=""),"",G911/G910-1)</f>
        <v/>
      </c>
      <c r="P911" s="22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IF(R911="","",P911/R911)</f>
        <v/>
      </c>
      <c r="T911" s="23">
        <f>IF(R911="","",Q911/R911)</f>
        <v/>
      </c>
      <c r="U911" s="24">
        <f>IF(SUMIFS('Daily NSE Equity Options'!$M:$M,'Daily NSE Equity Options'!$A:$A,$A911)=0,"",SUMIFS('Daily NSE Equity Options'!$M:$M,'Daily NSE Equity Options'!$A:$A,$A911))</f>
        <v/>
      </c>
      <c r="V911" s="9">
        <f>IF(SUMIFS('Daily BSE Equity Options'!$M:$M,'Daily BSE Equity Options'!$A:$A,$A911)=0,"",SUMIFS('Daily BSE Equity Options'!$M:$M,'Daily BSE Equity Options'!$A:$A,$A911))</f>
        <v/>
      </c>
      <c r="W911" s="9">
        <f>IF(OR(U911="",V911=""),"",U911+V911)</f>
        <v/>
      </c>
      <c r="X911" s="25">
        <f>IF(W911="","",U911/W911)</f>
        <v/>
      </c>
      <c r="Y911" s="25">
        <f>IF(W911="","",V911/W911)</f>
        <v/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19">
        <f>IF(G912="","",E912/G912)</f>
        <v/>
      </c>
      <c r="I912" s="19">
        <f>IF(G912="","",F912/G912)</f>
        <v/>
      </c>
      <c r="J912" s="26">
        <f>IFERROR(IF(OR(E912="",INDEX(E:E,MATCH(DATE(YEAR($A912)-1,MONTH($A912),DAY($A912)),$A:$A,0))=""),"",E912/INDEX(E:E,MATCH(DATE(YEAR($A912)-1,MONTH($A912),DAY($A912)),$A:$A,0))-1),"")</f>
        <v/>
      </c>
      <c r="K912" s="19">
        <f>IFERROR(IF(OR(F912="",INDEX(F:F,MATCH(DATE(YEAR($A912)-1,MONTH($A912),DAY($A912)),$A:$A,0))=""),"",F912/INDEX(F:F,MATCH(DATE(YEAR($A912)-1,MONTH($A912),DAY($A912)),$A:$A,0))-1),"")</f>
        <v/>
      </c>
      <c r="L912" s="19">
        <f>IFERROR(IF(OR(G912="",INDEX(G:G,MATCH(DATE(YEAR($A912)-1,MONTH($A912),DAY($A912)),$A:$A,0))=""),"",G912/INDEX(G:G,MATCH(DATE(YEAR($A912)-1,MONTH($A912),DAY($A912)),$A:$A,0))-1),"")</f>
        <v/>
      </c>
      <c r="M912" s="19">
        <f>IF(OR(E912="",E911=""),"",E912/E911-1)</f>
        <v/>
      </c>
      <c r="N912" s="19">
        <f>IF(OR(F912="",F911=""),"",F912/F911-1)</f>
        <v/>
      </c>
      <c r="O912" s="19">
        <f>IF(OR(G912="",G911=""),"",G912/G911-1)</f>
        <v/>
      </c>
      <c r="P912" s="22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IF(R912="","",P912/R912)</f>
        <v/>
      </c>
      <c r="T912" s="23">
        <f>IF(R912="","",Q912/R912)</f>
        <v/>
      </c>
      <c r="U912" s="24">
        <f>IF(SUMIFS('Daily NSE Equity Options'!$M:$M,'Daily NSE Equity Options'!$A:$A,$A912)=0,"",SUMIFS('Daily NSE Equity Options'!$M:$M,'Daily NSE Equity Options'!$A:$A,$A912))</f>
        <v/>
      </c>
      <c r="V912" s="9">
        <f>IF(SUMIFS('Daily BSE Equity Options'!$M:$M,'Daily BSE Equity Options'!$A:$A,$A912)=0,"",SUMIFS('Daily BSE Equity Options'!$M:$M,'Daily BSE Equity Options'!$A:$A,$A912))</f>
        <v/>
      </c>
      <c r="W912" s="9">
        <f>IF(OR(U912="",V912=""),"",U912+V912)</f>
        <v/>
      </c>
      <c r="X912" s="25">
        <f>IF(W912="","",U912/W912)</f>
        <v/>
      </c>
      <c r="Y912" s="25">
        <f>IF(W912="","",V912/W912)</f>
        <v/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19">
        <f>IF(G913="","",E913/G913)</f>
        <v/>
      </c>
      <c r="I913" s="19">
        <f>IF(G913="","",F913/G913)</f>
        <v/>
      </c>
      <c r="J913" s="26">
        <f>IFERROR(IF(OR(E913="",INDEX(E:E,MATCH(DATE(YEAR($A913)-1,MONTH($A913),DAY($A913)),$A:$A,0))=""),"",E913/INDEX(E:E,MATCH(DATE(YEAR($A913)-1,MONTH($A913),DAY($A913)),$A:$A,0))-1),"")</f>
        <v/>
      </c>
      <c r="K913" s="19">
        <f>IFERROR(IF(OR(F913="",INDEX(F:F,MATCH(DATE(YEAR($A913)-1,MONTH($A913),DAY($A913)),$A:$A,0))=""),"",F913/INDEX(F:F,MATCH(DATE(YEAR($A913)-1,MONTH($A913),DAY($A913)),$A:$A,0))-1),"")</f>
        <v/>
      </c>
      <c r="L913" s="19">
        <f>IFERROR(IF(OR(G913="",INDEX(G:G,MATCH(DATE(YEAR($A913)-1,MONTH($A913),DAY($A913)),$A:$A,0))=""),"",G913/INDEX(G:G,MATCH(DATE(YEAR($A913)-1,MONTH($A913),DAY($A913)),$A:$A,0))-1),"")</f>
        <v/>
      </c>
      <c r="M913" s="19">
        <f>IF(OR(E913="",E912=""),"",E913/E912-1)</f>
        <v/>
      </c>
      <c r="N913" s="19">
        <f>IF(OR(F913="",F912=""),"",F913/F912-1)</f>
        <v/>
      </c>
      <c r="O913" s="19">
        <f>IF(OR(G913="",G912=""),"",G913/G912-1)</f>
        <v/>
      </c>
      <c r="P913" s="22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IF(R913="","",P913/R913)</f>
        <v/>
      </c>
      <c r="T913" s="23">
        <f>IF(R913="","",Q913/R913)</f>
        <v/>
      </c>
      <c r="U913" s="24">
        <f>IF(SUMIFS('Daily NSE Equity Options'!$M:$M,'Daily NSE Equity Options'!$A:$A,$A913)=0,"",SUMIFS('Daily NSE Equity Options'!$M:$M,'Daily NSE Equity Options'!$A:$A,$A913))</f>
        <v/>
      </c>
      <c r="V913" s="9">
        <f>IF(SUMIFS('Daily BSE Equity Options'!$M:$M,'Daily BSE Equity Options'!$A:$A,$A913)=0,"",SUMIFS('Daily BSE Equity Options'!$M:$M,'Daily BSE Equity Options'!$A:$A,$A913))</f>
        <v/>
      </c>
      <c r="W913" s="9">
        <f>IF(OR(U913="",V913=""),"",U913+V913)</f>
        <v/>
      </c>
      <c r="X913" s="25">
        <f>IF(W913="","",U913/W913)</f>
        <v/>
      </c>
      <c r="Y913" s="25">
        <f>IF(W913="","",V913/W913)</f>
        <v/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19">
        <f>IF(G914="","",E914/G914)</f>
        <v/>
      </c>
      <c r="I914" s="19">
        <f>IF(G914="","",F914/G914)</f>
        <v/>
      </c>
      <c r="J914" s="26">
        <f>IFERROR(IF(OR(E914="",INDEX(E:E,MATCH(DATE(YEAR($A914)-1,MONTH($A914),DAY($A914)),$A:$A,0))=""),"",E914/INDEX(E:E,MATCH(DATE(YEAR($A914)-1,MONTH($A914),DAY($A914)),$A:$A,0))-1),"")</f>
        <v/>
      </c>
      <c r="K914" s="19">
        <f>IFERROR(IF(OR(F914="",INDEX(F:F,MATCH(DATE(YEAR($A914)-1,MONTH($A914),DAY($A914)),$A:$A,0))=""),"",F914/INDEX(F:F,MATCH(DATE(YEAR($A914)-1,MONTH($A914),DAY($A914)),$A:$A,0))-1),"")</f>
        <v/>
      </c>
      <c r="L914" s="19">
        <f>IFERROR(IF(OR(G914="",INDEX(G:G,MATCH(DATE(YEAR($A914)-1,MONTH($A914),DAY($A914)),$A:$A,0))=""),"",G914/INDEX(G:G,MATCH(DATE(YEAR($A914)-1,MONTH($A914),DAY($A914)),$A:$A,0))-1),"")</f>
        <v/>
      </c>
      <c r="M914" s="19">
        <f>IF(OR(E914="",E913=""),"",E914/E913-1)</f>
        <v/>
      </c>
      <c r="N914" s="19">
        <f>IF(OR(F914="",F913=""),"",F914/F913-1)</f>
        <v/>
      </c>
      <c r="O914" s="19">
        <f>IF(OR(G914="",G913=""),"",G914/G913-1)</f>
        <v/>
      </c>
      <c r="P914" s="22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IF(R914="","",P914/R914)</f>
        <v/>
      </c>
      <c r="T914" s="23">
        <f>IF(R914="","",Q914/R914)</f>
        <v/>
      </c>
      <c r="U914" s="24">
        <f>IF(SUMIFS('Daily NSE Equity Options'!$M:$M,'Daily NSE Equity Options'!$A:$A,$A914)=0,"",SUMIFS('Daily NSE Equity Options'!$M:$M,'Daily NSE Equity Options'!$A:$A,$A914))</f>
        <v/>
      </c>
      <c r="V914" s="9">
        <f>IF(SUMIFS('Daily BSE Equity Options'!$M:$M,'Daily BSE Equity Options'!$A:$A,$A914)=0,"",SUMIFS('Daily BSE Equity Options'!$M:$M,'Daily BSE Equity Options'!$A:$A,$A914))</f>
        <v/>
      </c>
      <c r="W914" s="9">
        <f>IF(OR(U914="",V914=""),"",U914+V914)</f>
        <v/>
      </c>
      <c r="X914" s="25">
        <f>IF(W914="","",U914/W914)</f>
        <v/>
      </c>
      <c r="Y914" s="25">
        <f>IF(W914="","",V914/W914)</f>
        <v/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19">
        <f>IF(G915="","",E915/G915)</f>
        <v/>
      </c>
      <c r="I915" s="19">
        <f>IF(G915="","",F915/G915)</f>
        <v/>
      </c>
      <c r="J915" s="26">
        <f>IFERROR(IF(OR(E915="",INDEX(E:E,MATCH(DATE(YEAR($A915)-1,MONTH($A915),DAY($A915)),$A:$A,0))=""),"",E915/INDEX(E:E,MATCH(DATE(YEAR($A915)-1,MONTH($A915),DAY($A915)),$A:$A,0))-1),"")</f>
        <v/>
      </c>
      <c r="K915" s="19">
        <f>IFERROR(IF(OR(F915="",INDEX(F:F,MATCH(DATE(YEAR($A915)-1,MONTH($A915),DAY($A915)),$A:$A,0))=""),"",F915/INDEX(F:F,MATCH(DATE(YEAR($A915)-1,MONTH($A915),DAY($A915)),$A:$A,0))-1),"")</f>
        <v/>
      </c>
      <c r="L915" s="19">
        <f>IFERROR(IF(OR(G915="",INDEX(G:G,MATCH(DATE(YEAR($A915)-1,MONTH($A915),DAY($A915)),$A:$A,0))=""),"",G915/INDEX(G:G,MATCH(DATE(YEAR($A915)-1,MONTH($A915),DAY($A915)),$A:$A,0))-1),"")</f>
        <v/>
      </c>
      <c r="M915" s="19">
        <f>IF(OR(E915="",E914=""),"",E915/E914-1)</f>
        <v/>
      </c>
      <c r="N915" s="19">
        <f>IF(OR(F915="",F914=""),"",F915/F914-1)</f>
        <v/>
      </c>
      <c r="O915" s="19">
        <f>IF(OR(G915="",G914=""),"",G915/G914-1)</f>
        <v/>
      </c>
      <c r="P915" s="22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IF(R915="","",P915/R915)</f>
        <v/>
      </c>
      <c r="T915" s="23">
        <f>IF(R915="","",Q915/R915)</f>
        <v/>
      </c>
      <c r="U915" s="24">
        <f>IF(SUMIFS('Daily NSE Equity Options'!$M:$M,'Daily NSE Equity Options'!$A:$A,$A915)=0,"",SUMIFS('Daily NSE Equity Options'!$M:$M,'Daily NSE Equity Options'!$A:$A,$A915))</f>
        <v/>
      </c>
      <c r="V915" s="9">
        <f>IF(SUMIFS('Daily BSE Equity Options'!$M:$M,'Daily BSE Equity Options'!$A:$A,$A915)=0,"",SUMIFS('Daily BSE Equity Options'!$M:$M,'Daily BSE Equity Options'!$A:$A,$A915))</f>
        <v/>
      </c>
      <c r="W915" s="9">
        <f>IF(OR(U915="",V915=""),"",U915+V915)</f>
        <v/>
      </c>
      <c r="X915" s="25">
        <f>IF(W915="","",U915/W915)</f>
        <v/>
      </c>
      <c r="Y915" s="25">
        <f>IF(W915="","",V915/W915)</f>
        <v/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19">
        <f>IF(G916="","",E916/G916)</f>
        <v/>
      </c>
      <c r="I916" s="19">
        <f>IF(G916="","",F916/G916)</f>
        <v/>
      </c>
      <c r="J916" s="26">
        <f>IFERROR(IF(OR(E916="",INDEX(E:E,MATCH(DATE(YEAR($A916)-1,MONTH($A916),DAY($A916)),$A:$A,0))=""),"",E916/INDEX(E:E,MATCH(DATE(YEAR($A916)-1,MONTH($A916),DAY($A916)),$A:$A,0))-1),"")</f>
        <v/>
      </c>
      <c r="K916" s="19">
        <f>IFERROR(IF(OR(F916="",INDEX(F:F,MATCH(DATE(YEAR($A916)-1,MONTH($A916),DAY($A916)),$A:$A,0))=""),"",F916/INDEX(F:F,MATCH(DATE(YEAR($A916)-1,MONTH($A916),DAY($A916)),$A:$A,0))-1),"")</f>
        <v/>
      </c>
      <c r="L916" s="19">
        <f>IFERROR(IF(OR(G916="",INDEX(G:G,MATCH(DATE(YEAR($A916)-1,MONTH($A916),DAY($A916)),$A:$A,0))=""),"",G916/INDEX(G:G,MATCH(DATE(YEAR($A916)-1,MONTH($A916),DAY($A916)),$A:$A,0))-1),"")</f>
        <v/>
      </c>
      <c r="M916" s="19">
        <f>IF(OR(E916="",E915=""),"",E916/E915-1)</f>
        <v/>
      </c>
      <c r="N916" s="19">
        <f>IF(OR(F916="",F915=""),"",F916/F915-1)</f>
        <v/>
      </c>
      <c r="O916" s="19">
        <f>IF(OR(G916="",G915=""),"",G916/G915-1)</f>
        <v/>
      </c>
      <c r="P916" s="22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IF(R916="","",P916/R916)</f>
        <v/>
      </c>
      <c r="T916" s="23">
        <f>IF(R916="","",Q916/R916)</f>
        <v/>
      </c>
      <c r="U916" s="24">
        <f>IF(SUMIFS('Daily NSE Equity Options'!$M:$M,'Daily NSE Equity Options'!$A:$A,$A916)=0,"",SUMIFS('Daily NSE Equity Options'!$M:$M,'Daily NSE Equity Options'!$A:$A,$A916))</f>
        <v/>
      </c>
      <c r="V916" s="9">
        <f>IF(SUMIFS('Daily BSE Equity Options'!$M:$M,'Daily BSE Equity Options'!$A:$A,$A916)=0,"",SUMIFS('Daily BSE Equity Options'!$M:$M,'Daily BSE Equity Options'!$A:$A,$A916))</f>
        <v/>
      </c>
      <c r="W916" s="9">
        <f>IF(OR(U916="",V916=""),"",U916+V916)</f>
        <v/>
      </c>
      <c r="X916" s="25">
        <f>IF(W916="","",U916/W916)</f>
        <v/>
      </c>
      <c r="Y916" s="25">
        <f>IF(W916="","",V916/W916)</f>
        <v/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19">
        <f>IF(G917="","",E917/G917)</f>
        <v/>
      </c>
      <c r="I917" s="19">
        <f>IF(G917="","",F917/G917)</f>
        <v/>
      </c>
      <c r="J917" s="26">
        <f>IFERROR(IF(OR(E917="",INDEX(E:E,MATCH(DATE(YEAR($A917)-1,MONTH($A917),DAY($A917)),$A:$A,0))=""),"",E917/INDEX(E:E,MATCH(DATE(YEAR($A917)-1,MONTH($A917),DAY($A917)),$A:$A,0))-1),"")</f>
        <v/>
      </c>
      <c r="K917" s="19">
        <f>IFERROR(IF(OR(F917="",INDEX(F:F,MATCH(DATE(YEAR($A917)-1,MONTH($A917),DAY($A917)),$A:$A,0))=""),"",F917/INDEX(F:F,MATCH(DATE(YEAR($A917)-1,MONTH($A917),DAY($A917)),$A:$A,0))-1),"")</f>
        <v/>
      </c>
      <c r="L917" s="19">
        <f>IFERROR(IF(OR(G917="",INDEX(G:G,MATCH(DATE(YEAR($A917)-1,MONTH($A917),DAY($A917)),$A:$A,0))=""),"",G917/INDEX(G:G,MATCH(DATE(YEAR($A917)-1,MONTH($A917),DAY($A917)),$A:$A,0))-1),"")</f>
        <v/>
      </c>
      <c r="M917" s="19">
        <f>IF(OR(E917="",E916=""),"",E917/E916-1)</f>
        <v/>
      </c>
      <c r="N917" s="19">
        <f>IF(OR(F917="",F916=""),"",F917/F916-1)</f>
        <v/>
      </c>
      <c r="O917" s="19">
        <f>IF(OR(G917="",G916=""),"",G917/G916-1)</f>
        <v/>
      </c>
      <c r="P917" s="22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IF(R917="","",P917/R917)</f>
        <v/>
      </c>
      <c r="T917" s="23">
        <f>IF(R917="","",Q917/R917)</f>
        <v/>
      </c>
      <c r="U917" s="24">
        <f>IF(SUMIFS('Daily NSE Equity Options'!$M:$M,'Daily NSE Equity Options'!$A:$A,$A917)=0,"",SUMIFS('Daily NSE Equity Options'!$M:$M,'Daily NSE Equity Options'!$A:$A,$A917))</f>
        <v/>
      </c>
      <c r="V917" s="9">
        <f>IF(SUMIFS('Daily BSE Equity Options'!$M:$M,'Daily BSE Equity Options'!$A:$A,$A917)=0,"",SUMIFS('Daily BSE Equity Options'!$M:$M,'Daily BSE Equity Options'!$A:$A,$A917))</f>
        <v/>
      </c>
      <c r="W917" s="9">
        <f>IF(OR(U917="",V917=""),"",U917+V917)</f>
        <v/>
      </c>
      <c r="X917" s="25">
        <f>IF(W917="","",U917/W917)</f>
        <v/>
      </c>
      <c r="Y917" s="25">
        <f>IF(W917="","",V917/W917)</f>
        <v/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19">
        <f>IF(G918="","",E918/G918)</f>
        <v/>
      </c>
      <c r="I918" s="19">
        <f>IF(G918="","",F918/G918)</f>
        <v/>
      </c>
      <c r="J918" s="26">
        <f>IFERROR(IF(OR(E918="",INDEX(E:E,MATCH(DATE(YEAR($A918)-1,MONTH($A918),DAY($A918)),$A:$A,0))=""),"",E918/INDEX(E:E,MATCH(DATE(YEAR($A918)-1,MONTH($A918),DAY($A918)),$A:$A,0))-1),"")</f>
        <v/>
      </c>
      <c r="K918" s="19">
        <f>IFERROR(IF(OR(F918="",INDEX(F:F,MATCH(DATE(YEAR($A918)-1,MONTH($A918),DAY($A918)),$A:$A,0))=""),"",F918/INDEX(F:F,MATCH(DATE(YEAR($A918)-1,MONTH($A918),DAY($A918)),$A:$A,0))-1),"")</f>
        <v/>
      </c>
      <c r="L918" s="19">
        <f>IFERROR(IF(OR(G918="",INDEX(G:G,MATCH(DATE(YEAR($A918)-1,MONTH($A918),DAY($A918)),$A:$A,0))=""),"",G918/INDEX(G:G,MATCH(DATE(YEAR($A918)-1,MONTH($A918),DAY($A918)),$A:$A,0))-1),"")</f>
        <v/>
      </c>
      <c r="M918" s="19">
        <f>IF(OR(E918="",E917=""),"",E918/E917-1)</f>
        <v/>
      </c>
      <c r="N918" s="19">
        <f>IF(OR(F918="",F917=""),"",F918/F917-1)</f>
        <v/>
      </c>
      <c r="O918" s="19">
        <f>IF(OR(G918="",G917=""),"",G918/G917-1)</f>
        <v/>
      </c>
      <c r="P918" s="22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IF(R918="","",P918/R918)</f>
        <v/>
      </c>
      <c r="T918" s="23">
        <f>IF(R918="","",Q918/R918)</f>
        <v/>
      </c>
      <c r="U918" s="24">
        <f>IF(SUMIFS('Daily NSE Equity Options'!$M:$M,'Daily NSE Equity Options'!$A:$A,$A918)=0,"",SUMIFS('Daily NSE Equity Options'!$M:$M,'Daily NSE Equity Options'!$A:$A,$A918))</f>
        <v/>
      </c>
      <c r="V918" s="9">
        <f>IF(SUMIFS('Daily BSE Equity Options'!$M:$M,'Daily BSE Equity Options'!$A:$A,$A918)=0,"",SUMIFS('Daily BSE Equity Options'!$M:$M,'Daily BSE Equity Options'!$A:$A,$A918))</f>
        <v/>
      </c>
      <c r="W918" s="9">
        <f>IF(OR(U918="",V918=""),"",U918+V918)</f>
        <v/>
      </c>
      <c r="X918" s="25">
        <f>IF(W918="","",U918/W918)</f>
        <v/>
      </c>
      <c r="Y918" s="25">
        <f>IF(W918="","",V918/W918)</f>
        <v/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19">
        <f>IF(G919="","",E919/G919)</f>
        <v/>
      </c>
      <c r="I919" s="19">
        <f>IF(G919="","",F919/G919)</f>
        <v/>
      </c>
      <c r="J919" s="26">
        <f>IFERROR(IF(OR(E919="",INDEX(E:E,MATCH(DATE(YEAR($A919)-1,MONTH($A919),DAY($A919)),$A:$A,0))=""),"",E919/INDEX(E:E,MATCH(DATE(YEAR($A919)-1,MONTH($A919),DAY($A919)),$A:$A,0))-1),"")</f>
        <v/>
      </c>
      <c r="K919" s="19">
        <f>IFERROR(IF(OR(F919="",INDEX(F:F,MATCH(DATE(YEAR($A919)-1,MONTH($A919),DAY($A919)),$A:$A,0))=""),"",F919/INDEX(F:F,MATCH(DATE(YEAR($A919)-1,MONTH($A919),DAY($A919)),$A:$A,0))-1),"")</f>
        <v/>
      </c>
      <c r="L919" s="19">
        <f>IFERROR(IF(OR(G919="",INDEX(G:G,MATCH(DATE(YEAR($A919)-1,MONTH($A919),DAY($A919)),$A:$A,0))=""),"",G919/INDEX(G:G,MATCH(DATE(YEAR($A919)-1,MONTH($A919),DAY($A919)),$A:$A,0))-1),"")</f>
        <v/>
      </c>
      <c r="M919" s="19">
        <f>IF(OR(E919="",E918=""),"",E919/E918-1)</f>
        <v/>
      </c>
      <c r="N919" s="19">
        <f>IF(OR(F919="",F918=""),"",F919/F918-1)</f>
        <v/>
      </c>
      <c r="O919" s="19">
        <f>IF(OR(G919="",G918=""),"",G919/G918-1)</f>
        <v/>
      </c>
      <c r="P919" s="22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IF(R919="","",P919/R919)</f>
        <v/>
      </c>
      <c r="T919" s="23">
        <f>IF(R919="","",Q919/R919)</f>
        <v/>
      </c>
      <c r="U919" s="24">
        <f>IF(SUMIFS('Daily NSE Equity Options'!$M:$M,'Daily NSE Equity Options'!$A:$A,$A919)=0,"",SUMIFS('Daily NSE Equity Options'!$M:$M,'Daily NSE Equity Options'!$A:$A,$A919))</f>
        <v/>
      </c>
      <c r="V919" s="9">
        <f>IF(SUMIFS('Daily BSE Equity Options'!$M:$M,'Daily BSE Equity Options'!$A:$A,$A919)=0,"",SUMIFS('Daily BSE Equity Options'!$M:$M,'Daily BSE Equity Options'!$A:$A,$A919))</f>
        <v/>
      </c>
      <c r="W919" s="9">
        <f>IF(OR(U919="",V919=""),"",U919+V919)</f>
        <v/>
      </c>
      <c r="X919" s="25">
        <f>IF(W919="","",U919/W919)</f>
        <v/>
      </c>
      <c r="Y919" s="25">
        <f>IF(W919="","",V919/W919)</f>
        <v/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19">
        <f>IF(G920="","",E920/G920)</f>
        <v/>
      </c>
      <c r="I920" s="19">
        <f>IF(G920="","",F920/G920)</f>
        <v/>
      </c>
      <c r="J920" s="26">
        <f>IFERROR(IF(OR(E920="",INDEX(E:E,MATCH(DATE(YEAR($A920)-1,MONTH($A920),DAY($A920)),$A:$A,0))=""),"",E920/INDEX(E:E,MATCH(DATE(YEAR($A920)-1,MONTH($A920),DAY($A920)),$A:$A,0))-1),"")</f>
        <v/>
      </c>
      <c r="K920" s="19">
        <f>IFERROR(IF(OR(F920="",INDEX(F:F,MATCH(DATE(YEAR($A920)-1,MONTH($A920),DAY($A920)),$A:$A,0))=""),"",F920/INDEX(F:F,MATCH(DATE(YEAR($A920)-1,MONTH($A920),DAY($A920)),$A:$A,0))-1),"")</f>
        <v/>
      </c>
      <c r="L920" s="19">
        <f>IFERROR(IF(OR(G920="",INDEX(G:G,MATCH(DATE(YEAR($A920)-1,MONTH($A920),DAY($A920)),$A:$A,0))=""),"",G920/INDEX(G:G,MATCH(DATE(YEAR($A920)-1,MONTH($A920),DAY($A920)),$A:$A,0))-1),"")</f>
        <v/>
      </c>
      <c r="M920" s="19">
        <f>IF(OR(E920="",E919=""),"",E920/E919-1)</f>
        <v/>
      </c>
      <c r="N920" s="19">
        <f>IF(OR(F920="",F919=""),"",F920/F919-1)</f>
        <v/>
      </c>
      <c r="O920" s="19">
        <f>IF(OR(G920="",G919=""),"",G920/G919-1)</f>
        <v/>
      </c>
      <c r="P920" s="22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IF(R920="","",P920/R920)</f>
        <v/>
      </c>
      <c r="T920" s="23">
        <f>IF(R920="","",Q920/R920)</f>
        <v/>
      </c>
      <c r="U920" s="24">
        <f>IF(SUMIFS('Daily NSE Equity Options'!$M:$M,'Daily NSE Equity Options'!$A:$A,$A920)=0,"",SUMIFS('Daily NSE Equity Options'!$M:$M,'Daily NSE Equity Options'!$A:$A,$A920))</f>
        <v/>
      </c>
      <c r="V920" s="9">
        <f>IF(SUMIFS('Daily BSE Equity Options'!$M:$M,'Daily BSE Equity Options'!$A:$A,$A920)=0,"",SUMIFS('Daily BSE Equity Options'!$M:$M,'Daily BSE Equity Options'!$A:$A,$A920))</f>
        <v/>
      </c>
      <c r="W920" s="9">
        <f>IF(OR(U920="",V920=""),"",U920+V920)</f>
        <v/>
      </c>
      <c r="X920" s="25">
        <f>IF(W920="","",U920/W920)</f>
        <v/>
      </c>
      <c r="Y920" s="25">
        <f>IF(W920="","",V920/W920)</f>
        <v/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19">
        <f>IF(G921="","",E921/G921)</f>
        <v/>
      </c>
      <c r="I921" s="19">
        <f>IF(G921="","",F921/G921)</f>
        <v/>
      </c>
      <c r="J921" s="26">
        <f>IFERROR(IF(OR(E921="",INDEX(E:E,MATCH(DATE(YEAR($A921)-1,MONTH($A921),DAY($A921)),$A:$A,0))=""),"",E921/INDEX(E:E,MATCH(DATE(YEAR($A921)-1,MONTH($A921),DAY($A921)),$A:$A,0))-1),"")</f>
        <v/>
      </c>
      <c r="K921" s="19">
        <f>IFERROR(IF(OR(F921="",INDEX(F:F,MATCH(DATE(YEAR($A921)-1,MONTH($A921),DAY($A921)),$A:$A,0))=""),"",F921/INDEX(F:F,MATCH(DATE(YEAR($A921)-1,MONTH($A921),DAY($A921)),$A:$A,0))-1),"")</f>
        <v/>
      </c>
      <c r="L921" s="19">
        <f>IFERROR(IF(OR(G921="",INDEX(G:G,MATCH(DATE(YEAR($A921)-1,MONTH($A921),DAY($A921)),$A:$A,0))=""),"",G921/INDEX(G:G,MATCH(DATE(YEAR($A921)-1,MONTH($A921),DAY($A921)),$A:$A,0))-1),"")</f>
        <v/>
      </c>
      <c r="M921" s="19">
        <f>IF(OR(E921="",E920=""),"",E921/E920-1)</f>
        <v/>
      </c>
      <c r="N921" s="19">
        <f>IF(OR(F921="",F920=""),"",F921/F920-1)</f>
        <v/>
      </c>
      <c r="O921" s="19">
        <f>IF(OR(G921="",G920=""),"",G921/G920-1)</f>
        <v/>
      </c>
      <c r="P921" s="22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IF(R921="","",P921/R921)</f>
        <v/>
      </c>
      <c r="T921" s="23">
        <f>IF(R921="","",Q921/R921)</f>
        <v/>
      </c>
      <c r="U921" s="24">
        <f>IF(SUMIFS('Daily NSE Equity Options'!$M:$M,'Daily NSE Equity Options'!$A:$A,$A921)=0,"",SUMIFS('Daily NSE Equity Options'!$M:$M,'Daily NSE Equity Options'!$A:$A,$A921))</f>
        <v/>
      </c>
      <c r="V921" s="9">
        <f>IF(SUMIFS('Daily BSE Equity Options'!$M:$M,'Daily BSE Equity Options'!$A:$A,$A921)=0,"",SUMIFS('Daily BSE Equity Options'!$M:$M,'Daily BSE Equity Options'!$A:$A,$A921))</f>
        <v/>
      </c>
      <c r="W921" s="9">
        <f>IF(OR(U921="",V921=""),"",U921+V921)</f>
        <v/>
      </c>
      <c r="X921" s="25">
        <f>IF(W921="","",U921/W921)</f>
        <v/>
      </c>
      <c r="Y921" s="25">
        <f>IF(W921="","",V921/W921)</f>
        <v/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19">
        <f>IF(G922="","",E922/G922)</f>
        <v/>
      </c>
      <c r="I922" s="19">
        <f>IF(G922="","",F922/G922)</f>
        <v/>
      </c>
      <c r="J922" s="26">
        <f>IFERROR(IF(OR(E922="",INDEX(E:E,MATCH(DATE(YEAR($A922)-1,MONTH($A922),DAY($A922)),$A:$A,0))=""),"",E922/INDEX(E:E,MATCH(DATE(YEAR($A922)-1,MONTH($A922),DAY($A922)),$A:$A,0))-1),"")</f>
        <v/>
      </c>
      <c r="K922" s="19">
        <f>IFERROR(IF(OR(F922="",INDEX(F:F,MATCH(DATE(YEAR($A922)-1,MONTH($A922),DAY($A922)),$A:$A,0))=""),"",F922/INDEX(F:F,MATCH(DATE(YEAR($A922)-1,MONTH($A922),DAY($A922)),$A:$A,0))-1),"")</f>
        <v/>
      </c>
      <c r="L922" s="19">
        <f>IFERROR(IF(OR(G922="",INDEX(G:G,MATCH(DATE(YEAR($A922)-1,MONTH($A922),DAY($A922)),$A:$A,0))=""),"",G922/INDEX(G:G,MATCH(DATE(YEAR($A922)-1,MONTH($A922),DAY($A922)),$A:$A,0))-1),"")</f>
        <v/>
      </c>
      <c r="M922" s="19">
        <f>IF(OR(E922="",E921=""),"",E922/E921-1)</f>
        <v/>
      </c>
      <c r="N922" s="19">
        <f>IF(OR(F922="",F921=""),"",F922/F921-1)</f>
        <v/>
      </c>
      <c r="O922" s="19">
        <f>IF(OR(G922="",G921=""),"",G922/G921-1)</f>
        <v/>
      </c>
      <c r="P922" s="22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IF(R922="","",P922/R922)</f>
        <v/>
      </c>
      <c r="T922" s="23">
        <f>IF(R922="","",Q922/R922)</f>
        <v/>
      </c>
      <c r="U922" s="24">
        <f>IF(SUMIFS('Daily NSE Equity Options'!$M:$M,'Daily NSE Equity Options'!$A:$A,$A922)=0,"",SUMIFS('Daily NSE Equity Options'!$M:$M,'Daily NSE Equity Options'!$A:$A,$A922))</f>
        <v/>
      </c>
      <c r="V922" s="9">
        <f>IF(SUMIFS('Daily BSE Equity Options'!$M:$M,'Daily BSE Equity Options'!$A:$A,$A922)=0,"",SUMIFS('Daily BSE Equity Options'!$M:$M,'Daily BSE Equity Options'!$A:$A,$A922))</f>
        <v/>
      </c>
      <c r="W922" s="9">
        <f>IF(OR(U922="",V922=""),"",U922+V922)</f>
        <v/>
      </c>
      <c r="X922" s="25">
        <f>IF(W922="","",U922/W922)</f>
        <v/>
      </c>
      <c r="Y922" s="25">
        <f>IF(W922="","",V922/W922)</f>
        <v/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19">
        <f>IF(G923="","",E923/G923)</f>
        <v/>
      </c>
      <c r="I923" s="19">
        <f>IF(G923="","",F923/G923)</f>
        <v/>
      </c>
      <c r="J923" s="26">
        <f>IFERROR(IF(OR(E923="",INDEX(E:E,MATCH(DATE(YEAR($A923)-1,MONTH($A923),DAY($A923)),$A:$A,0))=""),"",E923/INDEX(E:E,MATCH(DATE(YEAR($A923)-1,MONTH($A923),DAY($A923)),$A:$A,0))-1),"")</f>
        <v/>
      </c>
      <c r="K923" s="19">
        <f>IFERROR(IF(OR(F923="",INDEX(F:F,MATCH(DATE(YEAR($A923)-1,MONTH($A923),DAY($A923)),$A:$A,0))=""),"",F923/INDEX(F:F,MATCH(DATE(YEAR($A923)-1,MONTH($A923),DAY($A923)),$A:$A,0))-1),"")</f>
        <v/>
      </c>
      <c r="L923" s="19">
        <f>IFERROR(IF(OR(G923="",INDEX(G:G,MATCH(DATE(YEAR($A923)-1,MONTH($A923),DAY($A923)),$A:$A,0))=""),"",G923/INDEX(G:G,MATCH(DATE(YEAR($A923)-1,MONTH($A923),DAY($A923)),$A:$A,0))-1),"")</f>
        <v/>
      </c>
      <c r="M923" s="19">
        <f>IF(OR(E923="",E922=""),"",E923/E922-1)</f>
        <v/>
      </c>
      <c r="N923" s="19">
        <f>IF(OR(F923="",F922=""),"",F923/F922-1)</f>
        <v/>
      </c>
      <c r="O923" s="19">
        <f>IF(OR(G923="",G922=""),"",G923/G922-1)</f>
        <v/>
      </c>
      <c r="P923" s="22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IF(R923="","",P923/R923)</f>
        <v/>
      </c>
      <c r="T923" s="23">
        <f>IF(R923="","",Q923/R923)</f>
        <v/>
      </c>
      <c r="U923" s="24">
        <f>IF(SUMIFS('Daily NSE Equity Options'!$M:$M,'Daily NSE Equity Options'!$A:$A,$A923)=0,"",SUMIFS('Daily NSE Equity Options'!$M:$M,'Daily NSE Equity Options'!$A:$A,$A923))</f>
        <v/>
      </c>
      <c r="V923" s="9">
        <f>IF(SUMIFS('Daily BSE Equity Options'!$M:$M,'Daily BSE Equity Options'!$A:$A,$A923)=0,"",SUMIFS('Daily BSE Equity Options'!$M:$M,'Daily BSE Equity Options'!$A:$A,$A923))</f>
        <v/>
      </c>
      <c r="W923" s="9">
        <f>IF(OR(U923="",V923=""),"",U923+V923)</f>
        <v/>
      </c>
      <c r="X923" s="25">
        <f>IF(W923="","",U923/W923)</f>
        <v/>
      </c>
      <c r="Y923" s="25">
        <f>IF(W923="","",V923/W923)</f>
        <v/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19">
        <f>IF(G924="","",E924/G924)</f>
        <v/>
      </c>
      <c r="I924" s="19">
        <f>IF(G924="","",F924/G924)</f>
        <v/>
      </c>
      <c r="J924" s="26">
        <f>IFERROR(IF(OR(E924="",INDEX(E:E,MATCH(DATE(YEAR($A924)-1,MONTH($A924),DAY($A924)),$A:$A,0))=""),"",E924/INDEX(E:E,MATCH(DATE(YEAR($A924)-1,MONTH($A924),DAY($A924)),$A:$A,0))-1),"")</f>
        <v/>
      </c>
      <c r="K924" s="19">
        <f>IFERROR(IF(OR(F924="",INDEX(F:F,MATCH(DATE(YEAR($A924)-1,MONTH($A924),DAY($A924)),$A:$A,0))=""),"",F924/INDEX(F:F,MATCH(DATE(YEAR($A924)-1,MONTH($A924),DAY($A924)),$A:$A,0))-1),"")</f>
        <v/>
      </c>
      <c r="L924" s="19">
        <f>IFERROR(IF(OR(G924="",INDEX(G:G,MATCH(DATE(YEAR($A924)-1,MONTH($A924),DAY($A924)),$A:$A,0))=""),"",G924/INDEX(G:G,MATCH(DATE(YEAR($A924)-1,MONTH($A924),DAY($A924)),$A:$A,0))-1),"")</f>
        <v/>
      </c>
      <c r="M924" s="19">
        <f>IF(OR(E924="",E923=""),"",E924/E923-1)</f>
        <v/>
      </c>
      <c r="N924" s="19">
        <f>IF(OR(F924="",F923=""),"",F924/F923-1)</f>
        <v/>
      </c>
      <c r="O924" s="19">
        <f>IF(OR(G924="",G923=""),"",G924/G923-1)</f>
        <v/>
      </c>
      <c r="P924" s="22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IF(R924="","",P924/R924)</f>
        <v/>
      </c>
      <c r="T924" s="23">
        <f>IF(R924="","",Q924/R924)</f>
        <v/>
      </c>
      <c r="U924" s="24">
        <f>IF(SUMIFS('Daily NSE Equity Options'!$M:$M,'Daily NSE Equity Options'!$A:$A,$A924)=0,"",SUMIFS('Daily NSE Equity Options'!$M:$M,'Daily NSE Equity Options'!$A:$A,$A924))</f>
        <v/>
      </c>
      <c r="V924" s="9">
        <f>IF(SUMIFS('Daily BSE Equity Options'!$M:$M,'Daily BSE Equity Options'!$A:$A,$A924)=0,"",SUMIFS('Daily BSE Equity Options'!$M:$M,'Daily BSE Equity Options'!$A:$A,$A924))</f>
        <v/>
      </c>
      <c r="W924" s="9">
        <f>IF(OR(U924="",V924=""),"",U924+V924)</f>
        <v/>
      </c>
      <c r="X924" s="25">
        <f>IF(W924="","",U924/W924)</f>
        <v/>
      </c>
      <c r="Y924" s="25">
        <f>IF(W924="","",V924/W924)</f>
        <v/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19">
        <f>IF(G925="","",E925/G925)</f>
        <v/>
      </c>
      <c r="I925" s="19">
        <f>IF(G925="","",F925/G925)</f>
        <v/>
      </c>
      <c r="J925" s="26">
        <f>IFERROR(IF(OR(E925="",INDEX(E:E,MATCH(DATE(YEAR($A925)-1,MONTH($A925),DAY($A925)),$A:$A,0))=""),"",E925/INDEX(E:E,MATCH(DATE(YEAR($A925)-1,MONTH($A925),DAY($A925)),$A:$A,0))-1),"")</f>
        <v/>
      </c>
      <c r="K925" s="19">
        <f>IFERROR(IF(OR(F925="",INDEX(F:F,MATCH(DATE(YEAR($A925)-1,MONTH($A925),DAY($A925)),$A:$A,0))=""),"",F925/INDEX(F:F,MATCH(DATE(YEAR($A925)-1,MONTH($A925),DAY($A925)),$A:$A,0))-1),"")</f>
        <v/>
      </c>
      <c r="L925" s="19">
        <f>IFERROR(IF(OR(G925="",INDEX(G:G,MATCH(DATE(YEAR($A925)-1,MONTH($A925),DAY($A925)),$A:$A,0))=""),"",G925/INDEX(G:G,MATCH(DATE(YEAR($A925)-1,MONTH($A925),DAY($A925)),$A:$A,0))-1),"")</f>
        <v/>
      </c>
      <c r="M925" s="19">
        <f>IF(OR(E925="",E924=""),"",E925/E924-1)</f>
        <v/>
      </c>
      <c r="N925" s="19">
        <f>IF(OR(F925="",F924=""),"",F925/F924-1)</f>
        <v/>
      </c>
      <c r="O925" s="19">
        <f>IF(OR(G925="",G924=""),"",G925/G924-1)</f>
        <v/>
      </c>
      <c r="P925" s="22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IF(R925="","",P925/R925)</f>
        <v/>
      </c>
      <c r="T925" s="23">
        <f>IF(R925="","",Q925/R925)</f>
        <v/>
      </c>
      <c r="U925" s="24">
        <f>IF(SUMIFS('Daily NSE Equity Options'!$M:$M,'Daily NSE Equity Options'!$A:$A,$A925)=0,"",SUMIFS('Daily NSE Equity Options'!$M:$M,'Daily NSE Equity Options'!$A:$A,$A925))</f>
        <v/>
      </c>
      <c r="V925" s="9">
        <f>IF(SUMIFS('Daily BSE Equity Options'!$M:$M,'Daily BSE Equity Options'!$A:$A,$A925)=0,"",SUMIFS('Daily BSE Equity Options'!$M:$M,'Daily BSE Equity Options'!$A:$A,$A925))</f>
        <v/>
      </c>
      <c r="W925" s="9">
        <f>IF(OR(U925="",V925=""),"",U925+V925)</f>
        <v/>
      </c>
      <c r="X925" s="25">
        <f>IF(W925="","",U925/W925)</f>
        <v/>
      </c>
      <c r="Y925" s="25">
        <f>IF(W925="","",V925/W925)</f>
        <v/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19">
        <f>IF(G926="","",E926/G926)</f>
        <v/>
      </c>
      <c r="I926" s="19">
        <f>IF(G926="","",F926/G926)</f>
        <v/>
      </c>
      <c r="J926" s="26">
        <f>IFERROR(IF(OR(E926="",INDEX(E:E,MATCH(DATE(YEAR($A926)-1,MONTH($A926),DAY($A926)),$A:$A,0))=""),"",E926/INDEX(E:E,MATCH(DATE(YEAR($A926)-1,MONTH($A926),DAY($A926)),$A:$A,0))-1),"")</f>
        <v/>
      </c>
      <c r="K926" s="19">
        <f>IFERROR(IF(OR(F926="",INDEX(F:F,MATCH(DATE(YEAR($A926)-1,MONTH($A926),DAY($A926)),$A:$A,0))=""),"",F926/INDEX(F:F,MATCH(DATE(YEAR($A926)-1,MONTH($A926),DAY($A926)),$A:$A,0))-1),"")</f>
        <v/>
      </c>
      <c r="L926" s="19">
        <f>IFERROR(IF(OR(G926="",INDEX(G:G,MATCH(DATE(YEAR($A926)-1,MONTH($A926),DAY($A926)),$A:$A,0))=""),"",G926/INDEX(G:G,MATCH(DATE(YEAR($A926)-1,MONTH($A926),DAY($A926)),$A:$A,0))-1),"")</f>
        <v/>
      </c>
      <c r="M926" s="19">
        <f>IF(OR(E926="",E925=""),"",E926/E925-1)</f>
        <v/>
      </c>
      <c r="N926" s="19">
        <f>IF(OR(F926="",F925=""),"",F926/F925-1)</f>
        <v/>
      </c>
      <c r="O926" s="19">
        <f>IF(OR(G926="",G925=""),"",G926/G925-1)</f>
        <v/>
      </c>
      <c r="P926" s="22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IF(R926="","",P926/R926)</f>
        <v/>
      </c>
      <c r="T926" s="23">
        <f>IF(R926="","",Q926/R926)</f>
        <v/>
      </c>
      <c r="U926" s="24">
        <f>IF(SUMIFS('Daily NSE Equity Options'!$M:$M,'Daily NSE Equity Options'!$A:$A,$A926)=0,"",SUMIFS('Daily NSE Equity Options'!$M:$M,'Daily NSE Equity Options'!$A:$A,$A926))</f>
        <v/>
      </c>
      <c r="V926" s="9">
        <f>IF(SUMIFS('Daily BSE Equity Options'!$M:$M,'Daily BSE Equity Options'!$A:$A,$A926)=0,"",SUMIFS('Daily BSE Equity Options'!$M:$M,'Daily BSE Equity Options'!$A:$A,$A926))</f>
        <v/>
      </c>
      <c r="W926" s="9">
        <f>IF(OR(U926="",V926=""),"",U926+V926)</f>
        <v/>
      </c>
      <c r="X926" s="25">
        <f>IF(W926="","",U926/W926)</f>
        <v/>
      </c>
      <c r="Y926" s="25">
        <f>IF(W926="","",V926/W926)</f>
        <v/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19">
        <f>IF(G927="","",E927/G927)</f>
        <v/>
      </c>
      <c r="I927" s="19">
        <f>IF(G927="","",F927/G927)</f>
        <v/>
      </c>
      <c r="J927" s="26">
        <f>IFERROR(IF(OR(E927="",INDEX(E:E,MATCH(DATE(YEAR($A927)-1,MONTH($A927),DAY($A927)),$A:$A,0))=""),"",E927/INDEX(E:E,MATCH(DATE(YEAR($A927)-1,MONTH($A927),DAY($A927)),$A:$A,0))-1),"")</f>
        <v/>
      </c>
      <c r="K927" s="19">
        <f>IFERROR(IF(OR(F927="",INDEX(F:F,MATCH(DATE(YEAR($A927)-1,MONTH($A927),DAY($A927)),$A:$A,0))=""),"",F927/INDEX(F:F,MATCH(DATE(YEAR($A927)-1,MONTH($A927),DAY($A927)),$A:$A,0))-1),"")</f>
        <v/>
      </c>
      <c r="L927" s="19">
        <f>IFERROR(IF(OR(G927="",INDEX(G:G,MATCH(DATE(YEAR($A927)-1,MONTH($A927),DAY($A927)),$A:$A,0))=""),"",G927/INDEX(G:G,MATCH(DATE(YEAR($A927)-1,MONTH($A927),DAY($A927)),$A:$A,0))-1),"")</f>
        <v/>
      </c>
      <c r="M927" s="19">
        <f>IF(OR(E927="",E926=""),"",E927/E926-1)</f>
        <v/>
      </c>
      <c r="N927" s="19">
        <f>IF(OR(F927="",F926=""),"",F927/F926-1)</f>
        <v/>
      </c>
      <c r="O927" s="19">
        <f>IF(OR(G927="",G926=""),"",G927/G926-1)</f>
        <v/>
      </c>
      <c r="P927" s="22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IF(R927="","",P927/R927)</f>
        <v/>
      </c>
      <c r="T927" s="23">
        <f>IF(R927="","",Q927/R927)</f>
        <v/>
      </c>
      <c r="U927" s="24">
        <f>IF(SUMIFS('Daily NSE Equity Options'!$M:$M,'Daily NSE Equity Options'!$A:$A,$A927)=0,"",SUMIFS('Daily NSE Equity Options'!$M:$M,'Daily NSE Equity Options'!$A:$A,$A927))</f>
        <v/>
      </c>
      <c r="V927" s="9">
        <f>IF(SUMIFS('Daily BSE Equity Options'!$M:$M,'Daily BSE Equity Options'!$A:$A,$A927)=0,"",SUMIFS('Daily BSE Equity Options'!$M:$M,'Daily BSE Equity Options'!$A:$A,$A927))</f>
        <v/>
      </c>
      <c r="W927" s="9">
        <f>IF(OR(U927="",V927=""),"",U927+V927)</f>
        <v/>
      </c>
      <c r="X927" s="25">
        <f>IF(W927="","",U927/W927)</f>
        <v/>
      </c>
      <c r="Y927" s="25">
        <f>IF(W927="","",V927/W927)</f>
        <v/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19">
        <f>IF(G928="","",E928/G928)</f>
        <v/>
      </c>
      <c r="I928" s="19">
        <f>IF(G928="","",F928/G928)</f>
        <v/>
      </c>
      <c r="J928" s="26">
        <f>IFERROR(IF(OR(E928="",INDEX(E:E,MATCH(DATE(YEAR($A928)-1,MONTH($A928),DAY($A928)),$A:$A,0))=""),"",E928/INDEX(E:E,MATCH(DATE(YEAR($A928)-1,MONTH($A928),DAY($A928)),$A:$A,0))-1),"")</f>
        <v/>
      </c>
      <c r="K928" s="19">
        <f>IFERROR(IF(OR(F928="",INDEX(F:F,MATCH(DATE(YEAR($A928)-1,MONTH($A928),DAY($A928)),$A:$A,0))=""),"",F928/INDEX(F:F,MATCH(DATE(YEAR($A928)-1,MONTH($A928),DAY($A928)),$A:$A,0))-1),"")</f>
        <v/>
      </c>
      <c r="L928" s="19">
        <f>IFERROR(IF(OR(G928="",INDEX(G:G,MATCH(DATE(YEAR($A928)-1,MONTH($A928),DAY($A928)),$A:$A,0))=""),"",G928/INDEX(G:G,MATCH(DATE(YEAR($A928)-1,MONTH($A928),DAY($A928)),$A:$A,0))-1),"")</f>
        <v/>
      </c>
      <c r="M928" s="19">
        <f>IF(OR(E928="",E927=""),"",E928/E927-1)</f>
        <v/>
      </c>
      <c r="N928" s="19">
        <f>IF(OR(F928="",F927=""),"",F928/F927-1)</f>
        <v/>
      </c>
      <c r="O928" s="19">
        <f>IF(OR(G928="",G927=""),"",G928/G927-1)</f>
        <v/>
      </c>
      <c r="P928" s="22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IF(R928="","",P928/R928)</f>
        <v/>
      </c>
      <c r="T928" s="23">
        <f>IF(R928="","",Q928/R928)</f>
        <v/>
      </c>
      <c r="U928" s="24">
        <f>IF(SUMIFS('Daily NSE Equity Options'!$M:$M,'Daily NSE Equity Options'!$A:$A,$A928)=0,"",SUMIFS('Daily NSE Equity Options'!$M:$M,'Daily NSE Equity Options'!$A:$A,$A928))</f>
        <v/>
      </c>
      <c r="V928" s="9">
        <f>IF(SUMIFS('Daily BSE Equity Options'!$M:$M,'Daily BSE Equity Options'!$A:$A,$A928)=0,"",SUMIFS('Daily BSE Equity Options'!$M:$M,'Daily BSE Equity Options'!$A:$A,$A928))</f>
        <v/>
      </c>
      <c r="W928" s="9">
        <f>IF(OR(U928="",V928=""),"",U928+V928)</f>
        <v/>
      </c>
      <c r="X928" s="25">
        <f>IF(W928="","",U928/W928)</f>
        <v/>
      </c>
      <c r="Y928" s="25">
        <f>IF(W928="","",V928/W928)</f>
        <v/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19">
        <f>IF(G929="","",E929/G929)</f>
        <v/>
      </c>
      <c r="I929" s="19">
        <f>IF(G929="","",F929/G929)</f>
        <v/>
      </c>
      <c r="J929" s="26">
        <f>IFERROR(IF(OR(E929="",INDEX(E:E,MATCH(DATE(YEAR($A929)-1,MONTH($A929),DAY($A929)),$A:$A,0))=""),"",E929/INDEX(E:E,MATCH(DATE(YEAR($A929)-1,MONTH($A929),DAY($A929)),$A:$A,0))-1),"")</f>
        <v/>
      </c>
      <c r="K929" s="19">
        <f>IFERROR(IF(OR(F929="",INDEX(F:F,MATCH(DATE(YEAR($A929)-1,MONTH($A929),DAY($A929)),$A:$A,0))=""),"",F929/INDEX(F:F,MATCH(DATE(YEAR($A929)-1,MONTH($A929),DAY($A929)),$A:$A,0))-1),"")</f>
        <v/>
      </c>
      <c r="L929" s="19">
        <f>IFERROR(IF(OR(G929="",INDEX(G:G,MATCH(DATE(YEAR($A929)-1,MONTH($A929),DAY($A929)),$A:$A,0))=""),"",G929/INDEX(G:G,MATCH(DATE(YEAR($A929)-1,MONTH($A929),DAY($A929)),$A:$A,0))-1),"")</f>
        <v/>
      </c>
      <c r="M929" s="19">
        <f>IF(OR(E929="",E928=""),"",E929/E928-1)</f>
        <v/>
      </c>
      <c r="N929" s="19">
        <f>IF(OR(F929="",F928=""),"",F929/F928-1)</f>
        <v/>
      </c>
      <c r="O929" s="19">
        <f>IF(OR(G929="",G928=""),"",G929/G928-1)</f>
        <v/>
      </c>
      <c r="P929" s="22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IF(R929="","",P929/R929)</f>
        <v/>
      </c>
      <c r="T929" s="23">
        <f>IF(R929="","",Q929/R929)</f>
        <v/>
      </c>
      <c r="U929" s="24">
        <f>IF(SUMIFS('Daily NSE Equity Options'!$M:$M,'Daily NSE Equity Options'!$A:$A,$A929)=0,"",SUMIFS('Daily NSE Equity Options'!$M:$M,'Daily NSE Equity Options'!$A:$A,$A929))</f>
        <v/>
      </c>
      <c r="V929" s="9">
        <f>IF(SUMIFS('Daily BSE Equity Options'!$M:$M,'Daily BSE Equity Options'!$A:$A,$A929)=0,"",SUMIFS('Daily BSE Equity Options'!$M:$M,'Daily BSE Equity Options'!$A:$A,$A929))</f>
        <v/>
      </c>
      <c r="W929" s="9">
        <f>IF(OR(U929="",V929=""),"",U929+V929)</f>
        <v/>
      </c>
      <c r="X929" s="25">
        <f>IF(W929="","",U929/W929)</f>
        <v/>
      </c>
      <c r="Y929" s="25">
        <f>IF(W929="","",V929/W929)</f>
        <v/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19">
        <f>IF(G930="","",E930/G930)</f>
        <v/>
      </c>
      <c r="I930" s="19">
        <f>IF(G930="","",F930/G930)</f>
        <v/>
      </c>
      <c r="J930" s="26">
        <f>IFERROR(IF(OR(E930="",INDEX(E:E,MATCH(DATE(YEAR($A930)-1,MONTH($A930),DAY($A930)),$A:$A,0))=""),"",E930/INDEX(E:E,MATCH(DATE(YEAR($A930)-1,MONTH($A930),DAY($A930)),$A:$A,0))-1),"")</f>
        <v/>
      </c>
      <c r="K930" s="19">
        <f>IFERROR(IF(OR(F930="",INDEX(F:F,MATCH(DATE(YEAR($A930)-1,MONTH($A930),DAY($A930)),$A:$A,0))=""),"",F930/INDEX(F:F,MATCH(DATE(YEAR($A930)-1,MONTH($A930),DAY($A930)),$A:$A,0))-1),"")</f>
        <v/>
      </c>
      <c r="L930" s="19">
        <f>IFERROR(IF(OR(G930="",INDEX(G:G,MATCH(DATE(YEAR($A930)-1,MONTH($A930),DAY($A930)),$A:$A,0))=""),"",G930/INDEX(G:G,MATCH(DATE(YEAR($A930)-1,MONTH($A930),DAY($A930)),$A:$A,0))-1),"")</f>
        <v/>
      </c>
      <c r="M930" s="19">
        <f>IF(OR(E930="",E929=""),"",E930/E929-1)</f>
        <v/>
      </c>
      <c r="N930" s="19">
        <f>IF(OR(F930="",F929=""),"",F930/F929-1)</f>
        <v/>
      </c>
      <c r="O930" s="19">
        <f>IF(OR(G930="",G929=""),"",G930/G929-1)</f>
        <v/>
      </c>
      <c r="P930" s="22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IF(R930="","",P930/R930)</f>
        <v/>
      </c>
      <c r="T930" s="23">
        <f>IF(R930="","",Q930/R930)</f>
        <v/>
      </c>
      <c r="U930" s="24">
        <f>IF(SUMIFS('Daily NSE Equity Options'!$M:$M,'Daily NSE Equity Options'!$A:$A,$A930)=0,"",SUMIFS('Daily NSE Equity Options'!$M:$M,'Daily NSE Equity Options'!$A:$A,$A930))</f>
        <v/>
      </c>
      <c r="V930" s="9">
        <f>IF(SUMIFS('Daily BSE Equity Options'!$M:$M,'Daily BSE Equity Options'!$A:$A,$A930)=0,"",SUMIFS('Daily BSE Equity Options'!$M:$M,'Daily BSE Equity Options'!$A:$A,$A930))</f>
        <v/>
      </c>
      <c r="W930" s="9">
        <f>IF(OR(U930="",V930=""),"",U930+V930)</f>
        <v/>
      </c>
      <c r="X930" s="25">
        <f>IF(W930="","",U930/W930)</f>
        <v/>
      </c>
      <c r="Y930" s="25">
        <f>IF(W930="","",V930/W930)</f>
        <v/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19">
        <f>IF(G931="","",E931/G931)</f>
        <v/>
      </c>
      <c r="I931" s="19">
        <f>IF(G931="","",F931/G931)</f>
        <v/>
      </c>
      <c r="J931" s="26">
        <f>IFERROR(IF(OR(E931="",INDEX(E:E,MATCH(DATE(YEAR($A931)-1,MONTH($A931),DAY($A931)),$A:$A,0))=""),"",E931/INDEX(E:E,MATCH(DATE(YEAR($A931)-1,MONTH($A931),DAY($A931)),$A:$A,0))-1),"")</f>
        <v/>
      </c>
      <c r="K931" s="19">
        <f>IFERROR(IF(OR(F931="",INDEX(F:F,MATCH(DATE(YEAR($A931)-1,MONTH($A931),DAY($A931)),$A:$A,0))=""),"",F931/INDEX(F:F,MATCH(DATE(YEAR($A931)-1,MONTH($A931),DAY($A931)),$A:$A,0))-1),"")</f>
        <v/>
      </c>
      <c r="L931" s="19">
        <f>IFERROR(IF(OR(G931="",INDEX(G:G,MATCH(DATE(YEAR($A931)-1,MONTH($A931),DAY($A931)),$A:$A,0))=""),"",G931/INDEX(G:G,MATCH(DATE(YEAR($A931)-1,MONTH($A931),DAY($A931)),$A:$A,0))-1),"")</f>
        <v/>
      </c>
      <c r="M931" s="19">
        <f>IF(OR(E931="",E930=""),"",E931/E930-1)</f>
        <v/>
      </c>
      <c r="N931" s="19">
        <f>IF(OR(F931="",F930=""),"",F931/F930-1)</f>
        <v/>
      </c>
      <c r="O931" s="19">
        <f>IF(OR(G931="",G930=""),"",G931/G930-1)</f>
        <v/>
      </c>
      <c r="P931" s="22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IF(R931="","",P931/R931)</f>
        <v/>
      </c>
      <c r="T931" s="23">
        <f>IF(R931="","",Q931/R931)</f>
        <v/>
      </c>
      <c r="U931" s="24">
        <f>IF(SUMIFS('Daily NSE Equity Options'!$M:$M,'Daily NSE Equity Options'!$A:$A,$A931)=0,"",SUMIFS('Daily NSE Equity Options'!$M:$M,'Daily NSE Equity Options'!$A:$A,$A931))</f>
        <v/>
      </c>
      <c r="V931" s="9">
        <f>IF(SUMIFS('Daily BSE Equity Options'!$M:$M,'Daily BSE Equity Options'!$A:$A,$A931)=0,"",SUMIFS('Daily BSE Equity Options'!$M:$M,'Daily BSE Equity Options'!$A:$A,$A931))</f>
        <v/>
      </c>
      <c r="W931" s="9">
        <f>IF(OR(U931="",V931=""),"",U931+V931)</f>
        <v/>
      </c>
      <c r="X931" s="25">
        <f>IF(W931="","",U931/W931)</f>
        <v/>
      </c>
      <c r="Y931" s="25">
        <f>IF(W931="","",V931/W931)</f>
        <v/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19">
        <f>IF(G932="","",E932/G932)</f>
        <v/>
      </c>
      <c r="I932" s="19">
        <f>IF(G932="","",F932/G932)</f>
        <v/>
      </c>
      <c r="J932" s="26">
        <f>IFERROR(IF(OR(E932="",INDEX(E:E,MATCH(DATE(YEAR($A932)-1,MONTH($A932),DAY($A932)),$A:$A,0))=""),"",E932/INDEX(E:E,MATCH(DATE(YEAR($A932)-1,MONTH($A932),DAY($A932)),$A:$A,0))-1),"")</f>
        <v/>
      </c>
      <c r="K932" s="19">
        <f>IFERROR(IF(OR(F932="",INDEX(F:F,MATCH(DATE(YEAR($A932)-1,MONTH($A932),DAY($A932)),$A:$A,0))=""),"",F932/INDEX(F:F,MATCH(DATE(YEAR($A932)-1,MONTH($A932),DAY($A932)),$A:$A,0))-1),"")</f>
        <v/>
      </c>
      <c r="L932" s="19">
        <f>IFERROR(IF(OR(G932="",INDEX(G:G,MATCH(DATE(YEAR($A932)-1,MONTH($A932),DAY($A932)),$A:$A,0))=""),"",G932/INDEX(G:G,MATCH(DATE(YEAR($A932)-1,MONTH($A932),DAY($A932)),$A:$A,0))-1),"")</f>
        <v/>
      </c>
      <c r="M932" s="19">
        <f>IF(OR(E932="",E931=""),"",E932/E931-1)</f>
        <v/>
      </c>
      <c r="N932" s="19">
        <f>IF(OR(F932="",F931=""),"",F932/F931-1)</f>
        <v/>
      </c>
      <c r="O932" s="19">
        <f>IF(OR(G932="",G931=""),"",G932/G931-1)</f>
        <v/>
      </c>
      <c r="P932" s="22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IF(R932="","",P932/R932)</f>
        <v/>
      </c>
      <c r="T932" s="23">
        <f>IF(R932="","",Q932/R932)</f>
        <v/>
      </c>
      <c r="U932" s="24">
        <f>IF(SUMIFS('Daily NSE Equity Options'!$M:$M,'Daily NSE Equity Options'!$A:$A,$A932)=0,"",SUMIFS('Daily NSE Equity Options'!$M:$M,'Daily NSE Equity Options'!$A:$A,$A932))</f>
        <v/>
      </c>
      <c r="V932" s="9">
        <f>IF(SUMIFS('Daily BSE Equity Options'!$M:$M,'Daily BSE Equity Options'!$A:$A,$A932)=0,"",SUMIFS('Daily BSE Equity Options'!$M:$M,'Daily BSE Equity Options'!$A:$A,$A932))</f>
        <v/>
      </c>
      <c r="W932" s="9">
        <f>IF(OR(U932="",V932=""),"",U932+V932)</f>
        <v/>
      </c>
      <c r="X932" s="25">
        <f>IF(W932="","",U932/W932)</f>
        <v/>
      </c>
      <c r="Y932" s="25">
        <f>IF(W932="","",V932/W932)</f>
        <v/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19">
        <f>IF(G933="","",E933/G933)</f>
        <v/>
      </c>
      <c r="I933" s="19">
        <f>IF(G933="","",F933/G933)</f>
        <v/>
      </c>
      <c r="J933" s="26">
        <f>IFERROR(IF(OR(E933="",INDEX(E:E,MATCH(DATE(YEAR($A933)-1,MONTH($A933),DAY($A933)),$A:$A,0))=""),"",E933/INDEX(E:E,MATCH(DATE(YEAR($A933)-1,MONTH($A933),DAY($A933)),$A:$A,0))-1),"")</f>
        <v/>
      </c>
      <c r="K933" s="19">
        <f>IFERROR(IF(OR(F933="",INDEX(F:F,MATCH(DATE(YEAR($A933)-1,MONTH($A933),DAY($A933)),$A:$A,0))=""),"",F933/INDEX(F:F,MATCH(DATE(YEAR($A933)-1,MONTH($A933),DAY($A933)),$A:$A,0))-1),"")</f>
        <v/>
      </c>
      <c r="L933" s="19">
        <f>IFERROR(IF(OR(G933="",INDEX(G:G,MATCH(DATE(YEAR($A933)-1,MONTH($A933),DAY($A933)),$A:$A,0))=""),"",G933/INDEX(G:G,MATCH(DATE(YEAR($A933)-1,MONTH($A933),DAY($A933)),$A:$A,0))-1),"")</f>
        <v/>
      </c>
      <c r="M933" s="19">
        <f>IF(OR(E933="",E932=""),"",E933/E932-1)</f>
        <v/>
      </c>
      <c r="N933" s="19">
        <f>IF(OR(F933="",F932=""),"",F933/F932-1)</f>
        <v/>
      </c>
      <c r="O933" s="19">
        <f>IF(OR(G933="",G932=""),"",G933/G932-1)</f>
        <v/>
      </c>
      <c r="P933" s="22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IF(R933="","",P933/R933)</f>
        <v/>
      </c>
      <c r="T933" s="23">
        <f>IF(R933="","",Q933/R933)</f>
        <v/>
      </c>
      <c r="U933" s="24">
        <f>IF(SUMIFS('Daily NSE Equity Options'!$M:$M,'Daily NSE Equity Options'!$A:$A,$A933)=0,"",SUMIFS('Daily NSE Equity Options'!$M:$M,'Daily NSE Equity Options'!$A:$A,$A933))</f>
        <v/>
      </c>
      <c r="V933" s="9">
        <f>IF(SUMIFS('Daily BSE Equity Options'!$M:$M,'Daily BSE Equity Options'!$A:$A,$A933)=0,"",SUMIFS('Daily BSE Equity Options'!$M:$M,'Daily BSE Equity Options'!$A:$A,$A933))</f>
        <v/>
      </c>
      <c r="W933" s="9">
        <f>IF(OR(U933="",V933=""),"",U933+V933)</f>
        <v/>
      </c>
      <c r="X933" s="25">
        <f>IF(W933="","",U933/W933)</f>
        <v/>
      </c>
      <c r="Y933" s="25">
        <f>IF(W933="","",V933/W933)</f>
        <v/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19">
        <f>IF(G934="","",E934/G934)</f>
        <v/>
      </c>
      <c r="I934" s="19">
        <f>IF(G934="","",F934/G934)</f>
        <v/>
      </c>
      <c r="J934" s="26">
        <f>IFERROR(IF(OR(E934="",INDEX(E:E,MATCH(DATE(YEAR($A934)-1,MONTH($A934),DAY($A934)),$A:$A,0))=""),"",E934/INDEX(E:E,MATCH(DATE(YEAR($A934)-1,MONTH($A934),DAY($A934)),$A:$A,0))-1),"")</f>
        <v/>
      </c>
      <c r="K934" s="19">
        <f>IFERROR(IF(OR(F934="",INDEX(F:F,MATCH(DATE(YEAR($A934)-1,MONTH($A934),DAY($A934)),$A:$A,0))=""),"",F934/INDEX(F:F,MATCH(DATE(YEAR($A934)-1,MONTH($A934),DAY($A934)),$A:$A,0))-1),"")</f>
        <v/>
      </c>
      <c r="L934" s="19">
        <f>IFERROR(IF(OR(G934="",INDEX(G:G,MATCH(DATE(YEAR($A934)-1,MONTH($A934),DAY($A934)),$A:$A,0))=""),"",G934/INDEX(G:G,MATCH(DATE(YEAR($A934)-1,MONTH($A934),DAY($A934)),$A:$A,0))-1),"")</f>
        <v/>
      </c>
      <c r="M934" s="19">
        <f>IF(OR(E934="",E933=""),"",E934/E933-1)</f>
        <v/>
      </c>
      <c r="N934" s="19">
        <f>IF(OR(F934="",F933=""),"",F934/F933-1)</f>
        <v/>
      </c>
      <c r="O934" s="19">
        <f>IF(OR(G934="",G933=""),"",G934/G933-1)</f>
        <v/>
      </c>
      <c r="P934" s="22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IF(R934="","",P934/R934)</f>
        <v/>
      </c>
      <c r="T934" s="23">
        <f>IF(R934="","",Q934/R934)</f>
        <v/>
      </c>
      <c r="U934" s="24">
        <f>IF(SUMIFS('Daily NSE Equity Options'!$M:$M,'Daily NSE Equity Options'!$A:$A,$A934)=0,"",SUMIFS('Daily NSE Equity Options'!$M:$M,'Daily NSE Equity Options'!$A:$A,$A934))</f>
        <v/>
      </c>
      <c r="V934" s="9">
        <f>IF(SUMIFS('Daily BSE Equity Options'!$M:$M,'Daily BSE Equity Options'!$A:$A,$A934)=0,"",SUMIFS('Daily BSE Equity Options'!$M:$M,'Daily BSE Equity Options'!$A:$A,$A934))</f>
        <v/>
      </c>
      <c r="W934" s="9">
        <f>IF(OR(U934="",V934=""),"",U934+V934)</f>
        <v/>
      </c>
      <c r="X934" s="25">
        <f>IF(W934="","",U934/W934)</f>
        <v/>
      </c>
      <c r="Y934" s="25">
        <f>IF(W934="","",V934/W934)</f>
        <v/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19">
        <f>IF(G935="","",E935/G935)</f>
        <v/>
      </c>
      <c r="I935" s="19">
        <f>IF(G935="","",F935/G935)</f>
        <v/>
      </c>
      <c r="J935" s="26">
        <f>IFERROR(IF(OR(E935="",INDEX(E:E,MATCH(DATE(YEAR($A935)-1,MONTH($A935),DAY($A935)),$A:$A,0))=""),"",E935/INDEX(E:E,MATCH(DATE(YEAR($A935)-1,MONTH($A935),DAY($A935)),$A:$A,0))-1),"")</f>
        <v/>
      </c>
      <c r="K935" s="19">
        <f>IFERROR(IF(OR(F935="",INDEX(F:F,MATCH(DATE(YEAR($A935)-1,MONTH($A935),DAY($A935)),$A:$A,0))=""),"",F935/INDEX(F:F,MATCH(DATE(YEAR($A935)-1,MONTH($A935),DAY($A935)),$A:$A,0))-1),"")</f>
        <v/>
      </c>
      <c r="L935" s="19">
        <f>IFERROR(IF(OR(G935="",INDEX(G:G,MATCH(DATE(YEAR($A935)-1,MONTH($A935),DAY($A935)),$A:$A,0))=""),"",G935/INDEX(G:G,MATCH(DATE(YEAR($A935)-1,MONTH($A935),DAY($A935)),$A:$A,0))-1),"")</f>
        <v/>
      </c>
      <c r="M935" s="19">
        <f>IF(OR(E935="",E934=""),"",E935/E934-1)</f>
        <v/>
      </c>
      <c r="N935" s="19">
        <f>IF(OR(F935="",F934=""),"",F935/F934-1)</f>
        <v/>
      </c>
      <c r="O935" s="19">
        <f>IF(OR(G935="",G934=""),"",G935/G934-1)</f>
        <v/>
      </c>
      <c r="P935" s="22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IF(R935="","",P935/R935)</f>
        <v/>
      </c>
      <c r="T935" s="23">
        <f>IF(R935="","",Q935/R935)</f>
        <v/>
      </c>
      <c r="U935" s="24">
        <f>IF(SUMIFS('Daily NSE Equity Options'!$M:$M,'Daily NSE Equity Options'!$A:$A,$A935)=0,"",SUMIFS('Daily NSE Equity Options'!$M:$M,'Daily NSE Equity Options'!$A:$A,$A935))</f>
        <v/>
      </c>
      <c r="V935" s="9">
        <f>IF(SUMIFS('Daily BSE Equity Options'!$M:$M,'Daily BSE Equity Options'!$A:$A,$A935)=0,"",SUMIFS('Daily BSE Equity Options'!$M:$M,'Daily BSE Equity Options'!$A:$A,$A935))</f>
        <v/>
      </c>
      <c r="W935" s="9">
        <f>IF(OR(U935="",V935=""),"",U935+V935)</f>
        <v/>
      </c>
      <c r="X935" s="25">
        <f>IF(W935="","",U935/W935)</f>
        <v/>
      </c>
      <c r="Y935" s="25">
        <f>IF(W935="","",V935/W935)</f>
        <v/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19">
        <f>IF(G936="","",E936/G936)</f>
        <v/>
      </c>
      <c r="I936" s="19">
        <f>IF(G936="","",F936/G936)</f>
        <v/>
      </c>
      <c r="J936" s="26">
        <f>IFERROR(IF(OR(E936="",INDEX(E:E,MATCH(DATE(YEAR($A936)-1,MONTH($A936),DAY($A936)),$A:$A,0))=""),"",E936/INDEX(E:E,MATCH(DATE(YEAR($A936)-1,MONTH($A936),DAY($A936)),$A:$A,0))-1),"")</f>
        <v/>
      </c>
      <c r="K936" s="19">
        <f>IFERROR(IF(OR(F936="",INDEX(F:F,MATCH(DATE(YEAR($A936)-1,MONTH($A936),DAY($A936)),$A:$A,0))=""),"",F936/INDEX(F:F,MATCH(DATE(YEAR($A936)-1,MONTH($A936),DAY($A936)),$A:$A,0))-1),"")</f>
        <v/>
      </c>
      <c r="L936" s="19">
        <f>IFERROR(IF(OR(G936="",INDEX(G:G,MATCH(DATE(YEAR($A936)-1,MONTH($A936),DAY($A936)),$A:$A,0))=""),"",G936/INDEX(G:G,MATCH(DATE(YEAR($A936)-1,MONTH($A936),DAY($A936)),$A:$A,0))-1),"")</f>
        <v/>
      </c>
      <c r="M936" s="19">
        <f>IF(OR(E936="",E935=""),"",E936/E935-1)</f>
        <v/>
      </c>
      <c r="N936" s="19">
        <f>IF(OR(F936="",F935=""),"",F936/F935-1)</f>
        <v/>
      </c>
      <c r="O936" s="19">
        <f>IF(OR(G936="",G935=""),"",G936/G935-1)</f>
        <v/>
      </c>
      <c r="P936" s="22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IF(R936="","",P936/R936)</f>
        <v/>
      </c>
      <c r="T936" s="23">
        <f>IF(R936="","",Q936/R936)</f>
        <v/>
      </c>
      <c r="U936" s="24">
        <f>IF(SUMIFS('Daily NSE Equity Options'!$M:$M,'Daily NSE Equity Options'!$A:$A,$A936)=0,"",SUMIFS('Daily NSE Equity Options'!$M:$M,'Daily NSE Equity Options'!$A:$A,$A936))</f>
        <v/>
      </c>
      <c r="V936" s="9">
        <f>IF(SUMIFS('Daily BSE Equity Options'!$M:$M,'Daily BSE Equity Options'!$A:$A,$A936)=0,"",SUMIFS('Daily BSE Equity Options'!$M:$M,'Daily BSE Equity Options'!$A:$A,$A936))</f>
        <v/>
      </c>
      <c r="W936" s="9">
        <f>IF(OR(U936="",V936=""),"",U936+V936)</f>
        <v/>
      </c>
      <c r="X936" s="25">
        <f>IF(W936="","",U936/W936)</f>
        <v/>
      </c>
      <c r="Y936" s="25">
        <f>IF(W936="","",V936/W936)</f>
        <v/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19">
        <f>IF(G937="","",E937/G937)</f>
        <v/>
      </c>
      <c r="I937" s="19">
        <f>IF(G937="","",F937/G937)</f>
        <v/>
      </c>
      <c r="J937" s="26">
        <f>IFERROR(IF(OR(E937="",INDEX(E:E,MATCH(DATE(YEAR($A937)-1,MONTH($A937),DAY($A937)),$A:$A,0))=""),"",E937/INDEX(E:E,MATCH(DATE(YEAR($A937)-1,MONTH($A937),DAY($A937)),$A:$A,0))-1),"")</f>
        <v/>
      </c>
      <c r="K937" s="19">
        <f>IFERROR(IF(OR(F937="",INDEX(F:F,MATCH(DATE(YEAR($A937)-1,MONTH($A937),DAY($A937)),$A:$A,0))=""),"",F937/INDEX(F:F,MATCH(DATE(YEAR($A937)-1,MONTH($A937),DAY($A937)),$A:$A,0))-1),"")</f>
        <v/>
      </c>
      <c r="L937" s="19">
        <f>IFERROR(IF(OR(G937="",INDEX(G:G,MATCH(DATE(YEAR($A937)-1,MONTH($A937),DAY($A937)),$A:$A,0))=""),"",G937/INDEX(G:G,MATCH(DATE(YEAR($A937)-1,MONTH($A937),DAY($A937)),$A:$A,0))-1),"")</f>
        <v/>
      </c>
      <c r="M937" s="19">
        <f>IF(OR(E937="",E936=""),"",E937/E936-1)</f>
        <v/>
      </c>
      <c r="N937" s="19">
        <f>IF(OR(F937="",F936=""),"",F937/F936-1)</f>
        <v/>
      </c>
      <c r="O937" s="19">
        <f>IF(OR(G937="",G936=""),"",G937/G936-1)</f>
        <v/>
      </c>
      <c r="P937" s="22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IF(R937="","",P937/R937)</f>
        <v/>
      </c>
      <c r="T937" s="23">
        <f>IF(R937="","",Q937/R937)</f>
        <v/>
      </c>
      <c r="U937" s="24">
        <f>IF(SUMIFS('Daily NSE Equity Options'!$M:$M,'Daily NSE Equity Options'!$A:$A,$A937)=0,"",SUMIFS('Daily NSE Equity Options'!$M:$M,'Daily NSE Equity Options'!$A:$A,$A937))</f>
        <v/>
      </c>
      <c r="V937" s="9">
        <f>IF(SUMIFS('Daily BSE Equity Options'!$M:$M,'Daily BSE Equity Options'!$A:$A,$A937)=0,"",SUMIFS('Daily BSE Equity Options'!$M:$M,'Daily BSE Equity Options'!$A:$A,$A937))</f>
        <v/>
      </c>
      <c r="W937" s="9">
        <f>IF(OR(U937="",V937=""),"",U937+V937)</f>
        <v/>
      </c>
      <c r="X937" s="25">
        <f>IF(W937="","",U937/W937)</f>
        <v/>
      </c>
      <c r="Y937" s="25">
        <f>IF(W937="","",V937/W937)</f>
        <v/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19">
        <f>IF(G938="","",E938/G938)</f>
        <v/>
      </c>
      <c r="I938" s="19">
        <f>IF(G938="","",F938/G938)</f>
        <v/>
      </c>
      <c r="J938" s="26">
        <f>IFERROR(IF(OR(E938="",INDEX(E:E,MATCH(DATE(YEAR($A938)-1,MONTH($A938),DAY($A938)),$A:$A,0))=""),"",E938/INDEX(E:E,MATCH(DATE(YEAR($A938)-1,MONTH($A938),DAY($A938)),$A:$A,0))-1),"")</f>
        <v/>
      </c>
      <c r="K938" s="19">
        <f>IFERROR(IF(OR(F938="",INDEX(F:F,MATCH(DATE(YEAR($A938)-1,MONTH($A938),DAY($A938)),$A:$A,0))=""),"",F938/INDEX(F:F,MATCH(DATE(YEAR($A938)-1,MONTH($A938),DAY($A938)),$A:$A,0))-1),"")</f>
        <v/>
      </c>
      <c r="L938" s="19">
        <f>IFERROR(IF(OR(G938="",INDEX(G:G,MATCH(DATE(YEAR($A938)-1,MONTH($A938),DAY($A938)),$A:$A,0))=""),"",G938/INDEX(G:G,MATCH(DATE(YEAR($A938)-1,MONTH($A938),DAY($A938)),$A:$A,0))-1),"")</f>
        <v/>
      </c>
      <c r="M938" s="19">
        <f>IF(OR(E938="",E937=""),"",E938/E937-1)</f>
        <v/>
      </c>
      <c r="N938" s="19">
        <f>IF(OR(F938="",F937=""),"",F938/F937-1)</f>
        <v/>
      </c>
      <c r="O938" s="19">
        <f>IF(OR(G938="",G937=""),"",G938/G937-1)</f>
        <v/>
      </c>
      <c r="P938" s="22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IF(R938="","",P938/R938)</f>
        <v/>
      </c>
      <c r="T938" s="23">
        <f>IF(R938="","",Q938/R938)</f>
        <v/>
      </c>
      <c r="U938" s="24">
        <f>IF(SUMIFS('Daily NSE Equity Options'!$M:$M,'Daily NSE Equity Options'!$A:$A,$A938)=0,"",SUMIFS('Daily NSE Equity Options'!$M:$M,'Daily NSE Equity Options'!$A:$A,$A938))</f>
        <v/>
      </c>
      <c r="V938" s="9">
        <f>IF(SUMIFS('Daily BSE Equity Options'!$M:$M,'Daily BSE Equity Options'!$A:$A,$A938)=0,"",SUMIFS('Daily BSE Equity Options'!$M:$M,'Daily BSE Equity Options'!$A:$A,$A938))</f>
        <v/>
      </c>
      <c r="W938" s="9">
        <f>IF(OR(U938="",V938=""),"",U938+V938)</f>
        <v/>
      </c>
      <c r="X938" s="25">
        <f>IF(W938="","",U938/W938)</f>
        <v/>
      </c>
      <c r="Y938" s="25">
        <f>IF(W938="","",V938/W938)</f>
        <v/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19">
        <f>IF(G939="","",E939/G939)</f>
        <v/>
      </c>
      <c r="I939" s="19">
        <f>IF(G939="","",F939/G939)</f>
        <v/>
      </c>
      <c r="J939" s="26">
        <f>IFERROR(IF(OR(E939="",INDEX(E:E,MATCH(DATE(YEAR($A939)-1,MONTH($A939),DAY($A939)),$A:$A,0))=""),"",E939/INDEX(E:E,MATCH(DATE(YEAR($A939)-1,MONTH($A939),DAY($A939)),$A:$A,0))-1),"")</f>
        <v/>
      </c>
      <c r="K939" s="19">
        <f>IFERROR(IF(OR(F939="",INDEX(F:F,MATCH(DATE(YEAR($A939)-1,MONTH($A939),DAY($A939)),$A:$A,0))=""),"",F939/INDEX(F:F,MATCH(DATE(YEAR($A939)-1,MONTH($A939),DAY($A939)),$A:$A,0))-1),"")</f>
        <v/>
      </c>
      <c r="L939" s="19">
        <f>IFERROR(IF(OR(G939="",INDEX(G:G,MATCH(DATE(YEAR($A939)-1,MONTH($A939),DAY($A939)),$A:$A,0))=""),"",G939/INDEX(G:G,MATCH(DATE(YEAR($A939)-1,MONTH($A939),DAY($A939)),$A:$A,0))-1),"")</f>
        <v/>
      </c>
      <c r="M939" s="19">
        <f>IF(OR(E939="",E938=""),"",E939/E938-1)</f>
        <v/>
      </c>
      <c r="N939" s="19">
        <f>IF(OR(F939="",F938=""),"",F939/F938-1)</f>
        <v/>
      </c>
      <c r="O939" s="19">
        <f>IF(OR(G939="",G938=""),"",G939/G938-1)</f>
        <v/>
      </c>
      <c r="P939" s="22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IF(R939="","",P939/R939)</f>
        <v/>
      </c>
      <c r="T939" s="23">
        <f>IF(R939="","",Q939/R939)</f>
        <v/>
      </c>
      <c r="U939" s="24">
        <f>IF(SUMIFS('Daily NSE Equity Options'!$M:$M,'Daily NSE Equity Options'!$A:$A,$A939)=0,"",SUMIFS('Daily NSE Equity Options'!$M:$M,'Daily NSE Equity Options'!$A:$A,$A939))</f>
        <v/>
      </c>
      <c r="V939" s="9">
        <f>IF(SUMIFS('Daily BSE Equity Options'!$M:$M,'Daily BSE Equity Options'!$A:$A,$A939)=0,"",SUMIFS('Daily BSE Equity Options'!$M:$M,'Daily BSE Equity Options'!$A:$A,$A939))</f>
        <v/>
      </c>
      <c r="W939" s="9">
        <f>IF(OR(U939="",V939=""),"",U939+V939)</f>
        <v/>
      </c>
      <c r="X939" s="25">
        <f>IF(W939="","",U939/W939)</f>
        <v/>
      </c>
      <c r="Y939" s="25">
        <f>IF(W939="","",V939/W939)</f>
        <v/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19">
        <f>IF(G940="","",E940/G940)</f>
        <v/>
      </c>
      <c r="I940" s="19">
        <f>IF(G940="","",F940/G940)</f>
        <v/>
      </c>
      <c r="J940" s="26">
        <f>IFERROR(IF(OR(E940="",INDEX(E:E,MATCH(DATE(YEAR($A940)-1,MONTH($A940),DAY($A940)),$A:$A,0))=""),"",E940/INDEX(E:E,MATCH(DATE(YEAR($A940)-1,MONTH($A940),DAY($A940)),$A:$A,0))-1),"")</f>
        <v/>
      </c>
      <c r="K940" s="19">
        <f>IFERROR(IF(OR(F940="",INDEX(F:F,MATCH(DATE(YEAR($A940)-1,MONTH($A940),DAY($A940)),$A:$A,0))=""),"",F940/INDEX(F:F,MATCH(DATE(YEAR($A940)-1,MONTH($A940),DAY($A940)),$A:$A,0))-1),"")</f>
        <v/>
      </c>
      <c r="L940" s="19">
        <f>IFERROR(IF(OR(G940="",INDEX(G:G,MATCH(DATE(YEAR($A940)-1,MONTH($A940),DAY($A940)),$A:$A,0))=""),"",G940/INDEX(G:G,MATCH(DATE(YEAR($A940)-1,MONTH($A940),DAY($A940)),$A:$A,0))-1),"")</f>
        <v/>
      </c>
      <c r="M940" s="19">
        <f>IF(OR(E940="",E939=""),"",E940/E939-1)</f>
        <v/>
      </c>
      <c r="N940" s="19">
        <f>IF(OR(F940="",F939=""),"",F940/F939-1)</f>
        <v/>
      </c>
      <c r="O940" s="19">
        <f>IF(OR(G940="",G939=""),"",G940/G939-1)</f>
        <v/>
      </c>
      <c r="P940" s="22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IF(R940="","",P940/R940)</f>
        <v/>
      </c>
      <c r="T940" s="23">
        <f>IF(R940="","",Q940/R940)</f>
        <v/>
      </c>
      <c r="U940" s="24">
        <f>IF(SUMIFS('Daily NSE Equity Options'!$M:$M,'Daily NSE Equity Options'!$A:$A,$A940)=0,"",SUMIFS('Daily NSE Equity Options'!$M:$M,'Daily NSE Equity Options'!$A:$A,$A940))</f>
        <v/>
      </c>
      <c r="V940" s="9">
        <f>IF(SUMIFS('Daily BSE Equity Options'!$M:$M,'Daily BSE Equity Options'!$A:$A,$A940)=0,"",SUMIFS('Daily BSE Equity Options'!$M:$M,'Daily BSE Equity Options'!$A:$A,$A940))</f>
        <v/>
      </c>
      <c r="W940" s="9">
        <f>IF(OR(U940="",V940=""),"",U940+V940)</f>
        <v/>
      </c>
      <c r="X940" s="25">
        <f>IF(W940="","",U940/W940)</f>
        <v/>
      </c>
      <c r="Y940" s="25">
        <f>IF(W940="","",V940/W940)</f>
        <v/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19">
        <f>IF(G941="","",E941/G941)</f>
        <v/>
      </c>
      <c r="I941" s="19">
        <f>IF(G941="","",F941/G941)</f>
        <v/>
      </c>
      <c r="J941" s="26">
        <f>IFERROR(IF(OR(E941="",INDEX(E:E,MATCH(DATE(YEAR($A941)-1,MONTH($A941),DAY($A941)),$A:$A,0))=""),"",E941/INDEX(E:E,MATCH(DATE(YEAR($A941)-1,MONTH($A941),DAY($A941)),$A:$A,0))-1),"")</f>
        <v/>
      </c>
      <c r="K941" s="19">
        <f>IFERROR(IF(OR(F941="",INDEX(F:F,MATCH(DATE(YEAR($A941)-1,MONTH($A941),DAY($A941)),$A:$A,0))=""),"",F941/INDEX(F:F,MATCH(DATE(YEAR($A941)-1,MONTH($A941),DAY($A941)),$A:$A,0))-1),"")</f>
        <v/>
      </c>
      <c r="L941" s="19">
        <f>IFERROR(IF(OR(G941="",INDEX(G:G,MATCH(DATE(YEAR($A941)-1,MONTH($A941),DAY($A941)),$A:$A,0))=""),"",G941/INDEX(G:G,MATCH(DATE(YEAR($A941)-1,MONTH($A941),DAY($A941)),$A:$A,0))-1),"")</f>
        <v/>
      </c>
      <c r="M941" s="19">
        <f>IF(OR(E941="",E940=""),"",E941/E940-1)</f>
        <v/>
      </c>
      <c r="N941" s="19">
        <f>IF(OR(F941="",F940=""),"",F941/F940-1)</f>
        <v/>
      </c>
      <c r="O941" s="19">
        <f>IF(OR(G941="",G940=""),"",G941/G940-1)</f>
        <v/>
      </c>
      <c r="P941" s="22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IF(R941="","",P941/R941)</f>
        <v/>
      </c>
      <c r="T941" s="23">
        <f>IF(R941="","",Q941/R941)</f>
        <v/>
      </c>
      <c r="U941" s="24">
        <f>IF(SUMIFS('Daily NSE Equity Options'!$M:$M,'Daily NSE Equity Options'!$A:$A,$A941)=0,"",SUMIFS('Daily NSE Equity Options'!$M:$M,'Daily NSE Equity Options'!$A:$A,$A941))</f>
        <v/>
      </c>
      <c r="V941" s="9">
        <f>IF(SUMIFS('Daily BSE Equity Options'!$M:$M,'Daily BSE Equity Options'!$A:$A,$A941)=0,"",SUMIFS('Daily BSE Equity Options'!$M:$M,'Daily BSE Equity Options'!$A:$A,$A941))</f>
        <v/>
      </c>
      <c r="W941" s="9">
        <f>IF(OR(U941="",V941=""),"",U941+V941)</f>
        <v/>
      </c>
      <c r="X941" s="25">
        <f>IF(W941="","",U941/W941)</f>
        <v/>
      </c>
      <c r="Y941" s="25">
        <f>IF(W941="","",V941/W941)</f>
        <v/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19">
        <f>IF(G942="","",E942/G942)</f>
        <v/>
      </c>
      <c r="I942" s="19">
        <f>IF(G942="","",F942/G942)</f>
        <v/>
      </c>
      <c r="J942" s="26">
        <f>IFERROR(IF(OR(E942="",INDEX(E:E,MATCH(DATE(YEAR($A942)-1,MONTH($A942),DAY($A942)),$A:$A,0))=""),"",E942/INDEX(E:E,MATCH(DATE(YEAR($A942)-1,MONTH($A942),DAY($A942)),$A:$A,0))-1),"")</f>
        <v/>
      </c>
      <c r="K942" s="19">
        <f>IFERROR(IF(OR(F942="",INDEX(F:F,MATCH(DATE(YEAR($A942)-1,MONTH($A942),DAY($A942)),$A:$A,0))=""),"",F942/INDEX(F:F,MATCH(DATE(YEAR($A942)-1,MONTH($A942),DAY($A942)),$A:$A,0))-1),"")</f>
        <v/>
      </c>
      <c r="L942" s="19">
        <f>IFERROR(IF(OR(G942="",INDEX(G:G,MATCH(DATE(YEAR($A942)-1,MONTH($A942),DAY($A942)),$A:$A,0))=""),"",G942/INDEX(G:G,MATCH(DATE(YEAR($A942)-1,MONTH($A942),DAY($A942)),$A:$A,0))-1),"")</f>
        <v/>
      </c>
      <c r="M942" s="19">
        <f>IF(OR(E942="",E941=""),"",E942/E941-1)</f>
        <v/>
      </c>
      <c r="N942" s="19">
        <f>IF(OR(F942="",F941=""),"",F942/F941-1)</f>
        <v/>
      </c>
      <c r="O942" s="19">
        <f>IF(OR(G942="",G941=""),"",G942/G941-1)</f>
        <v/>
      </c>
      <c r="P942" s="22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IF(R942="","",P942/R942)</f>
        <v/>
      </c>
      <c r="T942" s="23">
        <f>IF(R942="","",Q942/R942)</f>
        <v/>
      </c>
      <c r="U942" s="24">
        <f>IF(SUMIFS('Daily NSE Equity Options'!$M:$M,'Daily NSE Equity Options'!$A:$A,$A942)=0,"",SUMIFS('Daily NSE Equity Options'!$M:$M,'Daily NSE Equity Options'!$A:$A,$A942))</f>
        <v/>
      </c>
      <c r="V942" s="9">
        <f>IF(SUMIFS('Daily BSE Equity Options'!$M:$M,'Daily BSE Equity Options'!$A:$A,$A942)=0,"",SUMIFS('Daily BSE Equity Options'!$M:$M,'Daily BSE Equity Options'!$A:$A,$A942))</f>
        <v/>
      </c>
      <c r="W942" s="9">
        <f>IF(OR(U942="",V942=""),"",U942+V942)</f>
        <v/>
      </c>
      <c r="X942" s="25">
        <f>IF(W942="","",U942/W942)</f>
        <v/>
      </c>
      <c r="Y942" s="25">
        <f>IF(W942="","",V942/W942)</f>
        <v/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19">
        <f>IF(G943="","",E943/G943)</f>
        <v/>
      </c>
      <c r="I943" s="19">
        <f>IF(G943="","",F943/G943)</f>
        <v/>
      </c>
      <c r="J943" s="26">
        <f>IFERROR(IF(OR(E943="",INDEX(E:E,MATCH(DATE(YEAR($A943)-1,MONTH($A943),DAY($A943)),$A:$A,0))=""),"",E943/INDEX(E:E,MATCH(DATE(YEAR($A943)-1,MONTH($A943),DAY($A943)),$A:$A,0))-1),"")</f>
        <v/>
      </c>
      <c r="K943" s="19">
        <f>IFERROR(IF(OR(F943="",INDEX(F:F,MATCH(DATE(YEAR($A943)-1,MONTH($A943),DAY($A943)),$A:$A,0))=""),"",F943/INDEX(F:F,MATCH(DATE(YEAR($A943)-1,MONTH($A943),DAY($A943)),$A:$A,0))-1),"")</f>
        <v/>
      </c>
      <c r="L943" s="19">
        <f>IFERROR(IF(OR(G943="",INDEX(G:G,MATCH(DATE(YEAR($A943)-1,MONTH($A943),DAY($A943)),$A:$A,0))=""),"",G943/INDEX(G:G,MATCH(DATE(YEAR($A943)-1,MONTH($A943),DAY($A943)),$A:$A,0))-1),"")</f>
        <v/>
      </c>
      <c r="M943" s="19">
        <f>IF(OR(E943="",E942=""),"",E943/E942-1)</f>
        <v/>
      </c>
      <c r="N943" s="19">
        <f>IF(OR(F943="",F942=""),"",F943/F942-1)</f>
        <v/>
      </c>
      <c r="O943" s="19">
        <f>IF(OR(G943="",G942=""),"",G943/G942-1)</f>
        <v/>
      </c>
      <c r="P943" s="22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IF(R943="","",P943/R943)</f>
        <v/>
      </c>
      <c r="T943" s="23">
        <f>IF(R943="","",Q943/R943)</f>
        <v/>
      </c>
      <c r="U943" s="24">
        <f>IF(SUMIFS('Daily NSE Equity Options'!$M:$M,'Daily NSE Equity Options'!$A:$A,$A943)=0,"",SUMIFS('Daily NSE Equity Options'!$M:$M,'Daily NSE Equity Options'!$A:$A,$A943))</f>
        <v/>
      </c>
      <c r="V943" s="9">
        <f>IF(SUMIFS('Daily BSE Equity Options'!$M:$M,'Daily BSE Equity Options'!$A:$A,$A943)=0,"",SUMIFS('Daily BSE Equity Options'!$M:$M,'Daily BSE Equity Options'!$A:$A,$A943))</f>
        <v/>
      </c>
      <c r="W943" s="9">
        <f>IF(OR(U943="",V943=""),"",U943+V943)</f>
        <v/>
      </c>
      <c r="X943" s="25">
        <f>IF(W943="","",U943/W943)</f>
        <v/>
      </c>
      <c r="Y943" s="25">
        <f>IF(W943="","",V943/W943)</f>
        <v/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19">
        <f>IF(G944="","",E944/G944)</f>
        <v/>
      </c>
      <c r="I944" s="19">
        <f>IF(G944="","",F944/G944)</f>
        <v/>
      </c>
      <c r="J944" s="26">
        <f>IFERROR(IF(OR(E944="",INDEX(E:E,MATCH(DATE(YEAR($A944)-1,MONTH($A944),DAY($A944)),$A:$A,0))=""),"",E944/INDEX(E:E,MATCH(DATE(YEAR($A944)-1,MONTH($A944),DAY($A944)),$A:$A,0))-1),"")</f>
        <v/>
      </c>
      <c r="K944" s="19">
        <f>IFERROR(IF(OR(F944="",INDEX(F:F,MATCH(DATE(YEAR($A944)-1,MONTH($A944),DAY($A944)),$A:$A,0))=""),"",F944/INDEX(F:F,MATCH(DATE(YEAR($A944)-1,MONTH($A944),DAY($A944)),$A:$A,0))-1),"")</f>
        <v/>
      </c>
      <c r="L944" s="19">
        <f>IFERROR(IF(OR(G944="",INDEX(G:G,MATCH(DATE(YEAR($A944)-1,MONTH($A944),DAY($A944)),$A:$A,0))=""),"",G944/INDEX(G:G,MATCH(DATE(YEAR($A944)-1,MONTH($A944),DAY($A944)),$A:$A,0))-1),"")</f>
        <v/>
      </c>
      <c r="M944" s="19">
        <f>IF(OR(E944="",E943=""),"",E944/E943-1)</f>
        <v/>
      </c>
      <c r="N944" s="19">
        <f>IF(OR(F944="",F943=""),"",F944/F943-1)</f>
        <v/>
      </c>
      <c r="O944" s="19">
        <f>IF(OR(G944="",G943=""),"",G944/G943-1)</f>
        <v/>
      </c>
      <c r="P944" s="22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IF(R944="","",P944/R944)</f>
        <v/>
      </c>
      <c r="T944" s="23">
        <f>IF(R944="","",Q944/R944)</f>
        <v/>
      </c>
      <c r="U944" s="24">
        <f>IF(SUMIFS('Daily NSE Equity Options'!$M:$M,'Daily NSE Equity Options'!$A:$A,$A944)=0,"",SUMIFS('Daily NSE Equity Options'!$M:$M,'Daily NSE Equity Options'!$A:$A,$A944))</f>
        <v/>
      </c>
      <c r="V944" s="9">
        <f>IF(SUMIFS('Daily BSE Equity Options'!$M:$M,'Daily BSE Equity Options'!$A:$A,$A944)=0,"",SUMIFS('Daily BSE Equity Options'!$M:$M,'Daily BSE Equity Options'!$A:$A,$A944))</f>
        <v/>
      </c>
      <c r="W944" s="9">
        <f>IF(OR(U944="",V944=""),"",U944+V944)</f>
        <v/>
      </c>
      <c r="X944" s="25">
        <f>IF(W944="","",U944/W944)</f>
        <v/>
      </c>
      <c r="Y944" s="25">
        <f>IF(W944="","",V944/W944)</f>
        <v/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19">
        <f>IF(G945="","",E945/G945)</f>
        <v/>
      </c>
      <c r="I945" s="19">
        <f>IF(G945="","",F945/G945)</f>
        <v/>
      </c>
      <c r="J945" s="26">
        <f>IFERROR(IF(OR(E945="",INDEX(E:E,MATCH(DATE(YEAR($A945)-1,MONTH($A945),DAY($A945)),$A:$A,0))=""),"",E945/INDEX(E:E,MATCH(DATE(YEAR($A945)-1,MONTH($A945),DAY($A945)),$A:$A,0))-1),"")</f>
        <v/>
      </c>
      <c r="K945" s="19">
        <f>IFERROR(IF(OR(F945="",INDEX(F:F,MATCH(DATE(YEAR($A945)-1,MONTH($A945),DAY($A945)),$A:$A,0))=""),"",F945/INDEX(F:F,MATCH(DATE(YEAR($A945)-1,MONTH($A945),DAY($A945)),$A:$A,0))-1),"")</f>
        <v/>
      </c>
      <c r="L945" s="19">
        <f>IFERROR(IF(OR(G945="",INDEX(G:G,MATCH(DATE(YEAR($A945)-1,MONTH($A945),DAY($A945)),$A:$A,0))=""),"",G945/INDEX(G:G,MATCH(DATE(YEAR($A945)-1,MONTH($A945),DAY($A945)),$A:$A,0))-1),"")</f>
        <v/>
      </c>
      <c r="M945" s="19">
        <f>IF(OR(E945="",E944=""),"",E945/E944-1)</f>
        <v/>
      </c>
      <c r="N945" s="19">
        <f>IF(OR(F945="",F944=""),"",F945/F944-1)</f>
        <v/>
      </c>
      <c r="O945" s="19">
        <f>IF(OR(G945="",G944=""),"",G945/G944-1)</f>
        <v/>
      </c>
      <c r="P945" s="22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IF(R945="","",P945/R945)</f>
        <v/>
      </c>
      <c r="T945" s="23">
        <f>IF(R945="","",Q945/R945)</f>
        <v/>
      </c>
      <c r="U945" s="24">
        <f>IF(SUMIFS('Daily NSE Equity Options'!$M:$M,'Daily NSE Equity Options'!$A:$A,$A945)=0,"",SUMIFS('Daily NSE Equity Options'!$M:$M,'Daily NSE Equity Options'!$A:$A,$A945))</f>
        <v/>
      </c>
      <c r="V945" s="9">
        <f>IF(SUMIFS('Daily BSE Equity Options'!$M:$M,'Daily BSE Equity Options'!$A:$A,$A945)=0,"",SUMIFS('Daily BSE Equity Options'!$M:$M,'Daily BSE Equity Options'!$A:$A,$A945))</f>
        <v/>
      </c>
      <c r="W945" s="9">
        <f>IF(OR(U945="",V945=""),"",U945+V945)</f>
        <v/>
      </c>
      <c r="X945" s="25">
        <f>IF(W945="","",U945/W945)</f>
        <v/>
      </c>
      <c r="Y945" s="25">
        <f>IF(W945="","",V945/W945)</f>
        <v/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19">
        <f>IF(G946="","",E946/G946)</f>
        <v/>
      </c>
      <c r="I946" s="19">
        <f>IF(G946="","",F946/G946)</f>
        <v/>
      </c>
      <c r="J946" s="26">
        <f>IFERROR(IF(OR(E946="",INDEX(E:E,MATCH(DATE(YEAR($A946)-1,MONTH($A946),DAY($A946)),$A:$A,0))=""),"",E946/INDEX(E:E,MATCH(DATE(YEAR($A946)-1,MONTH($A946),DAY($A946)),$A:$A,0))-1),"")</f>
        <v/>
      </c>
      <c r="K946" s="19">
        <f>IFERROR(IF(OR(F946="",INDEX(F:F,MATCH(DATE(YEAR($A946)-1,MONTH($A946),DAY($A946)),$A:$A,0))=""),"",F946/INDEX(F:F,MATCH(DATE(YEAR($A946)-1,MONTH($A946),DAY($A946)),$A:$A,0))-1),"")</f>
        <v/>
      </c>
      <c r="L946" s="19">
        <f>IFERROR(IF(OR(G946="",INDEX(G:G,MATCH(DATE(YEAR($A946)-1,MONTH($A946),DAY($A946)),$A:$A,0))=""),"",G946/INDEX(G:G,MATCH(DATE(YEAR($A946)-1,MONTH($A946),DAY($A946)),$A:$A,0))-1),"")</f>
        <v/>
      </c>
      <c r="M946" s="19">
        <f>IF(OR(E946="",E945=""),"",E946/E945-1)</f>
        <v/>
      </c>
      <c r="N946" s="19">
        <f>IF(OR(F946="",F945=""),"",F946/F945-1)</f>
        <v/>
      </c>
      <c r="O946" s="19">
        <f>IF(OR(G946="",G945=""),"",G946/G945-1)</f>
        <v/>
      </c>
      <c r="P946" s="22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IF(R946="","",P946/R946)</f>
        <v/>
      </c>
      <c r="T946" s="23">
        <f>IF(R946="","",Q946/R946)</f>
        <v/>
      </c>
      <c r="U946" s="24">
        <f>IF(SUMIFS('Daily NSE Equity Options'!$M:$M,'Daily NSE Equity Options'!$A:$A,$A946)=0,"",SUMIFS('Daily NSE Equity Options'!$M:$M,'Daily NSE Equity Options'!$A:$A,$A946))</f>
        <v/>
      </c>
      <c r="V946" s="9">
        <f>IF(SUMIFS('Daily BSE Equity Options'!$M:$M,'Daily BSE Equity Options'!$A:$A,$A946)=0,"",SUMIFS('Daily BSE Equity Options'!$M:$M,'Daily BSE Equity Options'!$A:$A,$A946))</f>
        <v/>
      </c>
      <c r="W946" s="9">
        <f>IF(OR(U946="",V946=""),"",U946+V946)</f>
        <v/>
      </c>
      <c r="X946" s="25">
        <f>IF(W946="","",U946/W946)</f>
        <v/>
      </c>
      <c r="Y946" s="25">
        <f>IF(W946="","",V946/W946)</f>
        <v/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19">
        <f>IF(G947="","",E947/G947)</f>
        <v/>
      </c>
      <c r="I947" s="19">
        <f>IF(G947="","",F947/G947)</f>
        <v/>
      </c>
      <c r="J947" s="26">
        <f>IFERROR(IF(OR(E947="",INDEX(E:E,MATCH(DATE(YEAR($A947)-1,MONTH($A947),DAY($A947)),$A:$A,0))=""),"",E947/INDEX(E:E,MATCH(DATE(YEAR($A947)-1,MONTH($A947),DAY($A947)),$A:$A,0))-1),"")</f>
        <v/>
      </c>
      <c r="K947" s="19">
        <f>IFERROR(IF(OR(F947="",INDEX(F:F,MATCH(DATE(YEAR($A947)-1,MONTH($A947),DAY($A947)),$A:$A,0))=""),"",F947/INDEX(F:F,MATCH(DATE(YEAR($A947)-1,MONTH($A947),DAY($A947)),$A:$A,0))-1),"")</f>
        <v/>
      </c>
      <c r="L947" s="19">
        <f>IFERROR(IF(OR(G947="",INDEX(G:G,MATCH(DATE(YEAR($A947)-1,MONTH($A947),DAY($A947)),$A:$A,0))=""),"",G947/INDEX(G:G,MATCH(DATE(YEAR($A947)-1,MONTH($A947),DAY($A947)),$A:$A,0))-1),"")</f>
        <v/>
      </c>
      <c r="M947" s="19">
        <f>IF(OR(E947="",E946=""),"",E947/E946-1)</f>
        <v/>
      </c>
      <c r="N947" s="19">
        <f>IF(OR(F947="",F946=""),"",F947/F946-1)</f>
        <v/>
      </c>
      <c r="O947" s="19">
        <f>IF(OR(G947="",G946=""),"",G947/G946-1)</f>
        <v/>
      </c>
      <c r="P947" s="22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IF(R947="","",P947/R947)</f>
        <v/>
      </c>
      <c r="T947" s="23">
        <f>IF(R947="","",Q947/R947)</f>
        <v/>
      </c>
      <c r="U947" s="24">
        <f>IF(SUMIFS('Daily NSE Equity Options'!$M:$M,'Daily NSE Equity Options'!$A:$A,$A947)=0,"",SUMIFS('Daily NSE Equity Options'!$M:$M,'Daily NSE Equity Options'!$A:$A,$A947))</f>
        <v/>
      </c>
      <c r="V947" s="9">
        <f>IF(SUMIFS('Daily BSE Equity Options'!$M:$M,'Daily BSE Equity Options'!$A:$A,$A947)=0,"",SUMIFS('Daily BSE Equity Options'!$M:$M,'Daily BSE Equity Options'!$A:$A,$A947))</f>
        <v/>
      </c>
      <c r="W947" s="9">
        <f>IF(OR(U947="",V947=""),"",U947+V947)</f>
        <v/>
      </c>
      <c r="X947" s="25">
        <f>IF(W947="","",U947/W947)</f>
        <v/>
      </c>
      <c r="Y947" s="25">
        <f>IF(W947="","",V947/W947)</f>
        <v/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19">
        <f>IF(G948="","",E948/G948)</f>
        <v/>
      </c>
      <c r="I948" s="19">
        <f>IF(G948="","",F948/G948)</f>
        <v/>
      </c>
      <c r="J948" s="26">
        <f>IFERROR(IF(OR(E948="",INDEX(E:E,MATCH(DATE(YEAR($A948)-1,MONTH($A948),DAY($A948)),$A:$A,0))=""),"",E948/INDEX(E:E,MATCH(DATE(YEAR($A948)-1,MONTH($A948),DAY($A948)),$A:$A,0))-1),"")</f>
        <v/>
      </c>
      <c r="K948" s="19">
        <f>IFERROR(IF(OR(F948="",INDEX(F:F,MATCH(DATE(YEAR($A948)-1,MONTH($A948),DAY($A948)),$A:$A,0))=""),"",F948/INDEX(F:F,MATCH(DATE(YEAR($A948)-1,MONTH($A948),DAY($A948)),$A:$A,0))-1),"")</f>
        <v/>
      </c>
      <c r="L948" s="19">
        <f>IFERROR(IF(OR(G948="",INDEX(G:G,MATCH(DATE(YEAR($A948)-1,MONTH($A948),DAY($A948)),$A:$A,0))=""),"",G948/INDEX(G:G,MATCH(DATE(YEAR($A948)-1,MONTH($A948),DAY($A948)),$A:$A,0))-1),"")</f>
        <v/>
      </c>
      <c r="M948" s="19">
        <f>IF(OR(E948="",E947=""),"",E948/E947-1)</f>
        <v/>
      </c>
      <c r="N948" s="19">
        <f>IF(OR(F948="",F947=""),"",F948/F947-1)</f>
        <v/>
      </c>
      <c r="O948" s="19">
        <f>IF(OR(G948="",G947=""),"",G948/G947-1)</f>
        <v/>
      </c>
      <c r="P948" s="22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IF(R948="","",P948/R948)</f>
        <v/>
      </c>
      <c r="T948" s="23">
        <f>IF(R948="","",Q948/R948)</f>
        <v/>
      </c>
      <c r="U948" s="24">
        <f>IF(SUMIFS('Daily NSE Equity Options'!$M:$M,'Daily NSE Equity Options'!$A:$A,$A948)=0,"",SUMIFS('Daily NSE Equity Options'!$M:$M,'Daily NSE Equity Options'!$A:$A,$A948))</f>
        <v/>
      </c>
      <c r="V948" s="9">
        <f>IF(SUMIFS('Daily BSE Equity Options'!$M:$M,'Daily BSE Equity Options'!$A:$A,$A948)=0,"",SUMIFS('Daily BSE Equity Options'!$M:$M,'Daily BSE Equity Options'!$A:$A,$A948))</f>
        <v/>
      </c>
      <c r="W948" s="9">
        <f>IF(OR(U948="",V948=""),"",U948+V948)</f>
        <v/>
      </c>
      <c r="X948" s="25">
        <f>IF(W948="","",U948/W948)</f>
        <v/>
      </c>
      <c r="Y948" s="25">
        <f>IF(W948="","",V948/W948)</f>
        <v/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19">
        <f>IF(G949="","",E949/G949)</f>
        <v/>
      </c>
      <c r="I949" s="19">
        <f>IF(G949="","",F949/G949)</f>
        <v/>
      </c>
      <c r="J949" s="26">
        <f>IFERROR(IF(OR(E949="",INDEX(E:E,MATCH(DATE(YEAR($A949)-1,MONTH($A949),DAY($A949)),$A:$A,0))=""),"",E949/INDEX(E:E,MATCH(DATE(YEAR($A949)-1,MONTH($A949),DAY($A949)),$A:$A,0))-1),"")</f>
        <v/>
      </c>
      <c r="K949" s="19">
        <f>IFERROR(IF(OR(F949="",INDEX(F:F,MATCH(DATE(YEAR($A949)-1,MONTH($A949),DAY($A949)),$A:$A,0))=""),"",F949/INDEX(F:F,MATCH(DATE(YEAR($A949)-1,MONTH($A949),DAY($A949)),$A:$A,0))-1),"")</f>
        <v/>
      </c>
      <c r="L949" s="19">
        <f>IFERROR(IF(OR(G949="",INDEX(G:G,MATCH(DATE(YEAR($A949)-1,MONTH($A949),DAY($A949)),$A:$A,0))=""),"",G949/INDEX(G:G,MATCH(DATE(YEAR($A949)-1,MONTH($A949),DAY($A949)),$A:$A,0))-1),"")</f>
        <v/>
      </c>
      <c r="M949" s="19">
        <f>IF(OR(E949="",E948=""),"",E949/E948-1)</f>
        <v/>
      </c>
      <c r="N949" s="19">
        <f>IF(OR(F949="",F948=""),"",F949/F948-1)</f>
        <v/>
      </c>
      <c r="O949" s="19">
        <f>IF(OR(G949="",G948=""),"",G949/G948-1)</f>
        <v/>
      </c>
      <c r="P949" s="22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IF(R949="","",P949/R949)</f>
        <v/>
      </c>
      <c r="T949" s="23">
        <f>IF(R949="","",Q949/R949)</f>
        <v/>
      </c>
      <c r="U949" s="24">
        <f>IF(SUMIFS('Daily NSE Equity Options'!$M:$M,'Daily NSE Equity Options'!$A:$A,$A949)=0,"",SUMIFS('Daily NSE Equity Options'!$M:$M,'Daily NSE Equity Options'!$A:$A,$A949))</f>
        <v/>
      </c>
      <c r="V949" s="9">
        <f>IF(SUMIFS('Daily BSE Equity Options'!$M:$M,'Daily BSE Equity Options'!$A:$A,$A949)=0,"",SUMIFS('Daily BSE Equity Options'!$M:$M,'Daily BSE Equity Options'!$A:$A,$A949))</f>
        <v/>
      </c>
      <c r="W949" s="9">
        <f>IF(OR(U949="",V949=""),"",U949+V949)</f>
        <v/>
      </c>
      <c r="X949" s="25">
        <f>IF(W949="","",U949/W949)</f>
        <v/>
      </c>
      <c r="Y949" s="25">
        <f>IF(W949="","",V949/W949)</f>
        <v/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19">
        <f>IF(G950="","",E950/G950)</f>
        <v/>
      </c>
      <c r="I950" s="19">
        <f>IF(G950="","",F950/G950)</f>
        <v/>
      </c>
      <c r="J950" s="26">
        <f>IFERROR(IF(OR(E950="",INDEX(E:E,MATCH(DATE(YEAR($A950)-1,MONTH($A950),DAY($A950)),$A:$A,0))=""),"",E950/INDEX(E:E,MATCH(DATE(YEAR($A950)-1,MONTH($A950),DAY($A950)),$A:$A,0))-1),"")</f>
        <v/>
      </c>
      <c r="K950" s="19">
        <f>IFERROR(IF(OR(F950="",INDEX(F:F,MATCH(DATE(YEAR($A950)-1,MONTH($A950),DAY($A950)),$A:$A,0))=""),"",F950/INDEX(F:F,MATCH(DATE(YEAR($A950)-1,MONTH($A950),DAY($A950)),$A:$A,0))-1),"")</f>
        <v/>
      </c>
      <c r="L950" s="19">
        <f>IFERROR(IF(OR(G950="",INDEX(G:G,MATCH(DATE(YEAR($A950)-1,MONTH($A950),DAY($A950)),$A:$A,0))=""),"",G950/INDEX(G:G,MATCH(DATE(YEAR($A950)-1,MONTH($A950),DAY($A950)),$A:$A,0))-1),"")</f>
        <v/>
      </c>
      <c r="M950" s="19">
        <f>IF(OR(E950="",E949=""),"",E950/E949-1)</f>
        <v/>
      </c>
      <c r="N950" s="19">
        <f>IF(OR(F950="",F949=""),"",F950/F949-1)</f>
        <v/>
      </c>
      <c r="O950" s="19">
        <f>IF(OR(G950="",G949=""),"",G950/G949-1)</f>
        <v/>
      </c>
      <c r="P950" s="22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IF(R950="","",P950/R950)</f>
        <v/>
      </c>
      <c r="T950" s="23">
        <f>IF(R950="","",Q950/R950)</f>
        <v/>
      </c>
      <c r="U950" s="24">
        <f>IF(SUMIFS('Daily NSE Equity Options'!$M:$M,'Daily NSE Equity Options'!$A:$A,$A950)=0,"",SUMIFS('Daily NSE Equity Options'!$M:$M,'Daily NSE Equity Options'!$A:$A,$A950))</f>
        <v/>
      </c>
      <c r="V950" s="9">
        <f>IF(SUMIFS('Daily BSE Equity Options'!$M:$M,'Daily BSE Equity Options'!$A:$A,$A950)=0,"",SUMIFS('Daily BSE Equity Options'!$M:$M,'Daily BSE Equity Options'!$A:$A,$A950))</f>
        <v/>
      </c>
      <c r="W950" s="9">
        <f>IF(OR(U950="",V950=""),"",U950+V950)</f>
        <v/>
      </c>
      <c r="X950" s="25">
        <f>IF(W950="","",U950/W950)</f>
        <v/>
      </c>
      <c r="Y950" s="25">
        <f>IF(W950="","",V950/W950)</f>
        <v/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19">
        <f>IF(G951="","",E951/G951)</f>
        <v/>
      </c>
      <c r="I951" s="19">
        <f>IF(G951="","",F951/G951)</f>
        <v/>
      </c>
      <c r="J951" s="26">
        <f>IFERROR(IF(OR(E951="",INDEX(E:E,MATCH(DATE(YEAR($A951)-1,MONTH($A951),DAY($A951)),$A:$A,0))=""),"",E951/INDEX(E:E,MATCH(DATE(YEAR($A951)-1,MONTH($A951),DAY($A951)),$A:$A,0))-1),"")</f>
        <v/>
      </c>
      <c r="K951" s="19">
        <f>IFERROR(IF(OR(F951="",INDEX(F:F,MATCH(DATE(YEAR($A951)-1,MONTH($A951),DAY($A951)),$A:$A,0))=""),"",F951/INDEX(F:F,MATCH(DATE(YEAR($A951)-1,MONTH($A951),DAY($A951)),$A:$A,0))-1),"")</f>
        <v/>
      </c>
      <c r="L951" s="19">
        <f>IFERROR(IF(OR(G951="",INDEX(G:G,MATCH(DATE(YEAR($A951)-1,MONTH($A951),DAY($A951)),$A:$A,0))=""),"",G951/INDEX(G:G,MATCH(DATE(YEAR($A951)-1,MONTH($A951),DAY($A951)),$A:$A,0))-1),"")</f>
        <v/>
      </c>
      <c r="M951" s="19">
        <f>IF(OR(E951="",E950=""),"",E951/E950-1)</f>
        <v/>
      </c>
      <c r="N951" s="19">
        <f>IF(OR(F951="",F950=""),"",F951/F950-1)</f>
        <v/>
      </c>
      <c r="O951" s="19">
        <f>IF(OR(G951="",G950=""),"",G951/G950-1)</f>
        <v/>
      </c>
      <c r="P951" s="22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IF(R951="","",P951/R951)</f>
        <v/>
      </c>
      <c r="T951" s="23">
        <f>IF(R951="","",Q951/R951)</f>
        <v/>
      </c>
      <c r="U951" s="24">
        <f>IF(SUMIFS('Daily NSE Equity Options'!$M:$M,'Daily NSE Equity Options'!$A:$A,$A951)=0,"",SUMIFS('Daily NSE Equity Options'!$M:$M,'Daily NSE Equity Options'!$A:$A,$A951))</f>
        <v/>
      </c>
      <c r="V951" s="9">
        <f>IF(SUMIFS('Daily BSE Equity Options'!$M:$M,'Daily BSE Equity Options'!$A:$A,$A951)=0,"",SUMIFS('Daily BSE Equity Options'!$M:$M,'Daily BSE Equity Options'!$A:$A,$A951))</f>
        <v/>
      </c>
      <c r="W951" s="9">
        <f>IF(OR(U951="",V951=""),"",U951+V951)</f>
        <v/>
      </c>
      <c r="X951" s="25">
        <f>IF(W951="","",U951/W951)</f>
        <v/>
      </c>
      <c r="Y951" s="25">
        <f>IF(W951="","",V951/W951)</f>
        <v/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19">
        <f>IF(G952="","",E952/G952)</f>
        <v/>
      </c>
      <c r="I952" s="19">
        <f>IF(G952="","",F952/G952)</f>
        <v/>
      </c>
      <c r="J952" s="26">
        <f>IFERROR(IF(OR(E952="",INDEX(E:E,MATCH(DATE(YEAR($A952)-1,MONTH($A952),DAY($A952)),$A:$A,0))=""),"",E952/INDEX(E:E,MATCH(DATE(YEAR($A952)-1,MONTH($A952),DAY($A952)),$A:$A,0))-1),"")</f>
        <v/>
      </c>
      <c r="K952" s="19">
        <f>IFERROR(IF(OR(F952="",INDEX(F:F,MATCH(DATE(YEAR($A952)-1,MONTH($A952),DAY($A952)),$A:$A,0))=""),"",F952/INDEX(F:F,MATCH(DATE(YEAR($A952)-1,MONTH($A952),DAY($A952)),$A:$A,0))-1),"")</f>
        <v/>
      </c>
      <c r="L952" s="19">
        <f>IFERROR(IF(OR(G952="",INDEX(G:G,MATCH(DATE(YEAR($A952)-1,MONTH($A952),DAY($A952)),$A:$A,0))=""),"",G952/INDEX(G:G,MATCH(DATE(YEAR($A952)-1,MONTH($A952),DAY($A952)),$A:$A,0))-1),"")</f>
        <v/>
      </c>
      <c r="M952" s="19">
        <f>IF(OR(E952="",E951=""),"",E952/E951-1)</f>
        <v/>
      </c>
      <c r="N952" s="19">
        <f>IF(OR(F952="",F951=""),"",F952/F951-1)</f>
        <v/>
      </c>
      <c r="O952" s="19">
        <f>IF(OR(G952="",G951=""),"",G952/G951-1)</f>
        <v/>
      </c>
      <c r="P952" s="22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IF(R952="","",P952/R952)</f>
        <v/>
      </c>
      <c r="T952" s="23">
        <f>IF(R952="","",Q952/R952)</f>
        <v/>
      </c>
      <c r="U952" s="24">
        <f>IF(SUMIFS('Daily NSE Equity Options'!$M:$M,'Daily NSE Equity Options'!$A:$A,$A952)=0,"",SUMIFS('Daily NSE Equity Options'!$M:$M,'Daily NSE Equity Options'!$A:$A,$A952))</f>
        <v/>
      </c>
      <c r="V952" s="9">
        <f>IF(SUMIFS('Daily BSE Equity Options'!$M:$M,'Daily BSE Equity Options'!$A:$A,$A952)=0,"",SUMIFS('Daily BSE Equity Options'!$M:$M,'Daily BSE Equity Options'!$A:$A,$A952))</f>
        <v/>
      </c>
      <c r="W952" s="9">
        <f>IF(OR(U952="",V952=""),"",U952+V952)</f>
        <v/>
      </c>
      <c r="X952" s="25">
        <f>IF(W952="","",U952/W952)</f>
        <v/>
      </c>
      <c r="Y952" s="25">
        <f>IF(W952="","",V952/W952)</f>
        <v/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19">
        <f>IF(G953="","",E953/G953)</f>
        <v/>
      </c>
      <c r="I953" s="19">
        <f>IF(G953="","",F953/G953)</f>
        <v/>
      </c>
      <c r="J953" s="26">
        <f>IFERROR(IF(OR(E953="",INDEX(E:E,MATCH(DATE(YEAR($A953)-1,MONTH($A953),DAY($A953)),$A:$A,0))=""),"",E953/INDEX(E:E,MATCH(DATE(YEAR($A953)-1,MONTH($A953),DAY($A953)),$A:$A,0))-1),"")</f>
        <v/>
      </c>
      <c r="K953" s="19">
        <f>IFERROR(IF(OR(F953="",INDEX(F:F,MATCH(DATE(YEAR($A953)-1,MONTH($A953),DAY($A953)),$A:$A,0))=""),"",F953/INDEX(F:F,MATCH(DATE(YEAR($A953)-1,MONTH($A953),DAY($A953)),$A:$A,0))-1),"")</f>
        <v/>
      </c>
      <c r="L953" s="19">
        <f>IFERROR(IF(OR(G953="",INDEX(G:G,MATCH(DATE(YEAR($A953)-1,MONTH($A953),DAY($A953)),$A:$A,0))=""),"",G953/INDEX(G:G,MATCH(DATE(YEAR($A953)-1,MONTH($A953),DAY($A953)),$A:$A,0))-1),"")</f>
        <v/>
      </c>
      <c r="M953" s="19">
        <f>IF(OR(E953="",E952=""),"",E953/E952-1)</f>
        <v/>
      </c>
      <c r="N953" s="19">
        <f>IF(OR(F953="",F952=""),"",F953/F952-1)</f>
        <v/>
      </c>
      <c r="O953" s="19">
        <f>IF(OR(G953="",G952=""),"",G953/G952-1)</f>
        <v/>
      </c>
      <c r="P953" s="22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IF(R953="","",P953/R953)</f>
        <v/>
      </c>
      <c r="T953" s="23">
        <f>IF(R953="","",Q953/R953)</f>
        <v/>
      </c>
      <c r="U953" s="24">
        <f>IF(SUMIFS('Daily NSE Equity Options'!$M:$M,'Daily NSE Equity Options'!$A:$A,$A953)=0,"",SUMIFS('Daily NSE Equity Options'!$M:$M,'Daily NSE Equity Options'!$A:$A,$A953))</f>
        <v/>
      </c>
      <c r="V953" s="9">
        <f>IF(SUMIFS('Daily BSE Equity Options'!$M:$M,'Daily BSE Equity Options'!$A:$A,$A953)=0,"",SUMIFS('Daily BSE Equity Options'!$M:$M,'Daily BSE Equity Options'!$A:$A,$A953))</f>
        <v/>
      </c>
      <c r="W953" s="9">
        <f>IF(OR(U953="",V953=""),"",U953+V953)</f>
        <v/>
      </c>
      <c r="X953" s="25">
        <f>IF(W953="","",U953/W953)</f>
        <v/>
      </c>
      <c r="Y953" s="25">
        <f>IF(W953="","",V953/W953)</f>
        <v/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19">
        <f>IF(G954="","",E954/G954)</f>
        <v/>
      </c>
      <c r="I954" s="19">
        <f>IF(G954="","",F954/G954)</f>
        <v/>
      </c>
      <c r="J954" s="26">
        <f>IFERROR(IF(OR(E954="",INDEX(E:E,MATCH(DATE(YEAR($A954)-1,MONTH($A954),DAY($A954)),$A:$A,0))=""),"",E954/INDEX(E:E,MATCH(DATE(YEAR($A954)-1,MONTH($A954),DAY($A954)),$A:$A,0))-1),"")</f>
        <v/>
      </c>
      <c r="K954" s="19">
        <f>IFERROR(IF(OR(F954="",INDEX(F:F,MATCH(DATE(YEAR($A954)-1,MONTH($A954),DAY($A954)),$A:$A,0))=""),"",F954/INDEX(F:F,MATCH(DATE(YEAR($A954)-1,MONTH($A954),DAY($A954)),$A:$A,0))-1),"")</f>
        <v/>
      </c>
      <c r="L954" s="19">
        <f>IFERROR(IF(OR(G954="",INDEX(G:G,MATCH(DATE(YEAR($A954)-1,MONTH($A954),DAY($A954)),$A:$A,0))=""),"",G954/INDEX(G:G,MATCH(DATE(YEAR($A954)-1,MONTH($A954),DAY($A954)),$A:$A,0))-1),"")</f>
        <v/>
      </c>
      <c r="M954" s="19">
        <f>IF(OR(E954="",E953=""),"",E954/E953-1)</f>
        <v/>
      </c>
      <c r="N954" s="19">
        <f>IF(OR(F954="",F953=""),"",F954/F953-1)</f>
        <v/>
      </c>
      <c r="O954" s="19">
        <f>IF(OR(G954="",G953=""),"",G954/G953-1)</f>
        <v/>
      </c>
      <c r="P954" s="22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IF(R954="","",P954/R954)</f>
        <v/>
      </c>
      <c r="T954" s="23">
        <f>IF(R954="","",Q954/R954)</f>
        <v/>
      </c>
      <c r="U954" s="24">
        <f>IF(SUMIFS('Daily NSE Equity Options'!$M:$M,'Daily NSE Equity Options'!$A:$A,$A954)=0,"",SUMIFS('Daily NSE Equity Options'!$M:$M,'Daily NSE Equity Options'!$A:$A,$A954))</f>
        <v/>
      </c>
      <c r="V954" s="9">
        <f>IF(SUMIFS('Daily BSE Equity Options'!$M:$M,'Daily BSE Equity Options'!$A:$A,$A954)=0,"",SUMIFS('Daily BSE Equity Options'!$M:$M,'Daily BSE Equity Options'!$A:$A,$A954))</f>
        <v/>
      </c>
      <c r="W954" s="9">
        <f>IF(OR(U954="",V954=""),"",U954+V954)</f>
        <v/>
      </c>
      <c r="X954" s="25">
        <f>IF(W954="","",U954/W954)</f>
        <v/>
      </c>
      <c r="Y954" s="25">
        <f>IF(W954="","",V954/W954)</f>
        <v/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19">
        <f>IF(G955="","",E955/G955)</f>
        <v/>
      </c>
      <c r="I955" s="19">
        <f>IF(G955="","",F955/G955)</f>
        <v/>
      </c>
      <c r="J955" s="26">
        <f>IFERROR(IF(OR(E955="",INDEX(E:E,MATCH(DATE(YEAR($A955)-1,MONTH($A955),DAY($A955)),$A:$A,0))=""),"",E955/INDEX(E:E,MATCH(DATE(YEAR($A955)-1,MONTH($A955),DAY($A955)),$A:$A,0))-1),"")</f>
        <v/>
      </c>
      <c r="K955" s="19">
        <f>IFERROR(IF(OR(F955="",INDEX(F:F,MATCH(DATE(YEAR($A955)-1,MONTH($A955),DAY($A955)),$A:$A,0))=""),"",F955/INDEX(F:F,MATCH(DATE(YEAR($A955)-1,MONTH($A955),DAY($A955)),$A:$A,0))-1),"")</f>
        <v/>
      </c>
      <c r="L955" s="19">
        <f>IFERROR(IF(OR(G955="",INDEX(G:G,MATCH(DATE(YEAR($A955)-1,MONTH($A955),DAY($A955)),$A:$A,0))=""),"",G955/INDEX(G:G,MATCH(DATE(YEAR($A955)-1,MONTH($A955),DAY($A955)),$A:$A,0))-1),"")</f>
        <v/>
      </c>
      <c r="M955" s="19">
        <f>IF(OR(E955="",E954=""),"",E955/E954-1)</f>
        <v/>
      </c>
      <c r="N955" s="19">
        <f>IF(OR(F955="",F954=""),"",F955/F954-1)</f>
        <v/>
      </c>
      <c r="O955" s="19">
        <f>IF(OR(G955="",G954=""),"",G955/G954-1)</f>
        <v/>
      </c>
      <c r="P955" s="22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IF(R955="","",P955/R955)</f>
        <v/>
      </c>
      <c r="T955" s="23">
        <f>IF(R955="","",Q955/R955)</f>
        <v/>
      </c>
      <c r="U955" s="24">
        <f>IF(SUMIFS('Daily NSE Equity Options'!$M:$M,'Daily NSE Equity Options'!$A:$A,$A955)=0,"",SUMIFS('Daily NSE Equity Options'!$M:$M,'Daily NSE Equity Options'!$A:$A,$A955))</f>
        <v/>
      </c>
      <c r="V955" s="9">
        <f>IF(SUMIFS('Daily BSE Equity Options'!$M:$M,'Daily BSE Equity Options'!$A:$A,$A955)=0,"",SUMIFS('Daily BSE Equity Options'!$M:$M,'Daily BSE Equity Options'!$A:$A,$A955))</f>
        <v/>
      </c>
      <c r="W955" s="9">
        <f>IF(OR(U955="",V955=""),"",U955+V955)</f>
        <v/>
      </c>
      <c r="X955" s="25">
        <f>IF(W955="","",U955/W955)</f>
        <v/>
      </c>
      <c r="Y955" s="25">
        <f>IF(W955="","",V955/W955)</f>
        <v/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19">
        <f>IF(G956="","",E956/G956)</f>
        <v/>
      </c>
      <c r="I956" s="19">
        <f>IF(G956="","",F956/G956)</f>
        <v/>
      </c>
      <c r="J956" s="26">
        <f>IFERROR(IF(OR(E956="",INDEX(E:E,MATCH(DATE(YEAR($A956)-1,MONTH($A956),DAY($A956)),$A:$A,0))=""),"",E956/INDEX(E:E,MATCH(DATE(YEAR($A956)-1,MONTH($A956),DAY($A956)),$A:$A,0))-1),"")</f>
        <v/>
      </c>
      <c r="K956" s="19">
        <f>IFERROR(IF(OR(F956="",INDEX(F:F,MATCH(DATE(YEAR($A956)-1,MONTH($A956),DAY($A956)),$A:$A,0))=""),"",F956/INDEX(F:F,MATCH(DATE(YEAR($A956)-1,MONTH($A956),DAY($A956)),$A:$A,0))-1),"")</f>
        <v/>
      </c>
      <c r="L956" s="19">
        <f>IFERROR(IF(OR(G956="",INDEX(G:G,MATCH(DATE(YEAR($A956)-1,MONTH($A956),DAY($A956)),$A:$A,0))=""),"",G956/INDEX(G:G,MATCH(DATE(YEAR($A956)-1,MONTH($A956),DAY($A956)),$A:$A,0))-1),"")</f>
        <v/>
      </c>
      <c r="M956" s="19">
        <f>IF(OR(E956="",E955=""),"",E956/E955-1)</f>
        <v/>
      </c>
      <c r="N956" s="19">
        <f>IF(OR(F956="",F955=""),"",F956/F955-1)</f>
        <v/>
      </c>
      <c r="O956" s="19">
        <f>IF(OR(G956="",G955=""),"",G956/G955-1)</f>
        <v/>
      </c>
      <c r="P956" s="22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IF(R956="","",P956/R956)</f>
        <v/>
      </c>
      <c r="T956" s="23">
        <f>IF(R956="","",Q956/R956)</f>
        <v/>
      </c>
      <c r="U956" s="24">
        <f>IF(SUMIFS('Daily NSE Equity Options'!$M:$M,'Daily NSE Equity Options'!$A:$A,$A956)=0,"",SUMIFS('Daily NSE Equity Options'!$M:$M,'Daily NSE Equity Options'!$A:$A,$A956))</f>
        <v/>
      </c>
      <c r="V956" s="9">
        <f>IF(SUMIFS('Daily BSE Equity Options'!$M:$M,'Daily BSE Equity Options'!$A:$A,$A956)=0,"",SUMIFS('Daily BSE Equity Options'!$M:$M,'Daily BSE Equity Options'!$A:$A,$A956))</f>
        <v/>
      </c>
      <c r="W956" s="9">
        <f>IF(OR(U956="",V956=""),"",U956+V956)</f>
        <v/>
      </c>
      <c r="X956" s="25">
        <f>IF(W956="","",U956/W956)</f>
        <v/>
      </c>
      <c r="Y956" s="25">
        <f>IF(W956="","",V956/W956)</f>
        <v/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19">
        <f>IF(G957="","",E957/G957)</f>
        <v/>
      </c>
      <c r="I957" s="19">
        <f>IF(G957="","",F957/G957)</f>
        <v/>
      </c>
      <c r="J957" s="26">
        <f>IFERROR(IF(OR(E957="",INDEX(E:E,MATCH(DATE(YEAR($A957)-1,MONTH($A957),DAY($A957)),$A:$A,0))=""),"",E957/INDEX(E:E,MATCH(DATE(YEAR($A957)-1,MONTH($A957),DAY($A957)),$A:$A,0))-1),"")</f>
        <v/>
      </c>
      <c r="K957" s="19">
        <f>IFERROR(IF(OR(F957="",INDEX(F:F,MATCH(DATE(YEAR($A957)-1,MONTH($A957),DAY($A957)),$A:$A,0))=""),"",F957/INDEX(F:F,MATCH(DATE(YEAR($A957)-1,MONTH($A957),DAY($A957)),$A:$A,0))-1),"")</f>
        <v/>
      </c>
      <c r="L957" s="19">
        <f>IFERROR(IF(OR(G957="",INDEX(G:G,MATCH(DATE(YEAR($A957)-1,MONTH($A957),DAY($A957)),$A:$A,0))=""),"",G957/INDEX(G:G,MATCH(DATE(YEAR($A957)-1,MONTH($A957),DAY($A957)),$A:$A,0))-1),"")</f>
        <v/>
      </c>
      <c r="M957" s="19">
        <f>IF(OR(E957="",E956=""),"",E957/E956-1)</f>
        <v/>
      </c>
      <c r="N957" s="19">
        <f>IF(OR(F957="",F956=""),"",F957/F956-1)</f>
        <v/>
      </c>
      <c r="O957" s="19">
        <f>IF(OR(G957="",G956=""),"",G957/G956-1)</f>
        <v/>
      </c>
      <c r="P957" s="22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IF(R957="","",P957/R957)</f>
        <v/>
      </c>
      <c r="T957" s="23">
        <f>IF(R957="","",Q957/R957)</f>
        <v/>
      </c>
      <c r="U957" s="24">
        <f>IF(SUMIFS('Daily NSE Equity Options'!$M:$M,'Daily NSE Equity Options'!$A:$A,$A957)=0,"",SUMIFS('Daily NSE Equity Options'!$M:$M,'Daily NSE Equity Options'!$A:$A,$A957))</f>
        <v/>
      </c>
      <c r="V957" s="9">
        <f>IF(SUMIFS('Daily BSE Equity Options'!$M:$M,'Daily BSE Equity Options'!$A:$A,$A957)=0,"",SUMIFS('Daily BSE Equity Options'!$M:$M,'Daily BSE Equity Options'!$A:$A,$A957))</f>
        <v/>
      </c>
      <c r="W957" s="9">
        <f>IF(OR(U957="",V957=""),"",U957+V957)</f>
        <v/>
      </c>
      <c r="X957" s="25">
        <f>IF(W957="","",U957/W957)</f>
        <v/>
      </c>
      <c r="Y957" s="25">
        <f>IF(W957="","",V957/W957)</f>
        <v/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19">
        <f>IF(G958="","",E958/G958)</f>
        <v/>
      </c>
      <c r="I958" s="19">
        <f>IF(G958="","",F958/G958)</f>
        <v/>
      </c>
      <c r="J958" s="26">
        <f>IFERROR(IF(OR(E958="",INDEX(E:E,MATCH(DATE(YEAR($A958)-1,MONTH($A958),DAY($A958)),$A:$A,0))=""),"",E958/INDEX(E:E,MATCH(DATE(YEAR($A958)-1,MONTH($A958),DAY($A958)),$A:$A,0))-1),"")</f>
        <v/>
      </c>
      <c r="K958" s="19">
        <f>IFERROR(IF(OR(F958="",INDEX(F:F,MATCH(DATE(YEAR($A958)-1,MONTH($A958),DAY($A958)),$A:$A,0))=""),"",F958/INDEX(F:F,MATCH(DATE(YEAR($A958)-1,MONTH($A958),DAY($A958)),$A:$A,0))-1),"")</f>
        <v/>
      </c>
      <c r="L958" s="19">
        <f>IFERROR(IF(OR(G958="",INDEX(G:G,MATCH(DATE(YEAR($A958)-1,MONTH($A958),DAY($A958)),$A:$A,0))=""),"",G958/INDEX(G:G,MATCH(DATE(YEAR($A958)-1,MONTH($A958),DAY($A958)),$A:$A,0))-1),"")</f>
        <v/>
      </c>
      <c r="M958" s="19">
        <f>IF(OR(E958="",E957=""),"",E958/E957-1)</f>
        <v/>
      </c>
      <c r="N958" s="19">
        <f>IF(OR(F958="",F957=""),"",F958/F957-1)</f>
        <v/>
      </c>
      <c r="O958" s="19">
        <f>IF(OR(G958="",G957=""),"",G958/G957-1)</f>
        <v/>
      </c>
      <c r="P958" s="22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IF(R958="","",P958/R958)</f>
        <v/>
      </c>
      <c r="T958" s="23">
        <f>IF(R958="","",Q958/R958)</f>
        <v/>
      </c>
      <c r="U958" s="24">
        <f>IF(SUMIFS('Daily NSE Equity Options'!$M:$M,'Daily NSE Equity Options'!$A:$A,$A958)=0,"",SUMIFS('Daily NSE Equity Options'!$M:$M,'Daily NSE Equity Options'!$A:$A,$A958))</f>
        <v/>
      </c>
      <c r="V958" s="9">
        <f>IF(SUMIFS('Daily BSE Equity Options'!$M:$M,'Daily BSE Equity Options'!$A:$A,$A958)=0,"",SUMIFS('Daily BSE Equity Options'!$M:$M,'Daily BSE Equity Options'!$A:$A,$A958))</f>
        <v/>
      </c>
      <c r="W958" s="9">
        <f>IF(OR(U958="",V958=""),"",U958+V958)</f>
        <v/>
      </c>
      <c r="X958" s="25">
        <f>IF(W958="","",U958/W958)</f>
        <v/>
      </c>
      <c r="Y958" s="25">
        <f>IF(W958="","",V958/W958)</f>
        <v/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19">
        <f>IF(G959="","",E959/G959)</f>
        <v/>
      </c>
      <c r="I959" s="19">
        <f>IF(G959="","",F959/G959)</f>
        <v/>
      </c>
      <c r="J959" s="26">
        <f>IFERROR(IF(OR(E959="",INDEX(E:E,MATCH(DATE(YEAR($A959)-1,MONTH($A959),DAY($A959)),$A:$A,0))=""),"",E959/INDEX(E:E,MATCH(DATE(YEAR($A959)-1,MONTH($A959),DAY($A959)),$A:$A,0))-1),"")</f>
        <v/>
      </c>
      <c r="K959" s="19">
        <f>IFERROR(IF(OR(F959="",INDEX(F:F,MATCH(DATE(YEAR($A959)-1,MONTH($A959),DAY($A959)),$A:$A,0))=""),"",F959/INDEX(F:F,MATCH(DATE(YEAR($A959)-1,MONTH($A959),DAY($A959)),$A:$A,0))-1),"")</f>
        <v/>
      </c>
      <c r="L959" s="19">
        <f>IFERROR(IF(OR(G959="",INDEX(G:G,MATCH(DATE(YEAR($A959)-1,MONTH($A959),DAY($A959)),$A:$A,0))=""),"",G959/INDEX(G:G,MATCH(DATE(YEAR($A959)-1,MONTH($A959),DAY($A959)),$A:$A,0))-1),"")</f>
        <v/>
      </c>
      <c r="M959" s="19">
        <f>IF(OR(E959="",E958=""),"",E959/E958-1)</f>
        <v/>
      </c>
      <c r="N959" s="19">
        <f>IF(OR(F959="",F958=""),"",F959/F958-1)</f>
        <v/>
      </c>
      <c r="O959" s="19">
        <f>IF(OR(G959="",G958=""),"",G959/G958-1)</f>
        <v/>
      </c>
      <c r="P959" s="22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IF(R959="","",P959/R959)</f>
        <v/>
      </c>
      <c r="T959" s="23">
        <f>IF(R959="","",Q959/R959)</f>
        <v/>
      </c>
      <c r="U959" s="24">
        <f>IF(SUMIFS('Daily NSE Equity Options'!$M:$M,'Daily NSE Equity Options'!$A:$A,$A959)=0,"",SUMIFS('Daily NSE Equity Options'!$M:$M,'Daily NSE Equity Options'!$A:$A,$A959))</f>
        <v/>
      </c>
      <c r="V959" s="9">
        <f>IF(SUMIFS('Daily BSE Equity Options'!$M:$M,'Daily BSE Equity Options'!$A:$A,$A959)=0,"",SUMIFS('Daily BSE Equity Options'!$M:$M,'Daily BSE Equity Options'!$A:$A,$A959))</f>
        <v/>
      </c>
      <c r="W959" s="9">
        <f>IF(OR(U959="",V959=""),"",U959+V959)</f>
        <v/>
      </c>
      <c r="X959" s="25">
        <f>IF(W959="","",U959/W959)</f>
        <v/>
      </c>
      <c r="Y959" s="25">
        <f>IF(W959="","",V959/W959)</f>
        <v/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19">
        <f>IF(G960="","",E960/G960)</f>
        <v/>
      </c>
      <c r="I960" s="19">
        <f>IF(G960="","",F960/G960)</f>
        <v/>
      </c>
      <c r="J960" s="26">
        <f>IFERROR(IF(OR(E960="",INDEX(E:E,MATCH(DATE(YEAR($A960)-1,MONTH($A960),DAY($A960)),$A:$A,0))=""),"",E960/INDEX(E:E,MATCH(DATE(YEAR($A960)-1,MONTH($A960),DAY($A960)),$A:$A,0))-1),"")</f>
        <v/>
      </c>
      <c r="K960" s="19">
        <f>IFERROR(IF(OR(F960="",INDEX(F:F,MATCH(DATE(YEAR($A960)-1,MONTH($A960),DAY($A960)),$A:$A,0))=""),"",F960/INDEX(F:F,MATCH(DATE(YEAR($A960)-1,MONTH($A960),DAY($A960)),$A:$A,0))-1),"")</f>
        <v/>
      </c>
      <c r="L960" s="19">
        <f>IFERROR(IF(OR(G960="",INDEX(G:G,MATCH(DATE(YEAR($A960)-1,MONTH($A960),DAY($A960)),$A:$A,0))=""),"",G960/INDEX(G:G,MATCH(DATE(YEAR($A960)-1,MONTH($A960),DAY($A960)),$A:$A,0))-1),"")</f>
        <v/>
      </c>
      <c r="M960" s="19">
        <f>IF(OR(E960="",E959=""),"",E960/E959-1)</f>
        <v/>
      </c>
      <c r="N960" s="19">
        <f>IF(OR(F960="",F959=""),"",F960/F959-1)</f>
        <v/>
      </c>
      <c r="O960" s="19">
        <f>IF(OR(G960="",G959=""),"",G960/G959-1)</f>
        <v/>
      </c>
      <c r="P960" s="22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IF(R960="","",P960/R960)</f>
        <v/>
      </c>
      <c r="T960" s="23">
        <f>IF(R960="","",Q960/R960)</f>
        <v/>
      </c>
      <c r="U960" s="24">
        <f>IF(SUMIFS('Daily NSE Equity Options'!$M:$M,'Daily NSE Equity Options'!$A:$A,$A960)=0,"",SUMIFS('Daily NSE Equity Options'!$M:$M,'Daily NSE Equity Options'!$A:$A,$A960))</f>
        <v/>
      </c>
      <c r="V960" s="9">
        <f>IF(SUMIFS('Daily BSE Equity Options'!$M:$M,'Daily BSE Equity Options'!$A:$A,$A960)=0,"",SUMIFS('Daily BSE Equity Options'!$M:$M,'Daily BSE Equity Options'!$A:$A,$A960))</f>
        <v/>
      </c>
      <c r="W960" s="9">
        <f>IF(OR(U960="",V960=""),"",U960+V960)</f>
        <v/>
      </c>
      <c r="X960" s="25">
        <f>IF(W960="","",U960/W960)</f>
        <v/>
      </c>
      <c r="Y960" s="25">
        <f>IF(W960="","",V960/W960)</f>
        <v/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19">
        <f>IF(G961="","",E961/G961)</f>
        <v/>
      </c>
      <c r="I961" s="19">
        <f>IF(G961="","",F961/G961)</f>
        <v/>
      </c>
      <c r="J961" s="26">
        <f>IFERROR(IF(OR(E961="",INDEX(E:E,MATCH(DATE(YEAR($A961)-1,MONTH($A961),DAY($A961)),$A:$A,0))=""),"",E961/INDEX(E:E,MATCH(DATE(YEAR($A961)-1,MONTH($A961),DAY($A961)),$A:$A,0))-1),"")</f>
        <v/>
      </c>
      <c r="K961" s="19">
        <f>IFERROR(IF(OR(F961="",INDEX(F:F,MATCH(DATE(YEAR($A961)-1,MONTH($A961),DAY($A961)),$A:$A,0))=""),"",F961/INDEX(F:F,MATCH(DATE(YEAR($A961)-1,MONTH($A961),DAY($A961)),$A:$A,0))-1),"")</f>
        <v/>
      </c>
      <c r="L961" s="19">
        <f>IFERROR(IF(OR(G961="",INDEX(G:G,MATCH(DATE(YEAR($A961)-1,MONTH($A961),DAY($A961)),$A:$A,0))=""),"",G961/INDEX(G:G,MATCH(DATE(YEAR($A961)-1,MONTH($A961),DAY($A961)),$A:$A,0))-1),"")</f>
        <v/>
      </c>
      <c r="M961" s="19">
        <f>IF(OR(E961="",E960=""),"",E961/E960-1)</f>
        <v/>
      </c>
      <c r="N961" s="19">
        <f>IF(OR(F961="",F960=""),"",F961/F960-1)</f>
        <v/>
      </c>
      <c r="O961" s="19">
        <f>IF(OR(G961="",G960=""),"",G961/G960-1)</f>
        <v/>
      </c>
      <c r="P961" s="22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IF(R961="","",P961/R961)</f>
        <v/>
      </c>
      <c r="T961" s="23">
        <f>IF(R961="","",Q961/R961)</f>
        <v/>
      </c>
      <c r="U961" s="24">
        <f>IF(SUMIFS('Daily NSE Equity Options'!$M:$M,'Daily NSE Equity Options'!$A:$A,$A961)=0,"",SUMIFS('Daily NSE Equity Options'!$M:$M,'Daily NSE Equity Options'!$A:$A,$A961))</f>
        <v/>
      </c>
      <c r="V961" s="9">
        <f>IF(SUMIFS('Daily BSE Equity Options'!$M:$M,'Daily BSE Equity Options'!$A:$A,$A961)=0,"",SUMIFS('Daily BSE Equity Options'!$M:$M,'Daily BSE Equity Options'!$A:$A,$A961))</f>
        <v/>
      </c>
      <c r="W961" s="9">
        <f>IF(OR(U961="",V961=""),"",U961+V961)</f>
        <v/>
      </c>
      <c r="X961" s="25">
        <f>IF(W961="","",U961/W961)</f>
        <v/>
      </c>
      <c r="Y961" s="25">
        <f>IF(W961="","",V961/W961)</f>
        <v/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19">
        <f>IF(G962="","",E962/G962)</f>
        <v/>
      </c>
      <c r="I962" s="19">
        <f>IF(G962="","",F962/G962)</f>
        <v/>
      </c>
      <c r="J962" s="26">
        <f>IFERROR(IF(OR(E962="",INDEX(E:E,MATCH(DATE(YEAR($A962)-1,MONTH($A962),DAY($A962)),$A:$A,0))=""),"",E962/INDEX(E:E,MATCH(DATE(YEAR($A962)-1,MONTH($A962),DAY($A962)),$A:$A,0))-1),"")</f>
        <v/>
      </c>
      <c r="K962" s="19">
        <f>IFERROR(IF(OR(F962="",INDEX(F:F,MATCH(DATE(YEAR($A962)-1,MONTH($A962),DAY($A962)),$A:$A,0))=""),"",F962/INDEX(F:F,MATCH(DATE(YEAR($A962)-1,MONTH($A962),DAY($A962)),$A:$A,0))-1),"")</f>
        <v/>
      </c>
      <c r="L962" s="19">
        <f>IFERROR(IF(OR(G962="",INDEX(G:G,MATCH(DATE(YEAR($A962)-1,MONTH($A962),DAY($A962)),$A:$A,0))=""),"",G962/INDEX(G:G,MATCH(DATE(YEAR($A962)-1,MONTH($A962),DAY($A962)),$A:$A,0))-1),"")</f>
        <v/>
      </c>
      <c r="M962" s="19">
        <f>IF(OR(E962="",E961=""),"",E962/E961-1)</f>
        <v/>
      </c>
      <c r="N962" s="19">
        <f>IF(OR(F962="",F961=""),"",F962/F961-1)</f>
        <v/>
      </c>
      <c r="O962" s="19">
        <f>IF(OR(G962="",G961=""),"",G962/G961-1)</f>
        <v/>
      </c>
      <c r="P962" s="22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IF(R962="","",P962/R962)</f>
        <v/>
      </c>
      <c r="T962" s="23">
        <f>IF(R962="","",Q962/R962)</f>
        <v/>
      </c>
      <c r="U962" s="24">
        <f>IF(SUMIFS('Daily NSE Equity Options'!$M:$M,'Daily NSE Equity Options'!$A:$A,$A962)=0,"",SUMIFS('Daily NSE Equity Options'!$M:$M,'Daily NSE Equity Options'!$A:$A,$A962))</f>
        <v/>
      </c>
      <c r="V962" s="9">
        <f>IF(SUMIFS('Daily BSE Equity Options'!$M:$M,'Daily BSE Equity Options'!$A:$A,$A962)=0,"",SUMIFS('Daily BSE Equity Options'!$M:$M,'Daily BSE Equity Options'!$A:$A,$A962))</f>
        <v/>
      </c>
      <c r="W962" s="9">
        <f>IF(OR(U962="",V962=""),"",U962+V962)</f>
        <v/>
      </c>
      <c r="X962" s="25">
        <f>IF(W962="","",U962/W962)</f>
        <v/>
      </c>
      <c r="Y962" s="25">
        <f>IF(W962="","",V962/W962)</f>
        <v/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19">
        <f>IF(G963="","",E963/G963)</f>
        <v/>
      </c>
      <c r="I963" s="19">
        <f>IF(G963="","",F963/G963)</f>
        <v/>
      </c>
      <c r="J963" s="26">
        <f>IFERROR(IF(OR(E963="",INDEX(E:E,MATCH(DATE(YEAR($A963)-1,MONTH($A963),DAY($A963)),$A:$A,0))=""),"",E963/INDEX(E:E,MATCH(DATE(YEAR($A963)-1,MONTH($A963),DAY($A963)),$A:$A,0))-1),"")</f>
        <v/>
      </c>
      <c r="K963" s="19">
        <f>IFERROR(IF(OR(F963="",INDEX(F:F,MATCH(DATE(YEAR($A963)-1,MONTH($A963),DAY($A963)),$A:$A,0))=""),"",F963/INDEX(F:F,MATCH(DATE(YEAR($A963)-1,MONTH($A963),DAY($A963)),$A:$A,0))-1),"")</f>
        <v/>
      </c>
      <c r="L963" s="19">
        <f>IFERROR(IF(OR(G963="",INDEX(G:G,MATCH(DATE(YEAR($A963)-1,MONTH($A963),DAY($A963)),$A:$A,0))=""),"",G963/INDEX(G:G,MATCH(DATE(YEAR($A963)-1,MONTH($A963),DAY($A963)),$A:$A,0))-1),"")</f>
        <v/>
      </c>
      <c r="M963" s="19">
        <f>IF(OR(E963="",E962=""),"",E963/E962-1)</f>
        <v/>
      </c>
      <c r="N963" s="19">
        <f>IF(OR(F963="",F962=""),"",F963/F962-1)</f>
        <v/>
      </c>
      <c r="O963" s="19">
        <f>IF(OR(G963="",G962=""),"",G963/G962-1)</f>
        <v/>
      </c>
      <c r="P963" s="22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IF(R963="","",P963/R963)</f>
        <v/>
      </c>
      <c r="T963" s="23">
        <f>IF(R963="","",Q963/R963)</f>
        <v/>
      </c>
      <c r="U963" s="24">
        <f>IF(SUMIFS('Daily NSE Equity Options'!$M:$M,'Daily NSE Equity Options'!$A:$A,$A963)=0,"",SUMIFS('Daily NSE Equity Options'!$M:$M,'Daily NSE Equity Options'!$A:$A,$A963))</f>
        <v/>
      </c>
      <c r="V963" s="9">
        <f>IF(SUMIFS('Daily BSE Equity Options'!$M:$M,'Daily BSE Equity Options'!$A:$A,$A963)=0,"",SUMIFS('Daily BSE Equity Options'!$M:$M,'Daily BSE Equity Options'!$A:$A,$A963))</f>
        <v/>
      </c>
      <c r="W963" s="9">
        <f>IF(OR(U963="",V963=""),"",U963+V963)</f>
        <v/>
      </c>
      <c r="X963" s="25">
        <f>IF(W963="","",U963/W963)</f>
        <v/>
      </c>
      <c r="Y963" s="25">
        <f>IF(W963="","",V963/W963)</f>
        <v/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19">
        <f>IF(G964="","",E964/G964)</f>
        <v/>
      </c>
      <c r="I964" s="19">
        <f>IF(G964="","",F964/G964)</f>
        <v/>
      </c>
      <c r="J964" s="26">
        <f>IFERROR(IF(OR(E964="",INDEX(E:E,MATCH(DATE(YEAR($A964)-1,MONTH($A964),DAY($A964)),$A:$A,0))=""),"",E964/INDEX(E:E,MATCH(DATE(YEAR($A964)-1,MONTH($A964),DAY($A964)),$A:$A,0))-1),"")</f>
        <v/>
      </c>
      <c r="K964" s="19">
        <f>IFERROR(IF(OR(F964="",INDEX(F:F,MATCH(DATE(YEAR($A964)-1,MONTH($A964),DAY($A964)),$A:$A,0))=""),"",F964/INDEX(F:F,MATCH(DATE(YEAR($A964)-1,MONTH($A964),DAY($A964)),$A:$A,0))-1),"")</f>
        <v/>
      </c>
      <c r="L964" s="19">
        <f>IFERROR(IF(OR(G964="",INDEX(G:G,MATCH(DATE(YEAR($A964)-1,MONTH($A964),DAY($A964)),$A:$A,0))=""),"",G964/INDEX(G:G,MATCH(DATE(YEAR($A964)-1,MONTH($A964),DAY($A964)),$A:$A,0))-1),"")</f>
        <v/>
      </c>
      <c r="M964" s="19">
        <f>IF(OR(E964="",E963=""),"",E964/E963-1)</f>
        <v/>
      </c>
      <c r="N964" s="19">
        <f>IF(OR(F964="",F963=""),"",F964/F963-1)</f>
        <v/>
      </c>
      <c r="O964" s="19">
        <f>IF(OR(G964="",G963=""),"",G964/G963-1)</f>
        <v/>
      </c>
      <c r="P964" s="22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IF(R964="","",P964/R964)</f>
        <v/>
      </c>
      <c r="T964" s="23">
        <f>IF(R964="","",Q964/R964)</f>
        <v/>
      </c>
      <c r="U964" s="24">
        <f>IF(SUMIFS('Daily NSE Equity Options'!$M:$M,'Daily NSE Equity Options'!$A:$A,$A964)=0,"",SUMIFS('Daily NSE Equity Options'!$M:$M,'Daily NSE Equity Options'!$A:$A,$A964))</f>
        <v/>
      </c>
      <c r="V964" s="9">
        <f>IF(SUMIFS('Daily BSE Equity Options'!$M:$M,'Daily BSE Equity Options'!$A:$A,$A964)=0,"",SUMIFS('Daily BSE Equity Options'!$M:$M,'Daily BSE Equity Options'!$A:$A,$A964))</f>
        <v/>
      </c>
      <c r="W964" s="9">
        <f>IF(OR(U964="",V964=""),"",U964+V964)</f>
        <v/>
      </c>
      <c r="X964" s="25">
        <f>IF(W964="","",U964/W964)</f>
        <v/>
      </c>
      <c r="Y964" s="25">
        <f>IF(W964="","",V964/W964)</f>
        <v/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19">
        <f>IF(G965="","",E965/G965)</f>
        <v/>
      </c>
      <c r="I965" s="19">
        <f>IF(G965="","",F965/G965)</f>
        <v/>
      </c>
      <c r="J965" s="26">
        <f>IFERROR(IF(OR(E965="",INDEX(E:E,MATCH(DATE(YEAR($A965)-1,MONTH($A965),DAY($A965)),$A:$A,0))=""),"",E965/INDEX(E:E,MATCH(DATE(YEAR($A965)-1,MONTH($A965),DAY($A965)),$A:$A,0))-1),"")</f>
        <v/>
      </c>
      <c r="K965" s="19">
        <f>IFERROR(IF(OR(F965="",INDEX(F:F,MATCH(DATE(YEAR($A965)-1,MONTH($A965),DAY($A965)),$A:$A,0))=""),"",F965/INDEX(F:F,MATCH(DATE(YEAR($A965)-1,MONTH($A965),DAY($A965)),$A:$A,0))-1),"")</f>
        <v/>
      </c>
      <c r="L965" s="19">
        <f>IFERROR(IF(OR(G965="",INDEX(G:G,MATCH(DATE(YEAR($A965)-1,MONTH($A965),DAY($A965)),$A:$A,0))=""),"",G965/INDEX(G:G,MATCH(DATE(YEAR($A965)-1,MONTH($A965),DAY($A965)),$A:$A,0))-1),"")</f>
        <v/>
      </c>
      <c r="M965" s="19">
        <f>IF(OR(E965="",E964=""),"",E965/E964-1)</f>
        <v/>
      </c>
      <c r="N965" s="19">
        <f>IF(OR(F965="",F964=""),"",F965/F964-1)</f>
        <v/>
      </c>
      <c r="O965" s="19">
        <f>IF(OR(G965="",G964=""),"",G965/G964-1)</f>
        <v/>
      </c>
      <c r="P965" s="22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IF(R965="","",P965/R965)</f>
        <v/>
      </c>
      <c r="T965" s="23">
        <f>IF(R965="","",Q965/R965)</f>
        <v/>
      </c>
      <c r="U965" s="24">
        <f>IF(SUMIFS('Daily NSE Equity Options'!$M:$M,'Daily NSE Equity Options'!$A:$A,$A965)=0,"",SUMIFS('Daily NSE Equity Options'!$M:$M,'Daily NSE Equity Options'!$A:$A,$A965))</f>
        <v/>
      </c>
      <c r="V965" s="9">
        <f>IF(SUMIFS('Daily BSE Equity Options'!$M:$M,'Daily BSE Equity Options'!$A:$A,$A965)=0,"",SUMIFS('Daily BSE Equity Options'!$M:$M,'Daily BSE Equity Options'!$A:$A,$A965))</f>
        <v/>
      </c>
      <c r="W965" s="9">
        <f>IF(OR(U965="",V965=""),"",U965+V965)</f>
        <v/>
      </c>
      <c r="X965" s="25">
        <f>IF(W965="","",U965/W965)</f>
        <v/>
      </c>
      <c r="Y965" s="25">
        <f>IF(W965="","",V965/W965)</f>
        <v/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19">
        <f>IF(G966="","",E966/G966)</f>
        <v/>
      </c>
      <c r="I966" s="19">
        <f>IF(G966="","",F966/G966)</f>
        <v/>
      </c>
      <c r="J966" s="26">
        <f>IFERROR(IF(OR(E966="",INDEX(E:E,MATCH(DATE(YEAR($A966)-1,MONTH($A966),DAY($A966)),$A:$A,0))=""),"",E966/INDEX(E:E,MATCH(DATE(YEAR($A966)-1,MONTH($A966),DAY($A966)),$A:$A,0))-1),"")</f>
        <v/>
      </c>
      <c r="K966" s="19">
        <f>IFERROR(IF(OR(F966="",INDEX(F:F,MATCH(DATE(YEAR($A966)-1,MONTH($A966),DAY($A966)),$A:$A,0))=""),"",F966/INDEX(F:F,MATCH(DATE(YEAR($A966)-1,MONTH($A966),DAY($A966)),$A:$A,0))-1),"")</f>
        <v/>
      </c>
      <c r="L966" s="19">
        <f>IFERROR(IF(OR(G966="",INDEX(G:G,MATCH(DATE(YEAR($A966)-1,MONTH($A966),DAY($A966)),$A:$A,0))=""),"",G966/INDEX(G:G,MATCH(DATE(YEAR($A966)-1,MONTH($A966),DAY($A966)),$A:$A,0))-1),"")</f>
        <v/>
      </c>
      <c r="M966" s="19">
        <f>IF(OR(E966="",E965=""),"",E966/E965-1)</f>
        <v/>
      </c>
      <c r="N966" s="19">
        <f>IF(OR(F966="",F965=""),"",F966/F965-1)</f>
        <v/>
      </c>
      <c r="O966" s="19">
        <f>IF(OR(G966="",G965=""),"",G966/G965-1)</f>
        <v/>
      </c>
      <c r="P966" s="22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IF(R966="","",P966/R966)</f>
        <v/>
      </c>
      <c r="T966" s="23">
        <f>IF(R966="","",Q966/R966)</f>
        <v/>
      </c>
      <c r="U966" s="24">
        <f>IF(SUMIFS('Daily NSE Equity Options'!$M:$M,'Daily NSE Equity Options'!$A:$A,$A966)=0,"",SUMIFS('Daily NSE Equity Options'!$M:$M,'Daily NSE Equity Options'!$A:$A,$A966))</f>
        <v/>
      </c>
      <c r="V966" s="9">
        <f>IF(SUMIFS('Daily BSE Equity Options'!$M:$M,'Daily BSE Equity Options'!$A:$A,$A966)=0,"",SUMIFS('Daily BSE Equity Options'!$M:$M,'Daily BSE Equity Options'!$A:$A,$A966))</f>
        <v/>
      </c>
      <c r="W966" s="9">
        <f>IF(OR(U966="",V966=""),"",U966+V966)</f>
        <v/>
      </c>
      <c r="X966" s="25">
        <f>IF(W966="","",U966/W966)</f>
        <v/>
      </c>
      <c r="Y966" s="25">
        <f>IF(W966="","",V966/W966)</f>
        <v/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19">
        <f>IF(G967="","",E967/G967)</f>
        <v/>
      </c>
      <c r="I967" s="19">
        <f>IF(G967="","",F967/G967)</f>
        <v/>
      </c>
      <c r="J967" s="26">
        <f>IFERROR(IF(OR(E967="",INDEX(E:E,MATCH(DATE(YEAR($A967)-1,MONTH($A967),DAY($A967)),$A:$A,0))=""),"",E967/INDEX(E:E,MATCH(DATE(YEAR($A967)-1,MONTH($A967),DAY($A967)),$A:$A,0))-1),"")</f>
        <v/>
      </c>
      <c r="K967" s="19">
        <f>IFERROR(IF(OR(F967="",INDEX(F:F,MATCH(DATE(YEAR($A967)-1,MONTH($A967),DAY($A967)),$A:$A,0))=""),"",F967/INDEX(F:F,MATCH(DATE(YEAR($A967)-1,MONTH($A967),DAY($A967)),$A:$A,0))-1),"")</f>
        <v/>
      </c>
      <c r="L967" s="19">
        <f>IFERROR(IF(OR(G967="",INDEX(G:G,MATCH(DATE(YEAR($A967)-1,MONTH($A967),DAY($A967)),$A:$A,0))=""),"",G967/INDEX(G:G,MATCH(DATE(YEAR($A967)-1,MONTH($A967),DAY($A967)),$A:$A,0))-1),"")</f>
        <v/>
      </c>
      <c r="M967" s="19">
        <f>IF(OR(E967="",E966=""),"",E967/E966-1)</f>
        <v/>
      </c>
      <c r="N967" s="19">
        <f>IF(OR(F967="",F966=""),"",F967/F966-1)</f>
        <v/>
      </c>
      <c r="O967" s="19">
        <f>IF(OR(G967="",G966=""),"",G967/G966-1)</f>
        <v/>
      </c>
      <c r="P967" s="22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IF(R967="","",P967/R967)</f>
        <v/>
      </c>
      <c r="T967" s="23">
        <f>IF(R967="","",Q967/R967)</f>
        <v/>
      </c>
      <c r="U967" s="24">
        <f>IF(SUMIFS('Daily NSE Equity Options'!$M:$M,'Daily NSE Equity Options'!$A:$A,$A967)=0,"",SUMIFS('Daily NSE Equity Options'!$M:$M,'Daily NSE Equity Options'!$A:$A,$A967))</f>
        <v/>
      </c>
      <c r="V967" s="9">
        <f>IF(SUMIFS('Daily BSE Equity Options'!$M:$M,'Daily BSE Equity Options'!$A:$A,$A967)=0,"",SUMIFS('Daily BSE Equity Options'!$M:$M,'Daily BSE Equity Options'!$A:$A,$A967))</f>
        <v/>
      </c>
      <c r="W967" s="9">
        <f>IF(OR(U967="",V967=""),"",U967+V967)</f>
        <v/>
      </c>
      <c r="X967" s="25">
        <f>IF(W967="","",U967/W967)</f>
        <v/>
      </c>
      <c r="Y967" s="25">
        <f>IF(W967="","",V967/W967)</f>
        <v/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19">
        <f>IF(G968="","",E968/G968)</f>
        <v/>
      </c>
      <c r="I968" s="19">
        <f>IF(G968="","",F968/G968)</f>
        <v/>
      </c>
      <c r="J968" s="26">
        <f>IFERROR(IF(OR(E968="",INDEX(E:E,MATCH(DATE(YEAR($A968)-1,MONTH($A968),DAY($A968)),$A:$A,0))=""),"",E968/INDEX(E:E,MATCH(DATE(YEAR($A968)-1,MONTH($A968),DAY($A968)),$A:$A,0))-1),"")</f>
        <v/>
      </c>
      <c r="K968" s="19">
        <f>IFERROR(IF(OR(F968="",INDEX(F:F,MATCH(DATE(YEAR($A968)-1,MONTH($A968),DAY($A968)),$A:$A,0))=""),"",F968/INDEX(F:F,MATCH(DATE(YEAR($A968)-1,MONTH($A968),DAY($A968)),$A:$A,0))-1),"")</f>
        <v/>
      </c>
      <c r="L968" s="19">
        <f>IFERROR(IF(OR(G968="",INDEX(G:G,MATCH(DATE(YEAR($A968)-1,MONTH($A968),DAY($A968)),$A:$A,0))=""),"",G968/INDEX(G:G,MATCH(DATE(YEAR($A968)-1,MONTH($A968),DAY($A968)),$A:$A,0))-1),"")</f>
        <v/>
      </c>
      <c r="M968" s="19">
        <f>IF(OR(E968="",E967=""),"",E968/E967-1)</f>
        <v/>
      </c>
      <c r="N968" s="19">
        <f>IF(OR(F968="",F967=""),"",F968/F967-1)</f>
        <v/>
      </c>
      <c r="O968" s="19">
        <f>IF(OR(G968="",G967=""),"",G968/G967-1)</f>
        <v/>
      </c>
      <c r="P968" s="22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IF(R968="","",P968/R968)</f>
        <v/>
      </c>
      <c r="T968" s="23">
        <f>IF(R968="","",Q968/R968)</f>
        <v/>
      </c>
      <c r="U968" s="24">
        <f>IF(SUMIFS('Daily NSE Equity Options'!$M:$M,'Daily NSE Equity Options'!$A:$A,$A968)=0,"",SUMIFS('Daily NSE Equity Options'!$M:$M,'Daily NSE Equity Options'!$A:$A,$A968))</f>
        <v/>
      </c>
      <c r="V968" s="9">
        <f>IF(SUMIFS('Daily BSE Equity Options'!$M:$M,'Daily BSE Equity Options'!$A:$A,$A968)=0,"",SUMIFS('Daily BSE Equity Options'!$M:$M,'Daily BSE Equity Options'!$A:$A,$A968))</f>
        <v/>
      </c>
      <c r="W968" s="9">
        <f>IF(OR(U968="",V968=""),"",U968+V968)</f>
        <v/>
      </c>
      <c r="X968" s="25">
        <f>IF(W968="","",U968/W968)</f>
        <v/>
      </c>
      <c r="Y968" s="25">
        <f>IF(W968="","",V968/W968)</f>
        <v/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19">
        <f>IF(G969="","",E969/G969)</f>
        <v/>
      </c>
      <c r="I969" s="19">
        <f>IF(G969="","",F969/G969)</f>
        <v/>
      </c>
      <c r="J969" s="26">
        <f>IFERROR(IF(OR(E969="",INDEX(E:E,MATCH(DATE(YEAR($A969)-1,MONTH($A969),DAY($A969)),$A:$A,0))=""),"",E969/INDEX(E:E,MATCH(DATE(YEAR($A969)-1,MONTH($A969),DAY($A969)),$A:$A,0))-1),"")</f>
        <v/>
      </c>
      <c r="K969" s="19">
        <f>IFERROR(IF(OR(F969="",INDEX(F:F,MATCH(DATE(YEAR($A969)-1,MONTH($A969),DAY($A969)),$A:$A,0))=""),"",F969/INDEX(F:F,MATCH(DATE(YEAR($A969)-1,MONTH($A969),DAY($A969)),$A:$A,0))-1),"")</f>
        <v/>
      </c>
      <c r="L969" s="19">
        <f>IFERROR(IF(OR(G969="",INDEX(G:G,MATCH(DATE(YEAR($A969)-1,MONTH($A969),DAY($A969)),$A:$A,0))=""),"",G969/INDEX(G:G,MATCH(DATE(YEAR($A969)-1,MONTH($A969),DAY($A969)),$A:$A,0))-1),"")</f>
        <v/>
      </c>
      <c r="M969" s="19">
        <f>IF(OR(E969="",E968=""),"",E969/E968-1)</f>
        <v/>
      </c>
      <c r="N969" s="19">
        <f>IF(OR(F969="",F968=""),"",F969/F968-1)</f>
        <v/>
      </c>
      <c r="O969" s="19">
        <f>IF(OR(G969="",G968=""),"",G969/G968-1)</f>
        <v/>
      </c>
      <c r="P969" s="22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IF(R969="","",P969/R969)</f>
        <v/>
      </c>
      <c r="T969" s="23">
        <f>IF(R969="","",Q969/R969)</f>
        <v/>
      </c>
      <c r="U969" s="24">
        <f>IF(SUMIFS('Daily NSE Equity Options'!$M:$M,'Daily NSE Equity Options'!$A:$A,$A969)=0,"",SUMIFS('Daily NSE Equity Options'!$M:$M,'Daily NSE Equity Options'!$A:$A,$A969))</f>
        <v/>
      </c>
      <c r="V969" s="9">
        <f>IF(SUMIFS('Daily BSE Equity Options'!$M:$M,'Daily BSE Equity Options'!$A:$A,$A969)=0,"",SUMIFS('Daily BSE Equity Options'!$M:$M,'Daily BSE Equity Options'!$A:$A,$A969))</f>
        <v/>
      </c>
      <c r="W969" s="9">
        <f>IF(OR(U969="",V969=""),"",U969+V969)</f>
        <v/>
      </c>
      <c r="X969" s="25">
        <f>IF(W969="","",U969/W969)</f>
        <v/>
      </c>
      <c r="Y969" s="25">
        <f>IF(W969="","",V969/W969)</f>
        <v/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19">
        <f>IF(G970="","",E970/G970)</f>
        <v/>
      </c>
      <c r="I970" s="19">
        <f>IF(G970="","",F970/G970)</f>
        <v/>
      </c>
      <c r="J970" s="26">
        <f>IFERROR(IF(OR(E970="",INDEX(E:E,MATCH(DATE(YEAR($A970)-1,MONTH($A970),DAY($A970)),$A:$A,0))=""),"",E970/INDEX(E:E,MATCH(DATE(YEAR($A970)-1,MONTH($A970),DAY($A970)),$A:$A,0))-1),"")</f>
        <v/>
      </c>
      <c r="K970" s="19">
        <f>IFERROR(IF(OR(F970="",INDEX(F:F,MATCH(DATE(YEAR($A970)-1,MONTH($A970),DAY($A970)),$A:$A,0))=""),"",F970/INDEX(F:F,MATCH(DATE(YEAR($A970)-1,MONTH($A970),DAY($A970)),$A:$A,0))-1),"")</f>
        <v/>
      </c>
      <c r="L970" s="19">
        <f>IFERROR(IF(OR(G970="",INDEX(G:G,MATCH(DATE(YEAR($A970)-1,MONTH($A970),DAY($A970)),$A:$A,0))=""),"",G970/INDEX(G:G,MATCH(DATE(YEAR($A970)-1,MONTH($A970),DAY($A970)),$A:$A,0))-1),"")</f>
        <v/>
      </c>
      <c r="M970" s="19">
        <f>IF(OR(E970="",E969=""),"",E970/E969-1)</f>
        <v/>
      </c>
      <c r="N970" s="19">
        <f>IF(OR(F970="",F969=""),"",F970/F969-1)</f>
        <v/>
      </c>
      <c r="O970" s="19">
        <f>IF(OR(G970="",G969=""),"",G970/G969-1)</f>
        <v/>
      </c>
      <c r="P970" s="22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IF(R970="","",P970/R970)</f>
        <v/>
      </c>
      <c r="T970" s="23">
        <f>IF(R970="","",Q970/R970)</f>
        <v/>
      </c>
      <c r="U970" s="24">
        <f>IF(SUMIFS('Daily NSE Equity Options'!$M:$M,'Daily NSE Equity Options'!$A:$A,$A970)=0,"",SUMIFS('Daily NSE Equity Options'!$M:$M,'Daily NSE Equity Options'!$A:$A,$A970))</f>
        <v/>
      </c>
      <c r="V970" s="9">
        <f>IF(SUMIFS('Daily BSE Equity Options'!$M:$M,'Daily BSE Equity Options'!$A:$A,$A970)=0,"",SUMIFS('Daily BSE Equity Options'!$M:$M,'Daily BSE Equity Options'!$A:$A,$A970))</f>
        <v/>
      </c>
      <c r="W970" s="9">
        <f>IF(OR(U970="",V970=""),"",U970+V970)</f>
        <v/>
      </c>
      <c r="X970" s="25">
        <f>IF(W970="","",U970/W970)</f>
        <v/>
      </c>
      <c r="Y970" s="25">
        <f>IF(W970="","",V970/W970)</f>
        <v/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19">
        <f>IF(G971="","",E971/G971)</f>
        <v/>
      </c>
      <c r="I971" s="19">
        <f>IF(G971="","",F971/G971)</f>
        <v/>
      </c>
      <c r="J971" s="26">
        <f>IFERROR(IF(OR(E971="",INDEX(E:E,MATCH(DATE(YEAR($A971)-1,MONTH($A971),DAY($A971)),$A:$A,0))=""),"",E971/INDEX(E:E,MATCH(DATE(YEAR($A971)-1,MONTH($A971),DAY($A971)),$A:$A,0))-1),"")</f>
        <v/>
      </c>
      <c r="K971" s="19">
        <f>IFERROR(IF(OR(F971="",INDEX(F:F,MATCH(DATE(YEAR($A971)-1,MONTH($A971),DAY($A971)),$A:$A,0))=""),"",F971/INDEX(F:F,MATCH(DATE(YEAR($A971)-1,MONTH($A971),DAY($A971)),$A:$A,0))-1),"")</f>
        <v/>
      </c>
      <c r="L971" s="19">
        <f>IFERROR(IF(OR(G971="",INDEX(G:G,MATCH(DATE(YEAR($A971)-1,MONTH($A971),DAY($A971)),$A:$A,0))=""),"",G971/INDEX(G:G,MATCH(DATE(YEAR($A971)-1,MONTH($A971),DAY($A971)),$A:$A,0))-1),"")</f>
        <v/>
      </c>
      <c r="M971" s="19">
        <f>IF(OR(E971="",E970=""),"",E971/E970-1)</f>
        <v/>
      </c>
      <c r="N971" s="19">
        <f>IF(OR(F971="",F970=""),"",F971/F970-1)</f>
        <v/>
      </c>
      <c r="O971" s="19">
        <f>IF(OR(G971="",G970=""),"",G971/G970-1)</f>
        <v/>
      </c>
      <c r="P971" s="22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IF(R971="","",P971/R971)</f>
        <v/>
      </c>
      <c r="T971" s="23">
        <f>IF(R971="","",Q971/R971)</f>
        <v/>
      </c>
      <c r="U971" s="24">
        <f>IF(SUMIFS('Daily NSE Equity Options'!$M:$M,'Daily NSE Equity Options'!$A:$A,$A971)=0,"",SUMIFS('Daily NSE Equity Options'!$M:$M,'Daily NSE Equity Options'!$A:$A,$A971))</f>
        <v/>
      </c>
      <c r="V971" s="9">
        <f>IF(SUMIFS('Daily BSE Equity Options'!$M:$M,'Daily BSE Equity Options'!$A:$A,$A971)=0,"",SUMIFS('Daily BSE Equity Options'!$M:$M,'Daily BSE Equity Options'!$A:$A,$A971))</f>
        <v/>
      </c>
      <c r="W971" s="9">
        <f>IF(OR(U971="",V971=""),"",U971+V971)</f>
        <v/>
      </c>
      <c r="X971" s="25">
        <f>IF(W971="","",U971/W971)</f>
        <v/>
      </c>
      <c r="Y971" s="25">
        <f>IF(W971="","",V971/W971)</f>
        <v/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19">
        <f>IF(G972="","",E972/G972)</f>
        <v/>
      </c>
      <c r="I972" s="19">
        <f>IF(G972="","",F972/G972)</f>
        <v/>
      </c>
      <c r="J972" s="26">
        <f>IFERROR(IF(OR(E972="",INDEX(E:E,MATCH(DATE(YEAR($A972)-1,MONTH($A972),DAY($A972)),$A:$A,0))=""),"",E972/INDEX(E:E,MATCH(DATE(YEAR($A972)-1,MONTH($A972),DAY($A972)),$A:$A,0))-1),"")</f>
        <v/>
      </c>
      <c r="K972" s="19">
        <f>IFERROR(IF(OR(F972="",INDEX(F:F,MATCH(DATE(YEAR($A972)-1,MONTH($A972),DAY($A972)),$A:$A,0))=""),"",F972/INDEX(F:F,MATCH(DATE(YEAR($A972)-1,MONTH($A972),DAY($A972)),$A:$A,0))-1),"")</f>
        <v/>
      </c>
      <c r="L972" s="19">
        <f>IFERROR(IF(OR(G972="",INDEX(G:G,MATCH(DATE(YEAR($A972)-1,MONTH($A972),DAY($A972)),$A:$A,0))=""),"",G972/INDEX(G:G,MATCH(DATE(YEAR($A972)-1,MONTH($A972),DAY($A972)),$A:$A,0))-1),"")</f>
        <v/>
      </c>
      <c r="M972" s="19">
        <f>IF(OR(E972="",E971=""),"",E972/E971-1)</f>
        <v/>
      </c>
      <c r="N972" s="19">
        <f>IF(OR(F972="",F971=""),"",F972/F971-1)</f>
        <v/>
      </c>
      <c r="O972" s="19">
        <f>IF(OR(G972="",G971=""),"",G972/G971-1)</f>
        <v/>
      </c>
      <c r="P972" s="22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IF(R972="","",P972/R972)</f>
        <v/>
      </c>
      <c r="T972" s="23">
        <f>IF(R972="","",Q972/R972)</f>
        <v/>
      </c>
      <c r="U972" s="24">
        <f>IF(SUMIFS('Daily NSE Equity Options'!$M:$M,'Daily NSE Equity Options'!$A:$A,$A972)=0,"",SUMIFS('Daily NSE Equity Options'!$M:$M,'Daily NSE Equity Options'!$A:$A,$A972))</f>
        <v/>
      </c>
      <c r="V972" s="9">
        <f>IF(SUMIFS('Daily BSE Equity Options'!$M:$M,'Daily BSE Equity Options'!$A:$A,$A972)=0,"",SUMIFS('Daily BSE Equity Options'!$M:$M,'Daily BSE Equity Options'!$A:$A,$A972))</f>
        <v/>
      </c>
      <c r="W972" s="9">
        <f>IF(OR(U972="",V972=""),"",U972+V972)</f>
        <v/>
      </c>
      <c r="X972" s="25">
        <f>IF(W972="","",U972/W972)</f>
        <v/>
      </c>
      <c r="Y972" s="25">
        <f>IF(W972="","",V972/W972)</f>
        <v/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19">
        <f>IF(G973="","",E973/G973)</f>
        <v/>
      </c>
      <c r="I973" s="19">
        <f>IF(G973="","",F973/G973)</f>
        <v/>
      </c>
      <c r="J973" s="26">
        <f>IFERROR(IF(OR(E973="",INDEX(E:E,MATCH(DATE(YEAR($A973)-1,MONTH($A973),DAY($A973)),$A:$A,0))=""),"",E973/INDEX(E:E,MATCH(DATE(YEAR($A973)-1,MONTH($A973),DAY($A973)),$A:$A,0))-1),"")</f>
        <v/>
      </c>
      <c r="K973" s="19">
        <f>IFERROR(IF(OR(F973="",INDEX(F:F,MATCH(DATE(YEAR($A973)-1,MONTH($A973),DAY($A973)),$A:$A,0))=""),"",F973/INDEX(F:F,MATCH(DATE(YEAR($A973)-1,MONTH($A973),DAY($A973)),$A:$A,0))-1),"")</f>
        <v/>
      </c>
      <c r="L973" s="19">
        <f>IFERROR(IF(OR(G973="",INDEX(G:G,MATCH(DATE(YEAR($A973)-1,MONTH($A973),DAY($A973)),$A:$A,0))=""),"",G973/INDEX(G:G,MATCH(DATE(YEAR($A973)-1,MONTH($A973),DAY($A973)),$A:$A,0))-1),"")</f>
        <v/>
      </c>
      <c r="M973" s="19">
        <f>IF(OR(E973="",E972=""),"",E973/E972-1)</f>
        <v/>
      </c>
      <c r="N973" s="19">
        <f>IF(OR(F973="",F972=""),"",F973/F972-1)</f>
        <v/>
      </c>
      <c r="O973" s="19">
        <f>IF(OR(G973="",G972=""),"",G973/G972-1)</f>
        <v/>
      </c>
      <c r="P973" s="22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IF(R973="","",P973/R973)</f>
        <v/>
      </c>
      <c r="T973" s="23">
        <f>IF(R973="","",Q973/R973)</f>
        <v/>
      </c>
      <c r="U973" s="24">
        <f>IF(SUMIFS('Daily NSE Equity Options'!$M:$M,'Daily NSE Equity Options'!$A:$A,$A973)=0,"",SUMIFS('Daily NSE Equity Options'!$M:$M,'Daily NSE Equity Options'!$A:$A,$A973))</f>
        <v/>
      </c>
      <c r="V973" s="9">
        <f>IF(SUMIFS('Daily BSE Equity Options'!$M:$M,'Daily BSE Equity Options'!$A:$A,$A973)=0,"",SUMIFS('Daily BSE Equity Options'!$M:$M,'Daily BSE Equity Options'!$A:$A,$A973))</f>
        <v/>
      </c>
      <c r="W973" s="9">
        <f>IF(OR(U973="",V973=""),"",U973+V973)</f>
        <v/>
      </c>
      <c r="X973" s="25">
        <f>IF(W973="","",U973/W973)</f>
        <v/>
      </c>
      <c r="Y973" s="25">
        <f>IF(W973="","",V973/W973)</f>
        <v/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19">
        <f>IF(G974="","",E974/G974)</f>
        <v/>
      </c>
      <c r="I974" s="19">
        <f>IF(G974="","",F974/G974)</f>
        <v/>
      </c>
      <c r="J974" s="26">
        <f>IFERROR(IF(OR(E974="",INDEX(E:E,MATCH(DATE(YEAR($A974)-1,MONTH($A974),DAY($A974)),$A:$A,0))=""),"",E974/INDEX(E:E,MATCH(DATE(YEAR($A974)-1,MONTH($A974),DAY($A974)),$A:$A,0))-1),"")</f>
        <v/>
      </c>
      <c r="K974" s="19">
        <f>IFERROR(IF(OR(F974="",INDEX(F:F,MATCH(DATE(YEAR($A974)-1,MONTH($A974),DAY($A974)),$A:$A,0))=""),"",F974/INDEX(F:F,MATCH(DATE(YEAR($A974)-1,MONTH($A974),DAY($A974)),$A:$A,0))-1),"")</f>
        <v/>
      </c>
      <c r="L974" s="19">
        <f>IFERROR(IF(OR(G974="",INDEX(G:G,MATCH(DATE(YEAR($A974)-1,MONTH($A974),DAY($A974)),$A:$A,0))=""),"",G974/INDEX(G:G,MATCH(DATE(YEAR($A974)-1,MONTH($A974),DAY($A974)),$A:$A,0))-1),"")</f>
        <v/>
      </c>
      <c r="M974" s="19">
        <f>IF(OR(E974="",E973=""),"",E974/E973-1)</f>
        <v/>
      </c>
      <c r="N974" s="19">
        <f>IF(OR(F974="",F973=""),"",F974/F973-1)</f>
        <v/>
      </c>
      <c r="O974" s="19">
        <f>IF(OR(G974="",G973=""),"",G974/G973-1)</f>
        <v/>
      </c>
      <c r="P974" s="22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IF(R974="","",P974/R974)</f>
        <v/>
      </c>
      <c r="T974" s="23">
        <f>IF(R974="","",Q974/R974)</f>
        <v/>
      </c>
      <c r="U974" s="24">
        <f>IF(SUMIFS('Daily NSE Equity Options'!$M:$M,'Daily NSE Equity Options'!$A:$A,$A974)=0,"",SUMIFS('Daily NSE Equity Options'!$M:$M,'Daily NSE Equity Options'!$A:$A,$A974))</f>
        <v/>
      </c>
      <c r="V974" s="9">
        <f>IF(SUMIFS('Daily BSE Equity Options'!$M:$M,'Daily BSE Equity Options'!$A:$A,$A974)=0,"",SUMIFS('Daily BSE Equity Options'!$M:$M,'Daily BSE Equity Options'!$A:$A,$A974))</f>
        <v/>
      </c>
      <c r="W974" s="9">
        <f>IF(OR(U974="",V974=""),"",U974+V974)</f>
        <v/>
      </c>
      <c r="X974" s="25">
        <f>IF(W974="","",U974/W974)</f>
        <v/>
      </c>
      <c r="Y974" s="25">
        <f>IF(W974="","",V974/W974)</f>
        <v/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19">
        <f>IF(G975="","",E975/G975)</f>
        <v/>
      </c>
      <c r="I975" s="19">
        <f>IF(G975="","",F975/G975)</f>
        <v/>
      </c>
      <c r="J975" s="26">
        <f>IFERROR(IF(OR(E975="",INDEX(E:E,MATCH(DATE(YEAR($A975)-1,MONTH($A975),DAY($A975)),$A:$A,0))=""),"",E975/INDEX(E:E,MATCH(DATE(YEAR($A975)-1,MONTH($A975),DAY($A975)),$A:$A,0))-1),"")</f>
        <v/>
      </c>
      <c r="K975" s="19">
        <f>IFERROR(IF(OR(F975="",INDEX(F:F,MATCH(DATE(YEAR($A975)-1,MONTH($A975),DAY($A975)),$A:$A,0))=""),"",F975/INDEX(F:F,MATCH(DATE(YEAR($A975)-1,MONTH($A975),DAY($A975)),$A:$A,0))-1),"")</f>
        <v/>
      </c>
      <c r="L975" s="19">
        <f>IFERROR(IF(OR(G975="",INDEX(G:G,MATCH(DATE(YEAR($A975)-1,MONTH($A975),DAY($A975)),$A:$A,0))=""),"",G975/INDEX(G:G,MATCH(DATE(YEAR($A975)-1,MONTH($A975),DAY($A975)),$A:$A,0))-1),"")</f>
        <v/>
      </c>
      <c r="M975" s="19">
        <f>IF(OR(E975="",E974=""),"",E975/E974-1)</f>
        <v/>
      </c>
      <c r="N975" s="19">
        <f>IF(OR(F975="",F974=""),"",F975/F974-1)</f>
        <v/>
      </c>
      <c r="O975" s="19">
        <f>IF(OR(G975="",G974=""),"",G975/G974-1)</f>
        <v/>
      </c>
      <c r="P975" s="22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IF(R975="","",P975/R975)</f>
        <v/>
      </c>
      <c r="T975" s="23">
        <f>IF(R975="","",Q975/R975)</f>
        <v/>
      </c>
      <c r="U975" s="24">
        <f>IF(SUMIFS('Daily NSE Equity Options'!$M:$M,'Daily NSE Equity Options'!$A:$A,$A975)=0,"",SUMIFS('Daily NSE Equity Options'!$M:$M,'Daily NSE Equity Options'!$A:$A,$A975))</f>
        <v/>
      </c>
      <c r="V975" s="9">
        <f>IF(SUMIFS('Daily BSE Equity Options'!$M:$M,'Daily BSE Equity Options'!$A:$A,$A975)=0,"",SUMIFS('Daily BSE Equity Options'!$M:$M,'Daily BSE Equity Options'!$A:$A,$A975))</f>
        <v/>
      </c>
      <c r="W975" s="9">
        <f>IF(OR(U975="",V975=""),"",U975+V975)</f>
        <v/>
      </c>
      <c r="X975" s="25">
        <f>IF(W975="","",U975/W975)</f>
        <v/>
      </c>
      <c r="Y975" s="25">
        <f>IF(W975="","",V975/W975)</f>
        <v/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19">
        <f>IF(G976="","",E976/G976)</f>
        <v/>
      </c>
      <c r="I976" s="19">
        <f>IF(G976="","",F976/G976)</f>
        <v/>
      </c>
      <c r="J976" s="26">
        <f>IFERROR(IF(OR(E976="",INDEX(E:E,MATCH(DATE(YEAR($A976)-1,MONTH($A976),DAY($A976)),$A:$A,0))=""),"",E976/INDEX(E:E,MATCH(DATE(YEAR($A976)-1,MONTH($A976),DAY($A976)),$A:$A,0))-1),"")</f>
        <v/>
      </c>
      <c r="K976" s="19">
        <f>IFERROR(IF(OR(F976="",INDEX(F:F,MATCH(DATE(YEAR($A976)-1,MONTH($A976),DAY($A976)),$A:$A,0))=""),"",F976/INDEX(F:F,MATCH(DATE(YEAR($A976)-1,MONTH($A976),DAY($A976)),$A:$A,0))-1),"")</f>
        <v/>
      </c>
      <c r="L976" s="19">
        <f>IFERROR(IF(OR(G976="",INDEX(G:G,MATCH(DATE(YEAR($A976)-1,MONTH($A976),DAY($A976)),$A:$A,0))=""),"",G976/INDEX(G:G,MATCH(DATE(YEAR($A976)-1,MONTH($A976),DAY($A976)),$A:$A,0))-1),"")</f>
        <v/>
      </c>
      <c r="M976" s="19">
        <f>IF(OR(E976="",E975=""),"",E976/E975-1)</f>
        <v/>
      </c>
      <c r="N976" s="19">
        <f>IF(OR(F976="",F975=""),"",F976/F975-1)</f>
        <v/>
      </c>
      <c r="O976" s="19">
        <f>IF(OR(G976="",G975=""),"",G976/G975-1)</f>
        <v/>
      </c>
      <c r="P976" s="22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IF(R976="","",P976/R976)</f>
        <v/>
      </c>
      <c r="T976" s="23">
        <f>IF(R976="","",Q976/R976)</f>
        <v/>
      </c>
      <c r="U976" s="24">
        <f>IF(SUMIFS('Daily NSE Equity Options'!$M:$M,'Daily NSE Equity Options'!$A:$A,$A976)=0,"",SUMIFS('Daily NSE Equity Options'!$M:$M,'Daily NSE Equity Options'!$A:$A,$A976))</f>
        <v/>
      </c>
      <c r="V976" s="9">
        <f>IF(SUMIFS('Daily BSE Equity Options'!$M:$M,'Daily BSE Equity Options'!$A:$A,$A976)=0,"",SUMIFS('Daily BSE Equity Options'!$M:$M,'Daily BSE Equity Options'!$A:$A,$A976))</f>
        <v/>
      </c>
      <c r="W976" s="9">
        <f>IF(OR(U976="",V976=""),"",U976+V976)</f>
        <v/>
      </c>
      <c r="X976" s="25">
        <f>IF(W976="","",U976/W976)</f>
        <v/>
      </c>
      <c r="Y976" s="25">
        <f>IF(W976="","",V976/W976)</f>
        <v/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19">
        <f>IF(G977="","",E977/G977)</f>
        <v/>
      </c>
      <c r="I977" s="19">
        <f>IF(G977="","",F977/G977)</f>
        <v/>
      </c>
      <c r="J977" s="26">
        <f>IFERROR(IF(OR(E977="",INDEX(E:E,MATCH(DATE(YEAR($A977)-1,MONTH($A977),DAY($A977)),$A:$A,0))=""),"",E977/INDEX(E:E,MATCH(DATE(YEAR($A977)-1,MONTH($A977),DAY($A977)),$A:$A,0))-1),"")</f>
        <v/>
      </c>
      <c r="K977" s="19">
        <f>IFERROR(IF(OR(F977="",INDEX(F:F,MATCH(DATE(YEAR($A977)-1,MONTH($A977),DAY($A977)),$A:$A,0))=""),"",F977/INDEX(F:F,MATCH(DATE(YEAR($A977)-1,MONTH($A977),DAY($A977)),$A:$A,0))-1),"")</f>
        <v/>
      </c>
      <c r="L977" s="19">
        <f>IFERROR(IF(OR(G977="",INDEX(G:G,MATCH(DATE(YEAR($A977)-1,MONTH($A977),DAY($A977)),$A:$A,0))=""),"",G977/INDEX(G:G,MATCH(DATE(YEAR($A977)-1,MONTH($A977),DAY($A977)),$A:$A,0))-1),"")</f>
        <v/>
      </c>
      <c r="M977" s="19">
        <f>IF(OR(E977="",E976=""),"",E977/E976-1)</f>
        <v/>
      </c>
      <c r="N977" s="19">
        <f>IF(OR(F977="",F976=""),"",F977/F976-1)</f>
        <v/>
      </c>
      <c r="O977" s="19">
        <f>IF(OR(G977="",G976=""),"",G977/G976-1)</f>
        <v/>
      </c>
      <c r="P977" s="22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IF(R977="","",P977/R977)</f>
        <v/>
      </c>
      <c r="T977" s="23">
        <f>IF(R977="","",Q977/R977)</f>
        <v/>
      </c>
      <c r="U977" s="24">
        <f>IF(SUMIFS('Daily NSE Equity Options'!$M:$M,'Daily NSE Equity Options'!$A:$A,$A977)=0,"",SUMIFS('Daily NSE Equity Options'!$M:$M,'Daily NSE Equity Options'!$A:$A,$A977))</f>
        <v/>
      </c>
      <c r="V977" s="9">
        <f>IF(SUMIFS('Daily BSE Equity Options'!$M:$M,'Daily BSE Equity Options'!$A:$A,$A977)=0,"",SUMIFS('Daily BSE Equity Options'!$M:$M,'Daily BSE Equity Options'!$A:$A,$A977))</f>
        <v/>
      </c>
      <c r="W977" s="9">
        <f>IF(OR(U977="",V977=""),"",U977+V977)</f>
        <v/>
      </c>
      <c r="X977" s="25">
        <f>IF(W977="","",U977/W977)</f>
        <v/>
      </c>
      <c r="Y977" s="25">
        <f>IF(W977="","",V977/W977)</f>
        <v/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19">
        <f>IF(G978="","",E978/G978)</f>
        <v/>
      </c>
      <c r="I978" s="19">
        <f>IF(G978="","",F978/G978)</f>
        <v/>
      </c>
      <c r="J978" s="26">
        <f>IFERROR(IF(OR(E978="",INDEX(E:E,MATCH(DATE(YEAR($A978)-1,MONTH($A978),DAY($A978)),$A:$A,0))=""),"",E978/INDEX(E:E,MATCH(DATE(YEAR($A978)-1,MONTH($A978),DAY($A978)),$A:$A,0))-1),"")</f>
        <v/>
      </c>
      <c r="K978" s="19">
        <f>IFERROR(IF(OR(F978="",INDEX(F:F,MATCH(DATE(YEAR($A978)-1,MONTH($A978),DAY($A978)),$A:$A,0))=""),"",F978/INDEX(F:F,MATCH(DATE(YEAR($A978)-1,MONTH($A978),DAY($A978)),$A:$A,0))-1),"")</f>
        <v/>
      </c>
      <c r="L978" s="19">
        <f>IFERROR(IF(OR(G978="",INDEX(G:G,MATCH(DATE(YEAR($A978)-1,MONTH($A978),DAY($A978)),$A:$A,0))=""),"",G978/INDEX(G:G,MATCH(DATE(YEAR($A978)-1,MONTH($A978),DAY($A978)),$A:$A,0))-1),"")</f>
        <v/>
      </c>
      <c r="M978" s="19">
        <f>IF(OR(E978="",E977=""),"",E978/E977-1)</f>
        <v/>
      </c>
      <c r="N978" s="19">
        <f>IF(OR(F978="",F977=""),"",F978/F977-1)</f>
        <v/>
      </c>
      <c r="O978" s="19">
        <f>IF(OR(G978="",G977=""),"",G978/G977-1)</f>
        <v/>
      </c>
      <c r="P978" s="22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IF(R978="","",P978/R978)</f>
        <v/>
      </c>
      <c r="T978" s="23">
        <f>IF(R978="","",Q978/R978)</f>
        <v/>
      </c>
      <c r="U978" s="24">
        <f>IF(SUMIFS('Daily NSE Equity Options'!$M:$M,'Daily NSE Equity Options'!$A:$A,$A978)=0,"",SUMIFS('Daily NSE Equity Options'!$M:$M,'Daily NSE Equity Options'!$A:$A,$A978))</f>
        <v/>
      </c>
      <c r="V978" s="9">
        <f>IF(SUMIFS('Daily BSE Equity Options'!$M:$M,'Daily BSE Equity Options'!$A:$A,$A978)=0,"",SUMIFS('Daily BSE Equity Options'!$M:$M,'Daily BSE Equity Options'!$A:$A,$A978))</f>
        <v/>
      </c>
      <c r="W978" s="9">
        <f>IF(OR(U978="",V978=""),"",U978+V978)</f>
        <v/>
      </c>
      <c r="X978" s="25">
        <f>IF(W978="","",U978/W978)</f>
        <v/>
      </c>
      <c r="Y978" s="25">
        <f>IF(W978="","",V978/W978)</f>
        <v/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19">
        <f>IF(G979="","",E979/G979)</f>
        <v/>
      </c>
      <c r="I979" s="19">
        <f>IF(G979="","",F979/G979)</f>
        <v/>
      </c>
      <c r="J979" s="26">
        <f>IFERROR(IF(OR(E979="",INDEX(E:E,MATCH(DATE(YEAR($A979)-1,MONTH($A979),DAY($A979)),$A:$A,0))=""),"",E979/INDEX(E:E,MATCH(DATE(YEAR($A979)-1,MONTH($A979),DAY($A979)),$A:$A,0))-1),"")</f>
        <v/>
      </c>
      <c r="K979" s="19">
        <f>IFERROR(IF(OR(F979="",INDEX(F:F,MATCH(DATE(YEAR($A979)-1,MONTH($A979),DAY($A979)),$A:$A,0))=""),"",F979/INDEX(F:F,MATCH(DATE(YEAR($A979)-1,MONTH($A979),DAY($A979)),$A:$A,0))-1),"")</f>
        <v/>
      </c>
      <c r="L979" s="19">
        <f>IFERROR(IF(OR(G979="",INDEX(G:G,MATCH(DATE(YEAR($A979)-1,MONTH($A979),DAY($A979)),$A:$A,0))=""),"",G979/INDEX(G:G,MATCH(DATE(YEAR($A979)-1,MONTH($A979),DAY($A979)),$A:$A,0))-1),"")</f>
        <v/>
      </c>
      <c r="M979" s="19">
        <f>IF(OR(E979="",E978=""),"",E979/E978-1)</f>
        <v/>
      </c>
      <c r="N979" s="19">
        <f>IF(OR(F979="",F978=""),"",F979/F978-1)</f>
        <v/>
      </c>
      <c r="O979" s="19">
        <f>IF(OR(G979="",G978=""),"",G979/G978-1)</f>
        <v/>
      </c>
      <c r="P979" s="22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IF(R979="","",P979/R979)</f>
        <v/>
      </c>
      <c r="T979" s="23">
        <f>IF(R979="","",Q979/R979)</f>
        <v/>
      </c>
      <c r="U979" s="24">
        <f>IF(SUMIFS('Daily NSE Equity Options'!$M:$M,'Daily NSE Equity Options'!$A:$A,$A979)=0,"",SUMIFS('Daily NSE Equity Options'!$M:$M,'Daily NSE Equity Options'!$A:$A,$A979))</f>
        <v/>
      </c>
      <c r="V979" s="9">
        <f>IF(SUMIFS('Daily BSE Equity Options'!$M:$M,'Daily BSE Equity Options'!$A:$A,$A979)=0,"",SUMIFS('Daily BSE Equity Options'!$M:$M,'Daily BSE Equity Options'!$A:$A,$A979))</f>
        <v/>
      </c>
      <c r="W979" s="9">
        <f>IF(OR(U979="",V979=""),"",U979+V979)</f>
        <v/>
      </c>
      <c r="X979" s="25">
        <f>IF(W979="","",U979/W979)</f>
        <v/>
      </c>
      <c r="Y979" s="25">
        <f>IF(W979="","",V979/W979)</f>
        <v/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19">
        <f>IF(G980="","",E980/G980)</f>
        <v/>
      </c>
      <c r="I980" s="19">
        <f>IF(G980="","",F980/G980)</f>
        <v/>
      </c>
      <c r="J980" s="26">
        <f>IFERROR(IF(OR(E980="",INDEX(E:E,MATCH(DATE(YEAR($A980)-1,MONTH($A980),DAY($A980)),$A:$A,0))=""),"",E980/INDEX(E:E,MATCH(DATE(YEAR($A980)-1,MONTH($A980),DAY($A980)),$A:$A,0))-1),"")</f>
        <v/>
      </c>
      <c r="K980" s="19">
        <f>IFERROR(IF(OR(F980="",INDEX(F:F,MATCH(DATE(YEAR($A980)-1,MONTH($A980),DAY($A980)),$A:$A,0))=""),"",F980/INDEX(F:F,MATCH(DATE(YEAR($A980)-1,MONTH($A980),DAY($A980)),$A:$A,0))-1),"")</f>
        <v/>
      </c>
      <c r="L980" s="19">
        <f>IFERROR(IF(OR(G980="",INDEX(G:G,MATCH(DATE(YEAR($A980)-1,MONTH($A980),DAY($A980)),$A:$A,0))=""),"",G980/INDEX(G:G,MATCH(DATE(YEAR($A980)-1,MONTH($A980),DAY($A980)),$A:$A,0))-1),"")</f>
        <v/>
      </c>
      <c r="M980" s="19">
        <f>IF(OR(E980="",E979=""),"",E980/E979-1)</f>
        <v/>
      </c>
      <c r="N980" s="19">
        <f>IF(OR(F980="",F979=""),"",F980/F979-1)</f>
        <v/>
      </c>
      <c r="O980" s="19">
        <f>IF(OR(G980="",G979=""),"",G980/G979-1)</f>
        <v/>
      </c>
      <c r="P980" s="22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IF(R980="","",P980/R980)</f>
        <v/>
      </c>
      <c r="T980" s="23">
        <f>IF(R980="","",Q980/R980)</f>
        <v/>
      </c>
      <c r="U980" s="24">
        <f>IF(SUMIFS('Daily NSE Equity Options'!$M:$M,'Daily NSE Equity Options'!$A:$A,$A980)=0,"",SUMIFS('Daily NSE Equity Options'!$M:$M,'Daily NSE Equity Options'!$A:$A,$A980))</f>
        <v/>
      </c>
      <c r="V980" s="9">
        <f>IF(SUMIFS('Daily BSE Equity Options'!$M:$M,'Daily BSE Equity Options'!$A:$A,$A980)=0,"",SUMIFS('Daily BSE Equity Options'!$M:$M,'Daily BSE Equity Options'!$A:$A,$A980))</f>
        <v/>
      </c>
      <c r="W980" s="9">
        <f>IF(OR(U980="",V980=""),"",U980+V980)</f>
        <v/>
      </c>
      <c r="X980" s="25">
        <f>IF(W980="","",U980/W980)</f>
        <v/>
      </c>
      <c r="Y980" s="25">
        <f>IF(W980="","",V980/W980)</f>
        <v/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19">
        <f>IF(G981="","",E981/G981)</f>
        <v/>
      </c>
      <c r="I981" s="19">
        <f>IF(G981="","",F981/G981)</f>
        <v/>
      </c>
      <c r="J981" s="26">
        <f>IFERROR(IF(OR(E981="",INDEX(E:E,MATCH(DATE(YEAR($A981)-1,MONTH($A981),DAY($A981)),$A:$A,0))=""),"",E981/INDEX(E:E,MATCH(DATE(YEAR($A981)-1,MONTH($A981),DAY($A981)),$A:$A,0))-1),"")</f>
        <v/>
      </c>
      <c r="K981" s="19">
        <f>IFERROR(IF(OR(F981="",INDEX(F:F,MATCH(DATE(YEAR($A981)-1,MONTH($A981),DAY($A981)),$A:$A,0))=""),"",F981/INDEX(F:F,MATCH(DATE(YEAR($A981)-1,MONTH($A981),DAY($A981)),$A:$A,0))-1),"")</f>
        <v/>
      </c>
      <c r="L981" s="19">
        <f>IFERROR(IF(OR(G981="",INDEX(G:G,MATCH(DATE(YEAR($A981)-1,MONTH($A981),DAY($A981)),$A:$A,0))=""),"",G981/INDEX(G:G,MATCH(DATE(YEAR($A981)-1,MONTH($A981),DAY($A981)),$A:$A,0))-1),"")</f>
        <v/>
      </c>
      <c r="M981" s="19">
        <f>IF(OR(E981="",E980=""),"",E981/E980-1)</f>
        <v/>
      </c>
      <c r="N981" s="19">
        <f>IF(OR(F981="",F980=""),"",F981/F980-1)</f>
        <v/>
      </c>
      <c r="O981" s="19">
        <f>IF(OR(G981="",G980=""),"",G981/G980-1)</f>
        <v/>
      </c>
      <c r="P981" s="22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IF(R981="","",P981/R981)</f>
        <v/>
      </c>
      <c r="T981" s="23">
        <f>IF(R981="","",Q981/R981)</f>
        <v/>
      </c>
      <c r="U981" s="24">
        <f>IF(SUMIFS('Daily NSE Equity Options'!$M:$M,'Daily NSE Equity Options'!$A:$A,$A981)=0,"",SUMIFS('Daily NSE Equity Options'!$M:$M,'Daily NSE Equity Options'!$A:$A,$A981))</f>
        <v/>
      </c>
      <c r="V981" s="9">
        <f>IF(SUMIFS('Daily BSE Equity Options'!$M:$M,'Daily BSE Equity Options'!$A:$A,$A981)=0,"",SUMIFS('Daily BSE Equity Options'!$M:$M,'Daily BSE Equity Options'!$A:$A,$A981))</f>
        <v/>
      </c>
      <c r="W981" s="9">
        <f>IF(OR(U981="",V981=""),"",U981+V981)</f>
        <v/>
      </c>
      <c r="X981" s="25">
        <f>IF(W981="","",U981/W981)</f>
        <v/>
      </c>
      <c r="Y981" s="25">
        <f>IF(W981="","",V981/W981)</f>
        <v/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19">
        <f>IF(G982="","",E982/G982)</f>
        <v/>
      </c>
      <c r="I982" s="19">
        <f>IF(G982="","",F982/G982)</f>
        <v/>
      </c>
      <c r="J982" s="26">
        <f>IFERROR(IF(OR(E982="",INDEX(E:E,MATCH(DATE(YEAR($A982)-1,MONTH($A982),DAY($A982)),$A:$A,0))=""),"",E982/INDEX(E:E,MATCH(DATE(YEAR($A982)-1,MONTH($A982),DAY($A982)),$A:$A,0))-1),"")</f>
        <v/>
      </c>
      <c r="K982" s="19">
        <f>IFERROR(IF(OR(F982="",INDEX(F:F,MATCH(DATE(YEAR($A982)-1,MONTH($A982),DAY($A982)),$A:$A,0))=""),"",F982/INDEX(F:F,MATCH(DATE(YEAR($A982)-1,MONTH($A982),DAY($A982)),$A:$A,0))-1),"")</f>
        <v/>
      </c>
      <c r="L982" s="19">
        <f>IFERROR(IF(OR(G982="",INDEX(G:G,MATCH(DATE(YEAR($A982)-1,MONTH($A982),DAY($A982)),$A:$A,0))=""),"",G982/INDEX(G:G,MATCH(DATE(YEAR($A982)-1,MONTH($A982),DAY($A982)),$A:$A,0))-1),"")</f>
        <v/>
      </c>
      <c r="M982" s="19">
        <f>IF(OR(E982="",E981=""),"",E982/E981-1)</f>
        <v/>
      </c>
      <c r="N982" s="19">
        <f>IF(OR(F982="",F981=""),"",F982/F981-1)</f>
        <v/>
      </c>
      <c r="O982" s="19">
        <f>IF(OR(G982="",G981=""),"",G982/G981-1)</f>
        <v/>
      </c>
      <c r="P982" s="22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IF(R982="","",P982/R982)</f>
        <v/>
      </c>
      <c r="T982" s="23">
        <f>IF(R982="","",Q982/R982)</f>
        <v/>
      </c>
      <c r="U982" s="24">
        <f>IF(SUMIFS('Daily NSE Equity Options'!$M:$M,'Daily NSE Equity Options'!$A:$A,$A982)=0,"",SUMIFS('Daily NSE Equity Options'!$M:$M,'Daily NSE Equity Options'!$A:$A,$A982))</f>
        <v/>
      </c>
      <c r="V982" s="9">
        <f>IF(SUMIFS('Daily BSE Equity Options'!$M:$M,'Daily BSE Equity Options'!$A:$A,$A982)=0,"",SUMIFS('Daily BSE Equity Options'!$M:$M,'Daily BSE Equity Options'!$A:$A,$A982))</f>
        <v/>
      </c>
      <c r="W982" s="9">
        <f>IF(OR(U982="",V982=""),"",U982+V982)</f>
        <v/>
      </c>
      <c r="X982" s="25">
        <f>IF(W982="","",U982/W982)</f>
        <v/>
      </c>
      <c r="Y982" s="25">
        <f>IF(W982="","",V982/W982)</f>
        <v/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19">
        <f>IF(G983="","",E983/G983)</f>
        <v/>
      </c>
      <c r="I983" s="19">
        <f>IF(G983="","",F983/G983)</f>
        <v/>
      </c>
      <c r="J983" s="26">
        <f>IFERROR(IF(OR(E983="",INDEX(E:E,MATCH(DATE(YEAR($A983)-1,MONTH($A983),DAY($A983)),$A:$A,0))=""),"",E983/INDEX(E:E,MATCH(DATE(YEAR($A983)-1,MONTH($A983),DAY($A983)),$A:$A,0))-1),"")</f>
        <v/>
      </c>
      <c r="K983" s="19">
        <f>IFERROR(IF(OR(F983="",INDEX(F:F,MATCH(DATE(YEAR($A983)-1,MONTH($A983),DAY($A983)),$A:$A,0))=""),"",F983/INDEX(F:F,MATCH(DATE(YEAR($A983)-1,MONTH($A983),DAY($A983)),$A:$A,0))-1),"")</f>
        <v/>
      </c>
      <c r="L983" s="19">
        <f>IFERROR(IF(OR(G983="",INDEX(G:G,MATCH(DATE(YEAR($A983)-1,MONTH($A983),DAY($A983)),$A:$A,0))=""),"",G983/INDEX(G:G,MATCH(DATE(YEAR($A983)-1,MONTH($A983),DAY($A983)),$A:$A,0))-1),"")</f>
        <v/>
      </c>
      <c r="M983" s="19">
        <f>IF(OR(E983="",E982=""),"",E983/E982-1)</f>
        <v/>
      </c>
      <c r="N983" s="19">
        <f>IF(OR(F983="",F982=""),"",F983/F982-1)</f>
        <v/>
      </c>
      <c r="O983" s="19">
        <f>IF(OR(G983="",G982=""),"",G983/G982-1)</f>
        <v/>
      </c>
      <c r="P983" s="22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IF(R983="","",P983/R983)</f>
        <v/>
      </c>
      <c r="T983" s="23">
        <f>IF(R983="","",Q983/R983)</f>
        <v/>
      </c>
      <c r="U983" s="24">
        <f>IF(SUMIFS('Daily NSE Equity Options'!$M:$M,'Daily NSE Equity Options'!$A:$A,$A983)=0,"",SUMIFS('Daily NSE Equity Options'!$M:$M,'Daily NSE Equity Options'!$A:$A,$A983))</f>
        <v/>
      </c>
      <c r="V983" s="9">
        <f>IF(SUMIFS('Daily BSE Equity Options'!$M:$M,'Daily BSE Equity Options'!$A:$A,$A983)=0,"",SUMIFS('Daily BSE Equity Options'!$M:$M,'Daily BSE Equity Options'!$A:$A,$A983))</f>
        <v/>
      </c>
      <c r="W983" s="9">
        <f>IF(OR(U983="",V983=""),"",U983+V983)</f>
        <v/>
      </c>
      <c r="X983" s="25">
        <f>IF(W983="","",U983/W983)</f>
        <v/>
      </c>
      <c r="Y983" s="25">
        <f>IF(W983="","",V983/W983)</f>
        <v/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19">
        <f>IF(G984="","",E984/G984)</f>
        <v/>
      </c>
      <c r="I984" s="19">
        <f>IF(G984="","",F984/G984)</f>
        <v/>
      </c>
      <c r="J984" s="26">
        <f>IFERROR(IF(OR(E984="",INDEX(E:E,MATCH(DATE(YEAR($A984)-1,MONTH($A984),DAY($A984)),$A:$A,0))=""),"",E984/INDEX(E:E,MATCH(DATE(YEAR($A984)-1,MONTH($A984),DAY($A984)),$A:$A,0))-1),"")</f>
        <v/>
      </c>
      <c r="K984" s="19">
        <f>IFERROR(IF(OR(F984="",INDEX(F:F,MATCH(DATE(YEAR($A984)-1,MONTH($A984),DAY($A984)),$A:$A,0))=""),"",F984/INDEX(F:F,MATCH(DATE(YEAR($A984)-1,MONTH($A984),DAY($A984)),$A:$A,0))-1),"")</f>
        <v/>
      </c>
      <c r="L984" s="19">
        <f>IFERROR(IF(OR(G984="",INDEX(G:G,MATCH(DATE(YEAR($A984)-1,MONTH($A984),DAY($A984)),$A:$A,0))=""),"",G984/INDEX(G:G,MATCH(DATE(YEAR($A984)-1,MONTH($A984),DAY($A984)),$A:$A,0))-1),"")</f>
        <v/>
      </c>
      <c r="M984" s="19">
        <f>IF(OR(E984="",E983=""),"",E984/E983-1)</f>
        <v/>
      </c>
      <c r="N984" s="19">
        <f>IF(OR(F984="",F983=""),"",F984/F983-1)</f>
        <v/>
      </c>
      <c r="O984" s="19">
        <f>IF(OR(G984="",G983=""),"",G984/G983-1)</f>
        <v/>
      </c>
      <c r="P984" s="22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IF(R984="","",P984/R984)</f>
        <v/>
      </c>
      <c r="T984" s="23">
        <f>IF(R984="","",Q984/R984)</f>
        <v/>
      </c>
      <c r="U984" s="24">
        <f>IF(SUMIFS('Daily NSE Equity Options'!$M:$M,'Daily NSE Equity Options'!$A:$A,$A984)=0,"",SUMIFS('Daily NSE Equity Options'!$M:$M,'Daily NSE Equity Options'!$A:$A,$A984))</f>
        <v/>
      </c>
      <c r="V984" s="9">
        <f>IF(SUMIFS('Daily BSE Equity Options'!$M:$M,'Daily BSE Equity Options'!$A:$A,$A984)=0,"",SUMIFS('Daily BSE Equity Options'!$M:$M,'Daily BSE Equity Options'!$A:$A,$A984))</f>
        <v/>
      </c>
      <c r="W984" s="9">
        <f>IF(OR(U984="",V984=""),"",U984+V984)</f>
        <v/>
      </c>
      <c r="X984" s="25">
        <f>IF(W984="","",U984/W984)</f>
        <v/>
      </c>
      <c r="Y984" s="25">
        <f>IF(W984="","",V984/W984)</f>
        <v/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19">
        <f>IF(G985="","",E985/G985)</f>
        <v/>
      </c>
      <c r="I985" s="19">
        <f>IF(G985="","",F985/G985)</f>
        <v/>
      </c>
      <c r="J985" s="26">
        <f>IFERROR(IF(OR(E985="",INDEX(E:E,MATCH(DATE(YEAR($A985)-1,MONTH($A985),DAY($A985)),$A:$A,0))=""),"",E985/INDEX(E:E,MATCH(DATE(YEAR($A985)-1,MONTH($A985),DAY($A985)),$A:$A,0))-1),"")</f>
        <v/>
      </c>
      <c r="K985" s="19">
        <f>IFERROR(IF(OR(F985="",INDEX(F:F,MATCH(DATE(YEAR($A985)-1,MONTH($A985),DAY($A985)),$A:$A,0))=""),"",F985/INDEX(F:F,MATCH(DATE(YEAR($A985)-1,MONTH($A985),DAY($A985)),$A:$A,0))-1),"")</f>
        <v/>
      </c>
      <c r="L985" s="19">
        <f>IFERROR(IF(OR(G985="",INDEX(G:G,MATCH(DATE(YEAR($A985)-1,MONTH($A985),DAY($A985)),$A:$A,0))=""),"",G985/INDEX(G:G,MATCH(DATE(YEAR($A985)-1,MONTH($A985),DAY($A985)),$A:$A,0))-1),"")</f>
        <v/>
      </c>
      <c r="M985" s="19">
        <f>IF(OR(E985="",E984=""),"",E985/E984-1)</f>
        <v/>
      </c>
      <c r="N985" s="19">
        <f>IF(OR(F985="",F984=""),"",F985/F984-1)</f>
        <v/>
      </c>
      <c r="O985" s="19">
        <f>IF(OR(G985="",G984=""),"",G985/G984-1)</f>
        <v/>
      </c>
      <c r="P985" s="22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IF(R985="","",P985/R985)</f>
        <v/>
      </c>
      <c r="T985" s="23">
        <f>IF(R985="","",Q985/R985)</f>
        <v/>
      </c>
      <c r="U985" s="24">
        <f>IF(SUMIFS('Daily NSE Equity Options'!$M:$M,'Daily NSE Equity Options'!$A:$A,$A985)=0,"",SUMIFS('Daily NSE Equity Options'!$M:$M,'Daily NSE Equity Options'!$A:$A,$A985))</f>
        <v/>
      </c>
      <c r="V985" s="9">
        <f>IF(SUMIFS('Daily BSE Equity Options'!$M:$M,'Daily BSE Equity Options'!$A:$A,$A985)=0,"",SUMIFS('Daily BSE Equity Options'!$M:$M,'Daily BSE Equity Options'!$A:$A,$A985))</f>
        <v/>
      </c>
      <c r="W985" s="9">
        <f>IF(OR(U985="",V985=""),"",U985+V985)</f>
        <v/>
      </c>
      <c r="X985" s="25">
        <f>IF(W985="","",U985/W985)</f>
        <v/>
      </c>
      <c r="Y985" s="25">
        <f>IF(W985="","",V985/W985)</f>
        <v/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19">
        <f>IF(G986="","",E986/G986)</f>
        <v/>
      </c>
      <c r="I986" s="19">
        <f>IF(G986="","",F986/G986)</f>
        <v/>
      </c>
      <c r="J986" s="26">
        <f>IFERROR(IF(OR(E986="",INDEX(E:E,MATCH(DATE(YEAR($A986)-1,MONTH($A986),DAY($A986)),$A:$A,0))=""),"",E986/INDEX(E:E,MATCH(DATE(YEAR($A986)-1,MONTH($A986),DAY($A986)),$A:$A,0))-1),"")</f>
        <v/>
      </c>
      <c r="K986" s="19">
        <f>IFERROR(IF(OR(F986="",INDEX(F:F,MATCH(DATE(YEAR($A986)-1,MONTH($A986),DAY($A986)),$A:$A,0))=""),"",F986/INDEX(F:F,MATCH(DATE(YEAR($A986)-1,MONTH($A986),DAY($A986)),$A:$A,0))-1),"")</f>
        <v/>
      </c>
      <c r="L986" s="19">
        <f>IFERROR(IF(OR(G986="",INDEX(G:G,MATCH(DATE(YEAR($A986)-1,MONTH($A986),DAY($A986)),$A:$A,0))=""),"",G986/INDEX(G:G,MATCH(DATE(YEAR($A986)-1,MONTH($A986),DAY($A986)),$A:$A,0))-1),"")</f>
        <v/>
      </c>
      <c r="M986" s="19">
        <f>IF(OR(E986="",E985=""),"",E986/E985-1)</f>
        <v/>
      </c>
      <c r="N986" s="19">
        <f>IF(OR(F986="",F985=""),"",F986/F985-1)</f>
        <v/>
      </c>
      <c r="O986" s="19">
        <f>IF(OR(G986="",G985=""),"",G986/G985-1)</f>
        <v/>
      </c>
      <c r="P986" s="22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IF(R986="","",P986/R986)</f>
        <v/>
      </c>
      <c r="T986" s="23">
        <f>IF(R986="","",Q986/R986)</f>
        <v/>
      </c>
      <c r="U986" s="24">
        <f>IF(SUMIFS('Daily NSE Equity Options'!$M:$M,'Daily NSE Equity Options'!$A:$A,$A986)=0,"",SUMIFS('Daily NSE Equity Options'!$M:$M,'Daily NSE Equity Options'!$A:$A,$A986))</f>
        <v/>
      </c>
      <c r="V986" s="9">
        <f>IF(SUMIFS('Daily BSE Equity Options'!$M:$M,'Daily BSE Equity Options'!$A:$A,$A986)=0,"",SUMIFS('Daily BSE Equity Options'!$M:$M,'Daily BSE Equity Options'!$A:$A,$A986))</f>
        <v/>
      </c>
      <c r="W986" s="9">
        <f>IF(OR(U986="",V986=""),"",U986+V986)</f>
        <v/>
      </c>
      <c r="X986" s="25">
        <f>IF(W986="","",U986/W986)</f>
        <v/>
      </c>
      <c r="Y986" s="25">
        <f>IF(W986="","",V986/W986)</f>
        <v/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19">
        <f>IF(G987="","",E987/G987)</f>
        <v/>
      </c>
      <c r="I987" s="19">
        <f>IF(G987="","",F987/G987)</f>
        <v/>
      </c>
      <c r="J987" s="26">
        <f>IFERROR(IF(OR(E987="",INDEX(E:E,MATCH(DATE(YEAR($A987)-1,MONTH($A987),DAY($A987)),$A:$A,0))=""),"",E987/INDEX(E:E,MATCH(DATE(YEAR($A987)-1,MONTH($A987),DAY($A987)),$A:$A,0))-1),"")</f>
        <v/>
      </c>
      <c r="K987" s="19">
        <f>IFERROR(IF(OR(F987="",INDEX(F:F,MATCH(DATE(YEAR($A987)-1,MONTH($A987),DAY($A987)),$A:$A,0))=""),"",F987/INDEX(F:F,MATCH(DATE(YEAR($A987)-1,MONTH($A987),DAY($A987)),$A:$A,0))-1),"")</f>
        <v/>
      </c>
      <c r="L987" s="19">
        <f>IFERROR(IF(OR(G987="",INDEX(G:G,MATCH(DATE(YEAR($A987)-1,MONTH($A987),DAY($A987)),$A:$A,0))=""),"",G987/INDEX(G:G,MATCH(DATE(YEAR($A987)-1,MONTH($A987),DAY($A987)),$A:$A,0))-1),"")</f>
        <v/>
      </c>
      <c r="M987" s="19">
        <f>IF(OR(E987="",E986=""),"",E987/E986-1)</f>
        <v/>
      </c>
      <c r="N987" s="19">
        <f>IF(OR(F987="",F986=""),"",F987/F986-1)</f>
        <v/>
      </c>
      <c r="O987" s="19">
        <f>IF(OR(G987="",G986=""),"",G987/G986-1)</f>
        <v/>
      </c>
      <c r="P987" s="22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IF(R987="","",P987/R987)</f>
        <v/>
      </c>
      <c r="T987" s="23">
        <f>IF(R987="","",Q987/R987)</f>
        <v/>
      </c>
      <c r="U987" s="24">
        <f>IF(SUMIFS('Daily NSE Equity Options'!$M:$M,'Daily NSE Equity Options'!$A:$A,$A987)=0,"",SUMIFS('Daily NSE Equity Options'!$M:$M,'Daily NSE Equity Options'!$A:$A,$A987))</f>
        <v/>
      </c>
      <c r="V987" s="9">
        <f>IF(SUMIFS('Daily BSE Equity Options'!$M:$M,'Daily BSE Equity Options'!$A:$A,$A987)=0,"",SUMIFS('Daily BSE Equity Options'!$M:$M,'Daily BSE Equity Options'!$A:$A,$A987))</f>
        <v/>
      </c>
      <c r="W987" s="9">
        <f>IF(OR(U987="",V987=""),"",U987+V987)</f>
        <v/>
      </c>
      <c r="X987" s="25">
        <f>IF(W987="","",U987/W987)</f>
        <v/>
      </c>
      <c r="Y987" s="25">
        <f>IF(W987="","",V987/W987)</f>
        <v/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19">
        <f>IF(G988="","",E988/G988)</f>
        <v/>
      </c>
      <c r="I988" s="19">
        <f>IF(G988="","",F988/G988)</f>
        <v/>
      </c>
      <c r="J988" s="26">
        <f>IFERROR(IF(OR(E988="",INDEX(E:E,MATCH(DATE(YEAR($A988)-1,MONTH($A988),DAY($A988)),$A:$A,0))=""),"",E988/INDEX(E:E,MATCH(DATE(YEAR($A988)-1,MONTH($A988),DAY($A988)),$A:$A,0))-1),"")</f>
        <v/>
      </c>
      <c r="K988" s="19">
        <f>IFERROR(IF(OR(F988="",INDEX(F:F,MATCH(DATE(YEAR($A988)-1,MONTH($A988),DAY($A988)),$A:$A,0))=""),"",F988/INDEX(F:F,MATCH(DATE(YEAR($A988)-1,MONTH($A988),DAY($A988)),$A:$A,0))-1),"")</f>
        <v/>
      </c>
      <c r="L988" s="19">
        <f>IFERROR(IF(OR(G988="",INDEX(G:G,MATCH(DATE(YEAR($A988)-1,MONTH($A988),DAY($A988)),$A:$A,0))=""),"",G988/INDEX(G:G,MATCH(DATE(YEAR($A988)-1,MONTH($A988),DAY($A988)),$A:$A,0))-1),"")</f>
        <v/>
      </c>
      <c r="M988" s="19">
        <f>IF(OR(E988="",E987=""),"",E988/E987-1)</f>
        <v/>
      </c>
      <c r="N988" s="19">
        <f>IF(OR(F988="",F987=""),"",F988/F987-1)</f>
        <v/>
      </c>
      <c r="O988" s="19">
        <f>IF(OR(G988="",G987=""),"",G988/G987-1)</f>
        <v/>
      </c>
      <c r="P988" s="22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IF(R988="","",P988/R988)</f>
        <v/>
      </c>
      <c r="T988" s="23">
        <f>IF(R988="","",Q988/R988)</f>
        <v/>
      </c>
      <c r="U988" s="24">
        <f>IF(SUMIFS('Daily NSE Equity Options'!$M:$M,'Daily NSE Equity Options'!$A:$A,$A988)=0,"",SUMIFS('Daily NSE Equity Options'!$M:$M,'Daily NSE Equity Options'!$A:$A,$A988))</f>
        <v/>
      </c>
      <c r="V988" s="9">
        <f>IF(SUMIFS('Daily BSE Equity Options'!$M:$M,'Daily BSE Equity Options'!$A:$A,$A988)=0,"",SUMIFS('Daily BSE Equity Options'!$M:$M,'Daily BSE Equity Options'!$A:$A,$A988))</f>
        <v/>
      </c>
      <c r="W988" s="9">
        <f>IF(OR(U988="",V988=""),"",U988+V988)</f>
        <v/>
      </c>
      <c r="X988" s="25">
        <f>IF(W988="","",U988/W988)</f>
        <v/>
      </c>
      <c r="Y988" s="25">
        <f>IF(W988="","",V988/W988)</f>
        <v/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19">
        <f>IF(G989="","",E989/G989)</f>
        <v/>
      </c>
      <c r="I989" s="19">
        <f>IF(G989="","",F989/G989)</f>
        <v/>
      </c>
      <c r="J989" s="26">
        <f>IFERROR(IF(OR(E989="",INDEX(E:E,MATCH(DATE(YEAR($A989)-1,MONTH($A989),DAY($A989)),$A:$A,0))=""),"",E989/INDEX(E:E,MATCH(DATE(YEAR($A989)-1,MONTH($A989),DAY($A989)),$A:$A,0))-1),"")</f>
        <v/>
      </c>
      <c r="K989" s="19">
        <f>IFERROR(IF(OR(F989="",INDEX(F:F,MATCH(DATE(YEAR($A989)-1,MONTH($A989),DAY($A989)),$A:$A,0))=""),"",F989/INDEX(F:F,MATCH(DATE(YEAR($A989)-1,MONTH($A989),DAY($A989)),$A:$A,0))-1),"")</f>
        <v/>
      </c>
      <c r="L989" s="19">
        <f>IFERROR(IF(OR(G989="",INDEX(G:G,MATCH(DATE(YEAR($A989)-1,MONTH($A989),DAY($A989)),$A:$A,0))=""),"",G989/INDEX(G:G,MATCH(DATE(YEAR($A989)-1,MONTH($A989),DAY($A989)),$A:$A,0))-1),"")</f>
        <v/>
      </c>
      <c r="M989" s="19">
        <f>IF(OR(E989="",E988=""),"",E989/E988-1)</f>
        <v/>
      </c>
      <c r="N989" s="19">
        <f>IF(OR(F989="",F988=""),"",F989/F988-1)</f>
        <v/>
      </c>
      <c r="O989" s="19">
        <f>IF(OR(G989="",G988=""),"",G989/G988-1)</f>
        <v/>
      </c>
      <c r="P989" s="22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IF(R989="","",P989/R989)</f>
        <v/>
      </c>
      <c r="T989" s="23">
        <f>IF(R989="","",Q989/R989)</f>
        <v/>
      </c>
      <c r="U989" s="24">
        <f>IF(SUMIFS('Daily NSE Equity Options'!$M:$M,'Daily NSE Equity Options'!$A:$A,$A989)=0,"",SUMIFS('Daily NSE Equity Options'!$M:$M,'Daily NSE Equity Options'!$A:$A,$A989))</f>
        <v/>
      </c>
      <c r="V989" s="9">
        <f>IF(SUMIFS('Daily BSE Equity Options'!$M:$M,'Daily BSE Equity Options'!$A:$A,$A989)=0,"",SUMIFS('Daily BSE Equity Options'!$M:$M,'Daily BSE Equity Options'!$A:$A,$A989))</f>
        <v/>
      </c>
      <c r="W989" s="9">
        <f>IF(OR(U989="",V989=""),"",U989+V989)</f>
        <v/>
      </c>
      <c r="X989" s="25">
        <f>IF(W989="","",U989/W989)</f>
        <v/>
      </c>
      <c r="Y989" s="25">
        <f>IF(W989="","",V989/W989)</f>
        <v/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19">
        <f>IF(G990="","",E990/G990)</f>
        <v/>
      </c>
      <c r="I990" s="19">
        <f>IF(G990="","",F990/G990)</f>
        <v/>
      </c>
      <c r="J990" s="26">
        <f>IFERROR(IF(OR(E990="",INDEX(E:E,MATCH(DATE(YEAR($A990)-1,MONTH($A990),DAY($A990)),$A:$A,0))=""),"",E990/INDEX(E:E,MATCH(DATE(YEAR($A990)-1,MONTH($A990),DAY($A990)),$A:$A,0))-1),"")</f>
        <v/>
      </c>
      <c r="K990" s="19">
        <f>IFERROR(IF(OR(F990="",INDEX(F:F,MATCH(DATE(YEAR($A990)-1,MONTH($A990),DAY($A990)),$A:$A,0))=""),"",F990/INDEX(F:F,MATCH(DATE(YEAR($A990)-1,MONTH($A990),DAY($A990)),$A:$A,0))-1),"")</f>
        <v/>
      </c>
      <c r="L990" s="19">
        <f>IFERROR(IF(OR(G990="",INDEX(G:G,MATCH(DATE(YEAR($A990)-1,MONTH($A990),DAY($A990)),$A:$A,0))=""),"",G990/INDEX(G:G,MATCH(DATE(YEAR($A990)-1,MONTH($A990),DAY($A990)),$A:$A,0))-1),"")</f>
        <v/>
      </c>
      <c r="M990" s="19">
        <f>IF(OR(E990="",E989=""),"",E990/E989-1)</f>
        <v/>
      </c>
      <c r="N990" s="19">
        <f>IF(OR(F990="",F989=""),"",F990/F989-1)</f>
        <v/>
      </c>
      <c r="O990" s="19">
        <f>IF(OR(G990="",G989=""),"",G990/G989-1)</f>
        <v/>
      </c>
      <c r="P990" s="22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IF(R990="","",P990/R990)</f>
        <v/>
      </c>
      <c r="T990" s="23">
        <f>IF(R990="","",Q990/R990)</f>
        <v/>
      </c>
      <c r="U990" s="24">
        <f>IF(SUMIFS('Daily NSE Equity Options'!$M:$M,'Daily NSE Equity Options'!$A:$A,$A990)=0,"",SUMIFS('Daily NSE Equity Options'!$M:$M,'Daily NSE Equity Options'!$A:$A,$A990))</f>
        <v/>
      </c>
      <c r="V990" s="9">
        <f>IF(SUMIFS('Daily BSE Equity Options'!$M:$M,'Daily BSE Equity Options'!$A:$A,$A990)=0,"",SUMIFS('Daily BSE Equity Options'!$M:$M,'Daily BSE Equity Options'!$A:$A,$A990))</f>
        <v/>
      </c>
      <c r="W990" s="9">
        <f>IF(OR(U990="",V990=""),"",U990+V990)</f>
        <v/>
      </c>
      <c r="X990" s="25">
        <f>IF(W990="","",U990/W990)</f>
        <v/>
      </c>
      <c r="Y990" s="25">
        <f>IF(W990="","",V990/W990)</f>
        <v/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19">
        <f>IF(G991="","",E991/G991)</f>
        <v/>
      </c>
      <c r="I991" s="19">
        <f>IF(G991="","",F991/G991)</f>
        <v/>
      </c>
      <c r="J991" s="26">
        <f>IFERROR(IF(OR(E991="",INDEX(E:E,MATCH(DATE(YEAR($A991)-1,MONTH($A991),DAY($A991)),$A:$A,0))=""),"",E991/INDEX(E:E,MATCH(DATE(YEAR($A991)-1,MONTH($A991),DAY($A991)),$A:$A,0))-1),"")</f>
        <v/>
      </c>
      <c r="K991" s="19">
        <f>IFERROR(IF(OR(F991="",INDEX(F:F,MATCH(DATE(YEAR($A991)-1,MONTH($A991),DAY($A991)),$A:$A,0))=""),"",F991/INDEX(F:F,MATCH(DATE(YEAR($A991)-1,MONTH($A991),DAY($A991)),$A:$A,0))-1),"")</f>
        <v/>
      </c>
      <c r="L991" s="19">
        <f>IFERROR(IF(OR(G991="",INDEX(G:G,MATCH(DATE(YEAR($A991)-1,MONTH($A991),DAY($A991)),$A:$A,0))=""),"",G991/INDEX(G:G,MATCH(DATE(YEAR($A991)-1,MONTH($A991),DAY($A991)),$A:$A,0))-1),"")</f>
        <v/>
      </c>
      <c r="M991" s="19">
        <f>IF(OR(E991="",E990=""),"",E991/E990-1)</f>
        <v/>
      </c>
      <c r="N991" s="19">
        <f>IF(OR(F991="",F990=""),"",F991/F990-1)</f>
        <v/>
      </c>
      <c r="O991" s="19">
        <f>IF(OR(G991="",G990=""),"",G991/G990-1)</f>
        <v/>
      </c>
      <c r="P991" s="22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IF(R991="","",P991/R991)</f>
        <v/>
      </c>
      <c r="T991" s="23">
        <f>IF(R991="","",Q991/R991)</f>
        <v/>
      </c>
      <c r="U991" s="24">
        <f>IF(SUMIFS('Daily NSE Equity Options'!$M:$M,'Daily NSE Equity Options'!$A:$A,$A991)=0,"",SUMIFS('Daily NSE Equity Options'!$M:$M,'Daily NSE Equity Options'!$A:$A,$A991))</f>
        <v/>
      </c>
      <c r="V991" s="9">
        <f>IF(SUMIFS('Daily BSE Equity Options'!$M:$M,'Daily BSE Equity Options'!$A:$A,$A991)=0,"",SUMIFS('Daily BSE Equity Options'!$M:$M,'Daily BSE Equity Options'!$A:$A,$A991))</f>
        <v/>
      </c>
      <c r="W991" s="9">
        <f>IF(OR(U991="",V991=""),"",U991+V991)</f>
        <v/>
      </c>
      <c r="X991" s="25">
        <f>IF(W991="","",U991/W991)</f>
        <v/>
      </c>
      <c r="Y991" s="25">
        <f>IF(W991="","",V991/W991)</f>
        <v/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19">
        <f>IF(G992="","",E992/G992)</f>
        <v/>
      </c>
      <c r="I992" s="19">
        <f>IF(G992="","",F992/G992)</f>
        <v/>
      </c>
      <c r="J992" s="26">
        <f>IFERROR(IF(OR(E992="",INDEX(E:E,MATCH(DATE(YEAR($A992)-1,MONTH($A992),DAY($A992)),$A:$A,0))=""),"",E992/INDEX(E:E,MATCH(DATE(YEAR($A992)-1,MONTH($A992),DAY($A992)),$A:$A,0))-1),"")</f>
        <v/>
      </c>
      <c r="K992" s="19">
        <f>IFERROR(IF(OR(F992="",INDEX(F:F,MATCH(DATE(YEAR($A992)-1,MONTH($A992),DAY($A992)),$A:$A,0))=""),"",F992/INDEX(F:F,MATCH(DATE(YEAR($A992)-1,MONTH($A992),DAY($A992)),$A:$A,0))-1),"")</f>
        <v/>
      </c>
      <c r="L992" s="19">
        <f>IFERROR(IF(OR(G992="",INDEX(G:G,MATCH(DATE(YEAR($A992)-1,MONTH($A992),DAY($A992)),$A:$A,0))=""),"",G992/INDEX(G:G,MATCH(DATE(YEAR($A992)-1,MONTH($A992),DAY($A992)),$A:$A,0))-1),"")</f>
        <v/>
      </c>
      <c r="M992" s="19">
        <f>IF(OR(E992="",E991=""),"",E992/E991-1)</f>
        <v/>
      </c>
      <c r="N992" s="19">
        <f>IF(OR(F992="",F991=""),"",F992/F991-1)</f>
        <v/>
      </c>
      <c r="O992" s="19">
        <f>IF(OR(G992="",G991=""),"",G992/G991-1)</f>
        <v/>
      </c>
      <c r="P992" s="22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IF(R992="","",P992/R992)</f>
        <v/>
      </c>
      <c r="T992" s="23">
        <f>IF(R992="","",Q992/R992)</f>
        <v/>
      </c>
      <c r="U992" s="24">
        <f>IF(SUMIFS('Daily NSE Equity Options'!$M:$M,'Daily NSE Equity Options'!$A:$A,$A992)=0,"",SUMIFS('Daily NSE Equity Options'!$M:$M,'Daily NSE Equity Options'!$A:$A,$A992))</f>
        <v/>
      </c>
      <c r="V992" s="9">
        <f>IF(SUMIFS('Daily BSE Equity Options'!$M:$M,'Daily BSE Equity Options'!$A:$A,$A992)=0,"",SUMIFS('Daily BSE Equity Options'!$M:$M,'Daily BSE Equity Options'!$A:$A,$A992))</f>
        <v/>
      </c>
      <c r="W992" s="9">
        <f>IF(OR(U992="",V992=""),"",U992+V992)</f>
        <v/>
      </c>
      <c r="X992" s="25">
        <f>IF(W992="","",U992/W992)</f>
        <v/>
      </c>
      <c r="Y992" s="25">
        <f>IF(W992="","",V992/W992)</f>
        <v/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19">
        <f>IF(G993="","",E993/G993)</f>
        <v/>
      </c>
      <c r="I993" s="19">
        <f>IF(G993="","",F993/G993)</f>
        <v/>
      </c>
      <c r="J993" s="26">
        <f>IFERROR(IF(OR(E993="",INDEX(E:E,MATCH(DATE(YEAR($A993)-1,MONTH($A993),DAY($A993)),$A:$A,0))=""),"",E993/INDEX(E:E,MATCH(DATE(YEAR($A993)-1,MONTH($A993),DAY($A993)),$A:$A,0))-1),"")</f>
        <v/>
      </c>
      <c r="K993" s="19">
        <f>IFERROR(IF(OR(F993="",INDEX(F:F,MATCH(DATE(YEAR($A993)-1,MONTH($A993),DAY($A993)),$A:$A,0))=""),"",F993/INDEX(F:F,MATCH(DATE(YEAR($A993)-1,MONTH($A993),DAY($A993)),$A:$A,0))-1),"")</f>
        <v/>
      </c>
      <c r="L993" s="19">
        <f>IFERROR(IF(OR(G993="",INDEX(G:G,MATCH(DATE(YEAR($A993)-1,MONTH($A993),DAY($A993)),$A:$A,0))=""),"",G993/INDEX(G:G,MATCH(DATE(YEAR($A993)-1,MONTH($A993),DAY($A993)),$A:$A,0))-1),"")</f>
        <v/>
      </c>
      <c r="M993" s="19">
        <f>IF(OR(E993="",E992=""),"",E993/E992-1)</f>
        <v/>
      </c>
      <c r="N993" s="19">
        <f>IF(OR(F993="",F992=""),"",F993/F992-1)</f>
        <v/>
      </c>
      <c r="O993" s="19">
        <f>IF(OR(G993="",G992=""),"",G993/G992-1)</f>
        <v/>
      </c>
      <c r="P993" s="22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IF(R993="","",P993/R993)</f>
        <v/>
      </c>
      <c r="T993" s="23">
        <f>IF(R993="","",Q993/R993)</f>
        <v/>
      </c>
      <c r="U993" s="24">
        <f>IF(SUMIFS('Daily NSE Equity Options'!$M:$M,'Daily NSE Equity Options'!$A:$A,$A993)=0,"",SUMIFS('Daily NSE Equity Options'!$M:$M,'Daily NSE Equity Options'!$A:$A,$A993))</f>
        <v/>
      </c>
      <c r="V993" s="9">
        <f>IF(SUMIFS('Daily BSE Equity Options'!$M:$M,'Daily BSE Equity Options'!$A:$A,$A993)=0,"",SUMIFS('Daily BSE Equity Options'!$M:$M,'Daily BSE Equity Options'!$A:$A,$A993))</f>
        <v/>
      </c>
      <c r="W993" s="9">
        <f>IF(OR(U993="",V993=""),"",U993+V993)</f>
        <v/>
      </c>
      <c r="X993" s="25">
        <f>IF(W993="","",U993/W993)</f>
        <v/>
      </c>
      <c r="Y993" s="25">
        <f>IF(W993="","",V993/W993)</f>
        <v/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19">
        <f>IF(G994="","",E994/G994)</f>
        <v/>
      </c>
      <c r="I994" s="19">
        <f>IF(G994="","",F994/G994)</f>
        <v/>
      </c>
      <c r="J994" s="26">
        <f>IFERROR(IF(OR(E994="",INDEX(E:E,MATCH(DATE(YEAR($A994)-1,MONTH($A994),DAY($A994)),$A:$A,0))=""),"",E994/INDEX(E:E,MATCH(DATE(YEAR($A994)-1,MONTH($A994),DAY($A994)),$A:$A,0))-1),"")</f>
        <v/>
      </c>
      <c r="K994" s="19">
        <f>IFERROR(IF(OR(F994="",INDEX(F:F,MATCH(DATE(YEAR($A994)-1,MONTH($A994),DAY($A994)),$A:$A,0))=""),"",F994/INDEX(F:F,MATCH(DATE(YEAR($A994)-1,MONTH($A994),DAY($A994)),$A:$A,0))-1),"")</f>
        <v/>
      </c>
      <c r="L994" s="19">
        <f>IFERROR(IF(OR(G994="",INDEX(G:G,MATCH(DATE(YEAR($A994)-1,MONTH($A994),DAY($A994)),$A:$A,0))=""),"",G994/INDEX(G:G,MATCH(DATE(YEAR($A994)-1,MONTH($A994),DAY($A994)),$A:$A,0))-1),"")</f>
        <v/>
      </c>
      <c r="M994" s="19">
        <f>IF(OR(E994="",E993=""),"",E994/E993-1)</f>
        <v/>
      </c>
      <c r="N994" s="19">
        <f>IF(OR(F994="",F993=""),"",F994/F993-1)</f>
        <v/>
      </c>
      <c r="O994" s="19">
        <f>IF(OR(G994="",G993=""),"",G994/G993-1)</f>
        <v/>
      </c>
      <c r="P994" s="22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IF(R994="","",P994/R994)</f>
        <v/>
      </c>
      <c r="T994" s="23">
        <f>IF(R994="","",Q994/R994)</f>
        <v/>
      </c>
      <c r="U994" s="24">
        <f>IF(SUMIFS('Daily NSE Equity Options'!$M:$M,'Daily NSE Equity Options'!$A:$A,$A994)=0,"",SUMIFS('Daily NSE Equity Options'!$M:$M,'Daily NSE Equity Options'!$A:$A,$A994))</f>
        <v/>
      </c>
      <c r="V994" s="9">
        <f>IF(SUMIFS('Daily BSE Equity Options'!$M:$M,'Daily BSE Equity Options'!$A:$A,$A994)=0,"",SUMIFS('Daily BSE Equity Options'!$M:$M,'Daily BSE Equity Options'!$A:$A,$A994))</f>
        <v/>
      </c>
      <c r="W994" s="9">
        <f>IF(OR(U994="",V994=""),"",U994+V994)</f>
        <v/>
      </c>
      <c r="X994" s="25">
        <f>IF(W994="","",U994/W994)</f>
        <v/>
      </c>
      <c r="Y994" s="25">
        <f>IF(W994="","",V994/W994)</f>
        <v/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19">
        <f>IF(G995="","",E995/G995)</f>
        <v/>
      </c>
      <c r="I995" s="19">
        <f>IF(G995="","",F995/G995)</f>
        <v/>
      </c>
      <c r="J995" s="26">
        <f>IFERROR(IF(OR(E995="",INDEX(E:E,MATCH(DATE(YEAR($A995)-1,MONTH($A995),DAY($A995)),$A:$A,0))=""),"",E995/INDEX(E:E,MATCH(DATE(YEAR($A995)-1,MONTH($A995),DAY($A995)),$A:$A,0))-1),"")</f>
        <v/>
      </c>
      <c r="K995" s="19">
        <f>IFERROR(IF(OR(F995="",INDEX(F:F,MATCH(DATE(YEAR($A995)-1,MONTH($A995),DAY($A995)),$A:$A,0))=""),"",F995/INDEX(F:F,MATCH(DATE(YEAR($A995)-1,MONTH($A995),DAY($A995)),$A:$A,0))-1),"")</f>
        <v/>
      </c>
      <c r="L995" s="19">
        <f>IFERROR(IF(OR(G995="",INDEX(G:G,MATCH(DATE(YEAR($A995)-1,MONTH($A995),DAY($A995)),$A:$A,0))=""),"",G995/INDEX(G:G,MATCH(DATE(YEAR($A995)-1,MONTH($A995),DAY($A995)),$A:$A,0))-1),"")</f>
        <v/>
      </c>
      <c r="M995" s="19">
        <f>IF(OR(E995="",E994=""),"",E995/E994-1)</f>
        <v/>
      </c>
      <c r="N995" s="19">
        <f>IF(OR(F995="",F994=""),"",F995/F994-1)</f>
        <v/>
      </c>
      <c r="O995" s="19">
        <f>IF(OR(G995="",G994=""),"",G995/G994-1)</f>
        <v/>
      </c>
      <c r="P995" s="22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IF(R995="","",P995/R995)</f>
        <v/>
      </c>
      <c r="T995" s="23">
        <f>IF(R995="","",Q995/R995)</f>
        <v/>
      </c>
      <c r="U995" s="24">
        <f>IF(SUMIFS('Daily NSE Equity Options'!$M:$M,'Daily NSE Equity Options'!$A:$A,$A995)=0,"",SUMIFS('Daily NSE Equity Options'!$M:$M,'Daily NSE Equity Options'!$A:$A,$A995))</f>
        <v/>
      </c>
      <c r="V995" s="9">
        <f>IF(SUMIFS('Daily BSE Equity Options'!$M:$M,'Daily BSE Equity Options'!$A:$A,$A995)=0,"",SUMIFS('Daily BSE Equity Options'!$M:$M,'Daily BSE Equity Options'!$A:$A,$A995))</f>
        <v/>
      </c>
      <c r="W995" s="9">
        <f>IF(OR(U995="",V995=""),"",U995+V995)</f>
        <v/>
      </c>
      <c r="X995" s="25">
        <f>IF(W995="","",U995/W995)</f>
        <v/>
      </c>
      <c r="Y995" s="25">
        <f>IF(W995="","",V995/W995)</f>
        <v/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19">
        <f>IF(G996="","",E996/G996)</f>
        <v/>
      </c>
      <c r="I996" s="19">
        <f>IF(G996="","",F996/G996)</f>
        <v/>
      </c>
      <c r="J996" s="26">
        <f>IFERROR(IF(OR(E996="",INDEX(E:E,MATCH(DATE(YEAR($A996)-1,MONTH($A996),DAY($A996)),$A:$A,0))=""),"",E996/INDEX(E:E,MATCH(DATE(YEAR($A996)-1,MONTH($A996),DAY($A996)),$A:$A,0))-1),"")</f>
        <v/>
      </c>
      <c r="K996" s="19">
        <f>IFERROR(IF(OR(F996="",INDEX(F:F,MATCH(DATE(YEAR($A996)-1,MONTH($A996),DAY($A996)),$A:$A,0))=""),"",F996/INDEX(F:F,MATCH(DATE(YEAR($A996)-1,MONTH($A996),DAY($A996)),$A:$A,0))-1),"")</f>
        <v/>
      </c>
      <c r="L996" s="19">
        <f>IFERROR(IF(OR(G996="",INDEX(G:G,MATCH(DATE(YEAR($A996)-1,MONTH($A996),DAY($A996)),$A:$A,0))=""),"",G996/INDEX(G:G,MATCH(DATE(YEAR($A996)-1,MONTH($A996),DAY($A996)),$A:$A,0))-1),"")</f>
        <v/>
      </c>
      <c r="M996" s="19">
        <f>IF(OR(E996="",E995=""),"",E996/E995-1)</f>
        <v/>
      </c>
      <c r="N996" s="19">
        <f>IF(OR(F996="",F995=""),"",F996/F995-1)</f>
        <v/>
      </c>
      <c r="O996" s="19">
        <f>IF(OR(G996="",G995=""),"",G996/G995-1)</f>
        <v/>
      </c>
      <c r="P996" s="22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IF(R996="","",P996/R996)</f>
        <v/>
      </c>
      <c r="T996" s="23">
        <f>IF(R996="","",Q996/R996)</f>
        <v/>
      </c>
      <c r="U996" s="24">
        <f>IF(SUMIFS('Daily NSE Equity Options'!$M:$M,'Daily NSE Equity Options'!$A:$A,$A996)=0,"",SUMIFS('Daily NSE Equity Options'!$M:$M,'Daily NSE Equity Options'!$A:$A,$A996))</f>
        <v/>
      </c>
      <c r="V996" s="9">
        <f>IF(SUMIFS('Daily BSE Equity Options'!$M:$M,'Daily BSE Equity Options'!$A:$A,$A996)=0,"",SUMIFS('Daily BSE Equity Options'!$M:$M,'Daily BSE Equity Options'!$A:$A,$A996))</f>
        <v/>
      </c>
      <c r="W996" s="9">
        <f>IF(OR(U996="",V996=""),"",U996+V996)</f>
        <v/>
      </c>
      <c r="X996" s="25">
        <f>IF(W996="","",U996/W996)</f>
        <v/>
      </c>
      <c r="Y996" s="25">
        <f>IF(W996="","",V996/W996)</f>
        <v/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19">
        <f>IF(G997="","",E997/G997)</f>
        <v/>
      </c>
      <c r="I997" s="19">
        <f>IF(G997="","",F997/G997)</f>
        <v/>
      </c>
      <c r="J997" s="26">
        <f>IFERROR(IF(OR(E997="",INDEX(E:E,MATCH(DATE(YEAR($A997)-1,MONTH($A997),DAY($A997)),$A:$A,0))=""),"",E997/INDEX(E:E,MATCH(DATE(YEAR($A997)-1,MONTH($A997),DAY($A997)),$A:$A,0))-1),"")</f>
        <v/>
      </c>
      <c r="K997" s="19">
        <f>IFERROR(IF(OR(F997="",INDEX(F:F,MATCH(DATE(YEAR($A997)-1,MONTH($A997),DAY($A997)),$A:$A,0))=""),"",F997/INDEX(F:F,MATCH(DATE(YEAR($A997)-1,MONTH($A997),DAY($A997)),$A:$A,0))-1),"")</f>
        <v/>
      </c>
      <c r="L997" s="19">
        <f>IFERROR(IF(OR(G997="",INDEX(G:G,MATCH(DATE(YEAR($A997)-1,MONTH($A997),DAY($A997)),$A:$A,0))=""),"",G997/INDEX(G:G,MATCH(DATE(YEAR($A997)-1,MONTH($A997),DAY($A997)),$A:$A,0))-1),"")</f>
        <v/>
      </c>
      <c r="M997" s="19">
        <f>IF(OR(E997="",E996=""),"",E997/E996-1)</f>
        <v/>
      </c>
      <c r="N997" s="19">
        <f>IF(OR(F997="",F996=""),"",F997/F996-1)</f>
        <v/>
      </c>
      <c r="O997" s="19">
        <f>IF(OR(G997="",G996=""),"",G997/G996-1)</f>
        <v/>
      </c>
      <c r="P997" s="22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IF(R997="","",P997/R997)</f>
        <v/>
      </c>
      <c r="T997" s="23">
        <f>IF(R997="","",Q997/R997)</f>
        <v/>
      </c>
      <c r="U997" s="24">
        <f>IF(SUMIFS('Daily NSE Equity Options'!$M:$M,'Daily NSE Equity Options'!$A:$A,$A997)=0,"",SUMIFS('Daily NSE Equity Options'!$M:$M,'Daily NSE Equity Options'!$A:$A,$A997))</f>
        <v/>
      </c>
      <c r="V997" s="9">
        <f>IF(SUMIFS('Daily BSE Equity Options'!$M:$M,'Daily BSE Equity Options'!$A:$A,$A997)=0,"",SUMIFS('Daily BSE Equity Options'!$M:$M,'Daily BSE Equity Options'!$A:$A,$A997))</f>
        <v/>
      </c>
      <c r="W997" s="9">
        <f>IF(OR(U997="",V997=""),"",U997+V997)</f>
        <v/>
      </c>
      <c r="X997" s="25">
        <f>IF(W997="","",U997/W997)</f>
        <v/>
      </c>
      <c r="Y997" s="25">
        <f>IF(W997="","",V997/W997)</f>
        <v/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19">
        <f>IF(G998="","",E998/G998)</f>
        <v/>
      </c>
      <c r="I998" s="19">
        <f>IF(G998="","",F998/G998)</f>
        <v/>
      </c>
      <c r="J998" s="26">
        <f>IFERROR(IF(OR(E998="",INDEX(E:E,MATCH(DATE(YEAR($A998)-1,MONTH($A998),DAY($A998)),$A:$A,0))=""),"",E998/INDEX(E:E,MATCH(DATE(YEAR($A998)-1,MONTH($A998),DAY($A998)),$A:$A,0))-1),"")</f>
        <v/>
      </c>
      <c r="K998" s="19">
        <f>IFERROR(IF(OR(F998="",INDEX(F:F,MATCH(DATE(YEAR($A998)-1,MONTH($A998),DAY($A998)),$A:$A,0))=""),"",F998/INDEX(F:F,MATCH(DATE(YEAR($A998)-1,MONTH($A998),DAY($A998)),$A:$A,0))-1),"")</f>
        <v/>
      </c>
      <c r="L998" s="19">
        <f>IFERROR(IF(OR(G998="",INDEX(G:G,MATCH(DATE(YEAR($A998)-1,MONTH($A998),DAY($A998)),$A:$A,0))=""),"",G998/INDEX(G:G,MATCH(DATE(YEAR($A998)-1,MONTH($A998),DAY($A998)),$A:$A,0))-1),"")</f>
        <v/>
      </c>
      <c r="M998" s="19">
        <f>IF(OR(E998="",E997=""),"",E998/E997-1)</f>
        <v/>
      </c>
      <c r="N998" s="19">
        <f>IF(OR(F998="",F997=""),"",F998/F997-1)</f>
        <v/>
      </c>
      <c r="O998" s="19">
        <f>IF(OR(G998="",G997=""),"",G998/G997-1)</f>
        <v/>
      </c>
      <c r="P998" s="22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IF(R998="","",P998/R998)</f>
        <v/>
      </c>
      <c r="T998" s="23">
        <f>IF(R998="","",Q998/R998)</f>
        <v/>
      </c>
      <c r="U998" s="24">
        <f>IF(SUMIFS('Daily NSE Equity Options'!$M:$M,'Daily NSE Equity Options'!$A:$A,$A998)=0,"",SUMIFS('Daily NSE Equity Options'!$M:$M,'Daily NSE Equity Options'!$A:$A,$A998))</f>
        <v/>
      </c>
      <c r="V998" s="9">
        <f>IF(SUMIFS('Daily BSE Equity Options'!$M:$M,'Daily BSE Equity Options'!$A:$A,$A998)=0,"",SUMIFS('Daily BSE Equity Options'!$M:$M,'Daily BSE Equity Options'!$A:$A,$A998))</f>
        <v/>
      </c>
      <c r="W998" s="9">
        <f>IF(OR(U998="",V998=""),"",U998+V998)</f>
        <v/>
      </c>
      <c r="X998" s="25">
        <f>IF(W998="","",U998/W998)</f>
        <v/>
      </c>
      <c r="Y998" s="25">
        <f>IF(W998="","",V998/W998)</f>
        <v/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19">
        <f>IF(G999="","",E999/G999)</f>
        <v/>
      </c>
      <c r="I999" s="19">
        <f>IF(G999="","",F999/G999)</f>
        <v/>
      </c>
      <c r="J999" s="26">
        <f>IFERROR(IF(OR(E999="",INDEX(E:E,MATCH(DATE(YEAR($A999)-1,MONTH($A999),DAY($A999)),$A:$A,0))=""),"",E999/INDEX(E:E,MATCH(DATE(YEAR($A999)-1,MONTH($A999),DAY($A999)),$A:$A,0))-1),"")</f>
        <v/>
      </c>
      <c r="K999" s="19">
        <f>IFERROR(IF(OR(F999="",INDEX(F:F,MATCH(DATE(YEAR($A999)-1,MONTH($A999),DAY($A999)),$A:$A,0))=""),"",F999/INDEX(F:F,MATCH(DATE(YEAR($A999)-1,MONTH($A999),DAY($A999)),$A:$A,0))-1),"")</f>
        <v/>
      </c>
      <c r="L999" s="19">
        <f>IFERROR(IF(OR(G999="",INDEX(G:G,MATCH(DATE(YEAR($A999)-1,MONTH($A999),DAY($A999)),$A:$A,0))=""),"",G999/INDEX(G:G,MATCH(DATE(YEAR($A999)-1,MONTH($A999),DAY($A999)),$A:$A,0))-1),"")</f>
        <v/>
      </c>
      <c r="M999" s="19">
        <f>IF(OR(E999="",E998=""),"",E999/E998-1)</f>
        <v/>
      </c>
      <c r="N999" s="19">
        <f>IF(OR(F999="",F998=""),"",F999/F998-1)</f>
        <v/>
      </c>
      <c r="O999" s="19">
        <f>IF(OR(G999="",G998=""),"",G999/G998-1)</f>
        <v/>
      </c>
      <c r="P999" s="22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IF(R999="","",P999/R999)</f>
        <v/>
      </c>
      <c r="T999" s="23">
        <f>IF(R999="","",Q999/R999)</f>
        <v/>
      </c>
      <c r="U999" s="24">
        <f>IF(SUMIFS('Daily NSE Equity Options'!$M:$M,'Daily NSE Equity Options'!$A:$A,$A999)=0,"",SUMIFS('Daily NSE Equity Options'!$M:$M,'Daily NSE Equity Options'!$A:$A,$A999))</f>
        <v/>
      </c>
      <c r="V999" s="9">
        <f>IF(SUMIFS('Daily BSE Equity Options'!$M:$M,'Daily BSE Equity Options'!$A:$A,$A999)=0,"",SUMIFS('Daily BSE Equity Options'!$M:$M,'Daily BSE Equity Options'!$A:$A,$A999))</f>
        <v/>
      </c>
      <c r="W999" s="9">
        <f>IF(OR(U999="",V999=""),"",U999+V999)</f>
        <v/>
      </c>
      <c r="X999" s="25">
        <f>IF(W999="","",U999/W999)</f>
        <v/>
      </c>
      <c r="Y999" s="25">
        <f>IF(W999="","",V999/W999)</f>
        <v/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19">
        <f>IF(G1000="","",E1000/G1000)</f>
        <v/>
      </c>
      <c r="I1000" s="19">
        <f>IF(G1000="","",F1000/G1000)</f>
        <v/>
      </c>
      <c r="J1000" s="26">
        <f>IFERROR(IF(OR(E1000="",INDEX(E:E,MATCH(DATE(YEAR($A1000)-1,MONTH($A1000),DAY($A1000)),$A:$A,0))=""),"",E1000/INDEX(E:E,MATCH(DATE(YEAR($A1000)-1,MONTH($A1000),DAY($A1000)),$A:$A,0))-1),"")</f>
        <v/>
      </c>
      <c r="K1000" s="19">
        <f>IFERROR(IF(OR(F1000="",INDEX(F:F,MATCH(DATE(YEAR($A1000)-1,MONTH($A1000),DAY($A1000)),$A:$A,0))=""),"",F1000/INDEX(F:F,MATCH(DATE(YEAR($A1000)-1,MONTH($A1000),DAY($A1000)),$A:$A,0))-1),"")</f>
        <v/>
      </c>
      <c r="L1000" s="19">
        <f>IFERROR(IF(OR(G1000="",INDEX(G:G,MATCH(DATE(YEAR($A1000)-1,MONTH($A1000),DAY($A1000)),$A:$A,0))=""),"",G1000/INDEX(G:G,MATCH(DATE(YEAR($A1000)-1,MONTH($A1000),DAY($A1000)),$A:$A,0))-1),"")</f>
        <v/>
      </c>
      <c r="M1000" s="19">
        <f>IF(OR(E1000="",E999=""),"",E1000/E999-1)</f>
        <v/>
      </c>
      <c r="N1000" s="19">
        <f>IF(OR(F1000="",F999=""),"",F1000/F999-1)</f>
        <v/>
      </c>
      <c r="O1000" s="19">
        <f>IF(OR(G1000="",G999=""),"",G1000/G999-1)</f>
        <v/>
      </c>
      <c r="P1000" s="22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IF(R1000="","",P1000/R1000)</f>
        <v/>
      </c>
      <c r="T1000" s="23">
        <f>IF(R1000="","",Q1000/R1000)</f>
        <v/>
      </c>
      <c r="U1000" s="24">
        <f>IF(SUMIFS('Daily NSE Equity Options'!$M:$M,'Daily NSE Equity Options'!$A:$A,$A1000)=0,"",SUMIFS('Daily NSE Equity Options'!$M:$M,'Daily NSE Equity Options'!$A:$A,$A1000))</f>
        <v/>
      </c>
      <c r="V1000" s="9">
        <f>IF(SUMIFS('Daily BSE Equity Options'!$M:$M,'Daily BSE Equity Options'!$A:$A,$A1000)=0,"",SUMIFS('Daily BSE Equity Options'!$M:$M,'Daily BSE Equity Options'!$A:$A,$A1000))</f>
        <v/>
      </c>
      <c r="W1000" s="9">
        <f>IF(OR(U1000="",V1000=""),"",U1000+V1000)</f>
        <v/>
      </c>
      <c r="X1000" s="25">
        <f>IF(W1000="","",U1000/W1000)</f>
        <v/>
      </c>
      <c r="Y1000" s="25">
        <f>IF(W1000="","",V1000/W1000)</f>
        <v/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19">
        <f>IF(G1001="","",E1001/G1001)</f>
        <v/>
      </c>
      <c r="I1001" s="19">
        <f>IF(G1001="","",F1001/G1001)</f>
        <v/>
      </c>
      <c r="J1001" s="26">
        <f>IFERROR(IF(OR(E1001="",INDEX(E:E,MATCH(DATE(YEAR($A1001)-1,MONTH($A1001),DAY($A1001)),$A:$A,0))=""),"",E1001/INDEX(E:E,MATCH(DATE(YEAR($A1001)-1,MONTH($A1001),DAY($A1001)),$A:$A,0))-1),"")</f>
        <v/>
      </c>
      <c r="K1001" s="19">
        <f>IFERROR(IF(OR(F1001="",INDEX(F:F,MATCH(DATE(YEAR($A1001)-1,MONTH($A1001),DAY($A1001)),$A:$A,0))=""),"",F1001/INDEX(F:F,MATCH(DATE(YEAR($A1001)-1,MONTH($A1001),DAY($A1001)),$A:$A,0))-1),"")</f>
        <v/>
      </c>
      <c r="L1001" s="19">
        <f>IFERROR(IF(OR(G1001="",INDEX(G:G,MATCH(DATE(YEAR($A1001)-1,MONTH($A1001),DAY($A1001)),$A:$A,0))=""),"",G1001/INDEX(G:G,MATCH(DATE(YEAR($A1001)-1,MONTH($A1001),DAY($A1001)),$A:$A,0))-1),"")</f>
        <v/>
      </c>
      <c r="M1001" s="19">
        <f>IF(OR(E1001="",E1000=""),"",E1001/E1000-1)</f>
        <v/>
      </c>
      <c r="N1001" s="19">
        <f>IF(OR(F1001="",F1000=""),"",F1001/F1000-1)</f>
        <v/>
      </c>
      <c r="O1001" s="19">
        <f>IF(OR(G1001="",G1000=""),"",G1001/G1000-1)</f>
        <v/>
      </c>
      <c r="P1001" s="22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IF(R1001="","",P1001/R1001)</f>
        <v/>
      </c>
      <c r="T1001" s="23">
        <f>IF(R1001="","",Q1001/R1001)</f>
        <v/>
      </c>
      <c r="U1001" s="24">
        <f>IF(SUMIFS('Daily NSE Equity Options'!$M:$M,'Daily NSE Equity Options'!$A:$A,$A1001)=0,"",SUMIFS('Daily NSE Equity Options'!$M:$M,'Daily NSE Equity Options'!$A:$A,$A1001))</f>
        <v/>
      </c>
      <c r="V1001" s="9">
        <f>IF(SUMIFS('Daily BSE Equity Options'!$M:$M,'Daily BSE Equity Options'!$A:$A,$A1001)=0,"",SUMIFS('Daily BSE Equity Options'!$M:$M,'Daily BSE Equity Options'!$A:$A,$A1001))</f>
        <v/>
      </c>
      <c r="W1001" s="9">
        <f>IF(OR(U1001="",V1001=""),"",U1001+V1001)</f>
        <v/>
      </c>
      <c r="X1001" s="25">
        <f>IF(W1001="","",U1001/W1001)</f>
        <v/>
      </c>
      <c r="Y1001" s="25">
        <f>IF(W1001="","",V1001/W1001)</f>
        <v/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19">
        <f>IF(G1002="","",E1002/G1002)</f>
        <v/>
      </c>
      <c r="I1002" s="19">
        <f>IF(G1002="","",F1002/G1002)</f>
        <v/>
      </c>
      <c r="J1002" s="26">
        <f>IFERROR(IF(OR(E1002="",INDEX(E:E,MATCH(DATE(YEAR($A1002)-1,MONTH($A1002),DAY($A1002)),$A:$A,0))=""),"",E1002/INDEX(E:E,MATCH(DATE(YEAR($A1002)-1,MONTH($A1002),DAY($A1002)),$A:$A,0))-1),"")</f>
        <v/>
      </c>
      <c r="K1002" s="19">
        <f>IFERROR(IF(OR(F1002="",INDEX(F:F,MATCH(DATE(YEAR($A1002)-1,MONTH($A1002),DAY($A1002)),$A:$A,0))=""),"",F1002/INDEX(F:F,MATCH(DATE(YEAR($A1002)-1,MONTH($A1002),DAY($A1002)),$A:$A,0))-1),"")</f>
        <v/>
      </c>
      <c r="L1002" s="19">
        <f>IFERROR(IF(OR(G1002="",INDEX(G:G,MATCH(DATE(YEAR($A1002)-1,MONTH($A1002),DAY($A1002)),$A:$A,0))=""),"",G1002/INDEX(G:G,MATCH(DATE(YEAR($A1002)-1,MONTH($A1002),DAY($A1002)),$A:$A,0))-1),"")</f>
        <v/>
      </c>
      <c r="M1002" s="19">
        <f>IF(OR(E1002="",E1001=""),"",E1002/E1001-1)</f>
        <v/>
      </c>
      <c r="N1002" s="19">
        <f>IF(OR(F1002="",F1001=""),"",F1002/F1001-1)</f>
        <v/>
      </c>
      <c r="O1002" s="19">
        <f>IF(OR(G1002="",G1001=""),"",G1002/G1001-1)</f>
        <v/>
      </c>
      <c r="P1002" s="22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IF(R1002="","",P1002/R1002)</f>
        <v/>
      </c>
      <c r="T1002" s="23">
        <f>IF(R1002="","",Q1002/R1002)</f>
        <v/>
      </c>
      <c r="U1002" s="24">
        <f>IF(SUMIFS('Daily NSE Equity Options'!$M:$M,'Daily NSE Equity Options'!$A:$A,$A1002)=0,"",SUMIFS('Daily NSE Equity Options'!$M:$M,'Daily NSE Equity Options'!$A:$A,$A1002))</f>
        <v/>
      </c>
      <c r="V1002" s="9">
        <f>IF(SUMIFS('Daily BSE Equity Options'!$M:$M,'Daily BSE Equity Options'!$A:$A,$A1002)=0,"",SUMIFS('Daily BSE Equity Options'!$M:$M,'Daily BSE Equity Options'!$A:$A,$A1002))</f>
        <v/>
      </c>
      <c r="W1002" s="9">
        <f>IF(OR(U1002="",V1002=""),"",U1002+V1002)</f>
        <v/>
      </c>
      <c r="X1002" s="25">
        <f>IF(W1002="","",U1002/W1002)</f>
        <v/>
      </c>
      <c r="Y1002" s="25">
        <f>IF(W1002="","",V1002/W1002)</f>
        <v/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19">
        <f>IF(G1003="","",E1003/G1003)</f>
        <v/>
      </c>
      <c r="I1003" s="19">
        <f>IF(G1003="","",F1003/G1003)</f>
        <v/>
      </c>
      <c r="J1003" s="26">
        <f>IFERROR(IF(OR(E1003="",INDEX(E:E,MATCH(DATE(YEAR($A1003)-1,MONTH($A1003),DAY($A1003)),$A:$A,0))=""),"",E1003/INDEX(E:E,MATCH(DATE(YEAR($A1003)-1,MONTH($A1003),DAY($A1003)),$A:$A,0))-1),"")</f>
        <v/>
      </c>
      <c r="K1003" s="19">
        <f>IFERROR(IF(OR(F1003="",INDEX(F:F,MATCH(DATE(YEAR($A1003)-1,MONTH($A1003),DAY($A1003)),$A:$A,0))=""),"",F1003/INDEX(F:F,MATCH(DATE(YEAR($A1003)-1,MONTH($A1003),DAY($A1003)),$A:$A,0))-1),"")</f>
        <v/>
      </c>
      <c r="L1003" s="19">
        <f>IFERROR(IF(OR(G1003="",INDEX(G:G,MATCH(DATE(YEAR($A1003)-1,MONTH($A1003),DAY($A1003)),$A:$A,0))=""),"",G1003/INDEX(G:G,MATCH(DATE(YEAR($A1003)-1,MONTH($A1003),DAY($A1003)),$A:$A,0))-1),"")</f>
        <v/>
      </c>
      <c r="M1003" s="19">
        <f>IF(OR(E1003="",E1002=""),"",E1003/E1002-1)</f>
        <v/>
      </c>
      <c r="N1003" s="19">
        <f>IF(OR(F1003="",F1002=""),"",F1003/F1002-1)</f>
        <v/>
      </c>
      <c r="O1003" s="19">
        <f>IF(OR(G1003="",G1002=""),"",G1003/G1002-1)</f>
        <v/>
      </c>
      <c r="P1003" s="22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IF(R1003="","",P1003/R1003)</f>
        <v/>
      </c>
      <c r="T1003" s="23">
        <f>IF(R1003="","",Q1003/R1003)</f>
        <v/>
      </c>
      <c r="U1003" s="24">
        <f>IF(SUMIFS('Daily NSE Equity Options'!$M:$M,'Daily NSE Equity Options'!$A:$A,$A1003)=0,"",SUMIFS('Daily NSE Equity Options'!$M:$M,'Daily NSE Equity Options'!$A:$A,$A1003))</f>
        <v/>
      </c>
      <c r="V1003" s="9">
        <f>IF(SUMIFS('Daily BSE Equity Options'!$M:$M,'Daily BSE Equity Options'!$A:$A,$A1003)=0,"",SUMIFS('Daily BSE Equity Options'!$M:$M,'Daily BSE Equity Options'!$A:$A,$A1003))</f>
        <v/>
      </c>
      <c r="W1003" s="9">
        <f>IF(OR(U1003="",V1003=""),"",U1003+V1003)</f>
        <v/>
      </c>
      <c r="X1003" s="25">
        <f>IF(W1003="","",U1003/W1003)</f>
        <v/>
      </c>
      <c r="Y1003" s="25">
        <f>IF(W1003="","",V1003/W1003)</f>
        <v/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19">
        <f>IF(G1004="","",E1004/G1004)</f>
        <v/>
      </c>
      <c r="I1004" s="19">
        <f>IF(G1004="","",F1004/G1004)</f>
        <v/>
      </c>
      <c r="J1004" s="26">
        <f>IFERROR(IF(OR(E1004="",INDEX(E:E,MATCH(DATE(YEAR($A1004)-1,MONTH($A1004),DAY($A1004)),$A:$A,0))=""),"",E1004/INDEX(E:E,MATCH(DATE(YEAR($A1004)-1,MONTH($A1004),DAY($A1004)),$A:$A,0))-1),"")</f>
        <v/>
      </c>
      <c r="K1004" s="19">
        <f>IFERROR(IF(OR(F1004="",INDEX(F:F,MATCH(DATE(YEAR($A1004)-1,MONTH($A1004),DAY($A1004)),$A:$A,0))=""),"",F1004/INDEX(F:F,MATCH(DATE(YEAR($A1004)-1,MONTH($A1004),DAY($A1004)),$A:$A,0))-1),"")</f>
        <v/>
      </c>
      <c r="L1004" s="19">
        <f>IFERROR(IF(OR(G1004="",INDEX(G:G,MATCH(DATE(YEAR($A1004)-1,MONTH($A1004),DAY($A1004)),$A:$A,0))=""),"",G1004/INDEX(G:G,MATCH(DATE(YEAR($A1004)-1,MONTH($A1004),DAY($A1004)),$A:$A,0))-1),"")</f>
        <v/>
      </c>
      <c r="M1004" s="19">
        <f>IF(OR(E1004="",E1003=""),"",E1004/E1003-1)</f>
        <v/>
      </c>
      <c r="N1004" s="19">
        <f>IF(OR(F1004="",F1003=""),"",F1004/F1003-1)</f>
        <v/>
      </c>
      <c r="O1004" s="19">
        <f>IF(OR(G1004="",G1003=""),"",G1004/G1003-1)</f>
        <v/>
      </c>
      <c r="P1004" s="22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IF(R1004="","",P1004/R1004)</f>
        <v/>
      </c>
      <c r="T1004" s="23">
        <f>IF(R1004="","",Q1004/R1004)</f>
        <v/>
      </c>
      <c r="U1004" s="24">
        <f>IF(SUMIFS('Daily NSE Equity Options'!$M:$M,'Daily NSE Equity Options'!$A:$A,$A1004)=0,"",SUMIFS('Daily NSE Equity Options'!$M:$M,'Daily NSE Equity Options'!$A:$A,$A1004))</f>
        <v/>
      </c>
      <c r="V1004" s="9">
        <f>IF(SUMIFS('Daily BSE Equity Options'!$M:$M,'Daily BSE Equity Options'!$A:$A,$A1004)=0,"",SUMIFS('Daily BSE Equity Options'!$M:$M,'Daily BSE Equity Options'!$A:$A,$A1004))</f>
        <v/>
      </c>
      <c r="W1004" s="9">
        <f>IF(OR(U1004="",V1004=""),"",U1004+V1004)</f>
        <v/>
      </c>
      <c r="X1004" s="25">
        <f>IF(W1004="","",U1004/W1004)</f>
        <v/>
      </c>
      <c r="Y1004" s="25">
        <f>IF(W1004="","",V1004/W1004)</f>
        <v/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19">
        <f>IF(G1005="","",E1005/G1005)</f>
        <v/>
      </c>
      <c r="I1005" s="19">
        <f>IF(G1005="","",F1005/G1005)</f>
        <v/>
      </c>
      <c r="J1005" s="26">
        <f>IFERROR(IF(OR(E1005="",INDEX(E:E,MATCH(DATE(YEAR($A1005)-1,MONTH($A1005),DAY($A1005)),$A:$A,0))=""),"",E1005/INDEX(E:E,MATCH(DATE(YEAR($A1005)-1,MONTH($A1005),DAY($A1005)),$A:$A,0))-1),"")</f>
        <v/>
      </c>
      <c r="K1005" s="19">
        <f>IFERROR(IF(OR(F1005="",INDEX(F:F,MATCH(DATE(YEAR($A1005)-1,MONTH($A1005),DAY($A1005)),$A:$A,0))=""),"",F1005/INDEX(F:F,MATCH(DATE(YEAR($A1005)-1,MONTH($A1005),DAY($A1005)),$A:$A,0))-1),"")</f>
        <v/>
      </c>
      <c r="L1005" s="19">
        <f>IFERROR(IF(OR(G1005="",INDEX(G:G,MATCH(DATE(YEAR($A1005)-1,MONTH($A1005),DAY($A1005)),$A:$A,0))=""),"",G1005/INDEX(G:G,MATCH(DATE(YEAR($A1005)-1,MONTH($A1005),DAY($A1005)),$A:$A,0))-1),"")</f>
        <v/>
      </c>
      <c r="M1005" s="19">
        <f>IF(OR(E1005="",E1004=""),"",E1005/E1004-1)</f>
        <v/>
      </c>
      <c r="N1005" s="19">
        <f>IF(OR(F1005="",F1004=""),"",F1005/F1004-1)</f>
        <v/>
      </c>
      <c r="O1005" s="19">
        <f>IF(OR(G1005="",G1004=""),"",G1005/G1004-1)</f>
        <v/>
      </c>
      <c r="P1005" s="22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IF(R1005="","",P1005/R1005)</f>
        <v/>
      </c>
      <c r="T1005" s="23">
        <f>IF(R1005="","",Q1005/R1005)</f>
        <v/>
      </c>
      <c r="U1005" s="24">
        <f>IF(SUMIFS('Daily NSE Equity Options'!$M:$M,'Daily NSE Equity Options'!$A:$A,$A1005)=0,"",SUMIFS('Daily NSE Equity Options'!$M:$M,'Daily NSE Equity Options'!$A:$A,$A1005))</f>
        <v/>
      </c>
      <c r="V1005" s="9">
        <f>IF(SUMIFS('Daily BSE Equity Options'!$M:$M,'Daily BSE Equity Options'!$A:$A,$A1005)=0,"",SUMIFS('Daily BSE Equity Options'!$M:$M,'Daily BSE Equity Options'!$A:$A,$A1005))</f>
        <v/>
      </c>
      <c r="W1005" s="9">
        <f>IF(OR(U1005="",V1005=""),"",U1005+V1005)</f>
        <v/>
      </c>
      <c r="X1005" s="25">
        <f>IF(W1005="","",U1005/W1005)</f>
        <v/>
      </c>
      <c r="Y1005" s="25">
        <f>IF(W1005="","",V1005/W1005)</f>
        <v/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19">
        <f>IF(G1006="","",E1006/G1006)</f>
        <v/>
      </c>
      <c r="I1006" s="19">
        <f>IF(G1006="","",F1006/G1006)</f>
        <v/>
      </c>
      <c r="J1006" s="26">
        <f>IFERROR(IF(OR(E1006="",INDEX(E:E,MATCH(DATE(YEAR($A1006)-1,MONTH($A1006),DAY($A1006)),$A:$A,0))=""),"",E1006/INDEX(E:E,MATCH(DATE(YEAR($A1006)-1,MONTH($A1006),DAY($A1006)),$A:$A,0))-1),"")</f>
        <v/>
      </c>
      <c r="K1006" s="19">
        <f>IFERROR(IF(OR(F1006="",INDEX(F:F,MATCH(DATE(YEAR($A1006)-1,MONTH($A1006),DAY($A1006)),$A:$A,0))=""),"",F1006/INDEX(F:F,MATCH(DATE(YEAR($A1006)-1,MONTH($A1006),DAY($A1006)),$A:$A,0))-1),"")</f>
        <v/>
      </c>
      <c r="L1006" s="19">
        <f>IFERROR(IF(OR(G1006="",INDEX(G:G,MATCH(DATE(YEAR($A1006)-1,MONTH($A1006),DAY($A1006)),$A:$A,0))=""),"",G1006/INDEX(G:G,MATCH(DATE(YEAR($A1006)-1,MONTH($A1006),DAY($A1006)),$A:$A,0))-1),"")</f>
        <v/>
      </c>
      <c r="M1006" s="19">
        <f>IF(OR(E1006="",E1005=""),"",E1006/E1005-1)</f>
        <v/>
      </c>
      <c r="N1006" s="19">
        <f>IF(OR(F1006="",F1005=""),"",F1006/F1005-1)</f>
        <v/>
      </c>
      <c r="O1006" s="19">
        <f>IF(OR(G1006="",G1005=""),"",G1006/G1005-1)</f>
        <v/>
      </c>
      <c r="P1006" s="22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IF(R1006="","",P1006/R1006)</f>
        <v/>
      </c>
      <c r="T1006" s="23">
        <f>IF(R1006="","",Q1006/R1006)</f>
        <v/>
      </c>
      <c r="U1006" s="24">
        <f>IF(SUMIFS('Daily NSE Equity Options'!$M:$M,'Daily NSE Equity Options'!$A:$A,$A1006)=0,"",SUMIFS('Daily NSE Equity Options'!$M:$M,'Daily NSE Equity Options'!$A:$A,$A1006))</f>
        <v/>
      </c>
      <c r="V1006" s="9">
        <f>IF(SUMIFS('Daily BSE Equity Options'!$M:$M,'Daily BSE Equity Options'!$A:$A,$A1006)=0,"",SUMIFS('Daily BSE Equity Options'!$M:$M,'Daily BSE Equity Options'!$A:$A,$A1006))</f>
        <v/>
      </c>
      <c r="W1006" s="9">
        <f>IF(OR(U1006="",V1006=""),"",U1006+V1006)</f>
        <v/>
      </c>
      <c r="X1006" s="25">
        <f>IF(W1006="","",U1006/W1006)</f>
        <v/>
      </c>
      <c r="Y1006" s="25">
        <f>IF(W1006="","",V1006/W1006)</f>
        <v/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19">
        <f>IF(G1007="","",E1007/G1007)</f>
        <v/>
      </c>
      <c r="I1007" s="19">
        <f>IF(G1007="","",F1007/G1007)</f>
        <v/>
      </c>
      <c r="J1007" s="26">
        <f>IFERROR(IF(OR(E1007="",INDEX(E:E,MATCH(DATE(YEAR($A1007)-1,MONTH($A1007),DAY($A1007)),$A:$A,0))=""),"",E1007/INDEX(E:E,MATCH(DATE(YEAR($A1007)-1,MONTH($A1007),DAY($A1007)),$A:$A,0))-1),"")</f>
        <v/>
      </c>
      <c r="K1007" s="19">
        <f>IFERROR(IF(OR(F1007="",INDEX(F:F,MATCH(DATE(YEAR($A1007)-1,MONTH($A1007),DAY($A1007)),$A:$A,0))=""),"",F1007/INDEX(F:F,MATCH(DATE(YEAR($A1007)-1,MONTH($A1007),DAY($A1007)),$A:$A,0))-1),"")</f>
        <v/>
      </c>
      <c r="L1007" s="19">
        <f>IFERROR(IF(OR(G1007="",INDEX(G:G,MATCH(DATE(YEAR($A1007)-1,MONTH($A1007),DAY($A1007)),$A:$A,0))=""),"",G1007/INDEX(G:G,MATCH(DATE(YEAR($A1007)-1,MONTH($A1007),DAY($A1007)),$A:$A,0))-1),"")</f>
        <v/>
      </c>
      <c r="M1007" s="19">
        <f>IF(OR(E1007="",E1006=""),"",E1007/E1006-1)</f>
        <v/>
      </c>
      <c r="N1007" s="19">
        <f>IF(OR(F1007="",F1006=""),"",F1007/F1006-1)</f>
        <v/>
      </c>
      <c r="O1007" s="19">
        <f>IF(OR(G1007="",G1006=""),"",G1007/G1006-1)</f>
        <v/>
      </c>
      <c r="P1007" s="22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IF(R1007="","",P1007/R1007)</f>
        <v/>
      </c>
      <c r="T1007" s="23">
        <f>IF(R1007="","",Q1007/R1007)</f>
        <v/>
      </c>
      <c r="U1007" s="24">
        <f>IF(SUMIFS('Daily NSE Equity Options'!$M:$M,'Daily NSE Equity Options'!$A:$A,$A1007)=0,"",SUMIFS('Daily NSE Equity Options'!$M:$M,'Daily NSE Equity Options'!$A:$A,$A1007))</f>
        <v/>
      </c>
      <c r="V1007" s="9">
        <f>IF(SUMIFS('Daily BSE Equity Options'!$M:$M,'Daily BSE Equity Options'!$A:$A,$A1007)=0,"",SUMIFS('Daily BSE Equity Options'!$M:$M,'Daily BSE Equity Options'!$A:$A,$A1007))</f>
        <v/>
      </c>
      <c r="W1007" s="9">
        <f>IF(OR(U1007="",V1007=""),"",U1007+V1007)</f>
        <v/>
      </c>
      <c r="X1007" s="25">
        <f>IF(W1007="","",U1007/W1007)</f>
        <v/>
      </c>
      <c r="Y1007" s="25">
        <f>IF(W1007="","",V1007/W1007)</f>
        <v/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19">
        <f>IF(G1008="","",E1008/G1008)</f>
        <v/>
      </c>
      <c r="I1008" s="19">
        <f>IF(G1008="","",F1008/G1008)</f>
        <v/>
      </c>
      <c r="J1008" s="26">
        <f>IFERROR(IF(OR(E1008="",INDEX(E:E,MATCH(DATE(YEAR($A1008)-1,MONTH($A1008),DAY($A1008)),$A:$A,0))=""),"",E1008/INDEX(E:E,MATCH(DATE(YEAR($A1008)-1,MONTH($A1008),DAY($A1008)),$A:$A,0))-1),"")</f>
        <v/>
      </c>
      <c r="K1008" s="19">
        <f>IFERROR(IF(OR(F1008="",INDEX(F:F,MATCH(DATE(YEAR($A1008)-1,MONTH($A1008),DAY($A1008)),$A:$A,0))=""),"",F1008/INDEX(F:F,MATCH(DATE(YEAR($A1008)-1,MONTH($A1008),DAY($A1008)),$A:$A,0))-1),"")</f>
        <v/>
      </c>
      <c r="L1008" s="19">
        <f>IFERROR(IF(OR(G1008="",INDEX(G:G,MATCH(DATE(YEAR($A1008)-1,MONTH($A1008),DAY($A1008)),$A:$A,0))=""),"",G1008/INDEX(G:G,MATCH(DATE(YEAR($A1008)-1,MONTH($A1008),DAY($A1008)),$A:$A,0))-1),"")</f>
        <v/>
      </c>
      <c r="M1008" s="19">
        <f>IF(OR(E1008="",E1007=""),"",E1008/E1007-1)</f>
        <v/>
      </c>
      <c r="N1008" s="19">
        <f>IF(OR(F1008="",F1007=""),"",F1008/F1007-1)</f>
        <v/>
      </c>
      <c r="O1008" s="19">
        <f>IF(OR(G1008="",G1007=""),"",G1008/G1007-1)</f>
        <v/>
      </c>
      <c r="P1008" s="22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IF(R1008="","",P1008/R1008)</f>
        <v/>
      </c>
      <c r="T1008" s="23">
        <f>IF(R1008="","",Q1008/R1008)</f>
        <v/>
      </c>
      <c r="U1008" s="24">
        <f>IF(SUMIFS('Daily NSE Equity Options'!$M:$M,'Daily NSE Equity Options'!$A:$A,$A1008)=0,"",SUMIFS('Daily NSE Equity Options'!$M:$M,'Daily NSE Equity Options'!$A:$A,$A1008))</f>
        <v/>
      </c>
      <c r="V1008" s="9">
        <f>IF(SUMIFS('Daily BSE Equity Options'!$M:$M,'Daily BSE Equity Options'!$A:$A,$A1008)=0,"",SUMIFS('Daily BSE Equity Options'!$M:$M,'Daily BSE Equity Options'!$A:$A,$A1008))</f>
        <v/>
      </c>
      <c r="W1008" s="9">
        <f>IF(OR(U1008="",V1008=""),"",U1008+V1008)</f>
        <v/>
      </c>
      <c r="X1008" s="25">
        <f>IF(W1008="","",U1008/W1008)</f>
        <v/>
      </c>
      <c r="Y1008" s="25">
        <f>IF(W1008="","",V1008/W1008)</f>
        <v/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19">
        <f>IF(G1009="","",E1009/G1009)</f>
        <v/>
      </c>
      <c r="I1009" s="19">
        <f>IF(G1009="","",F1009/G1009)</f>
        <v/>
      </c>
      <c r="J1009" s="26">
        <f>IFERROR(IF(OR(E1009="",INDEX(E:E,MATCH(DATE(YEAR($A1009)-1,MONTH($A1009),DAY($A1009)),$A:$A,0))=""),"",E1009/INDEX(E:E,MATCH(DATE(YEAR($A1009)-1,MONTH($A1009),DAY($A1009)),$A:$A,0))-1),"")</f>
        <v/>
      </c>
      <c r="K1009" s="19">
        <f>IFERROR(IF(OR(F1009="",INDEX(F:F,MATCH(DATE(YEAR($A1009)-1,MONTH($A1009),DAY($A1009)),$A:$A,0))=""),"",F1009/INDEX(F:F,MATCH(DATE(YEAR($A1009)-1,MONTH($A1009),DAY($A1009)),$A:$A,0))-1),"")</f>
        <v/>
      </c>
      <c r="L1009" s="19">
        <f>IFERROR(IF(OR(G1009="",INDEX(G:G,MATCH(DATE(YEAR($A1009)-1,MONTH($A1009),DAY($A1009)),$A:$A,0))=""),"",G1009/INDEX(G:G,MATCH(DATE(YEAR($A1009)-1,MONTH($A1009),DAY($A1009)),$A:$A,0))-1),"")</f>
        <v/>
      </c>
      <c r="M1009" s="19">
        <f>IF(OR(E1009="",E1008=""),"",E1009/E1008-1)</f>
        <v/>
      </c>
      <c r="N1009" s="19">
        <f>IF(OR(F1009="",F1008=""),"",F1009/F1008-1)</f>
        <v/>
      </c>
      <c r="O1009" s="19">
        <f>IF(OR(G1009="",G1008=""),"",G1009/G1008-1)</f>
        <v/>
      </c>
      <c r="P1009" s="22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IF(R1009="","",P1009/R1009)</f>
        <v/>
      </c>
      <c r="T1009" s="23">
        <f>IF(R1009="","",Q1009/R1009)</f>
        <v/>
      </c>
      <c r="U1009" s="24">
        <f>IF(SUMIFS('Daily NSE Equity Options'!$M:$M,'Daily NSE Equity Options'!$A:$A,$A1009)=0,"",SUMIFS('Daily NSE Equity Options'!$M:$M,'Daily NSE Equity Options'!$A:$A,$A1009))</f>
        <v/>
      </c>
      <c r="V1009" s="9">
        <f>IF(SUMIFS('Daily BSE Equity Options'!$M:$M,'Daily BSE Equity Options'!$A:$A,$A1009)=0,"",SUMIFS('Daily BSE Equity Options'!$M:$M,'Daily BSE Equity Options'!$A:$A,$A1009))</f>
        <v/>
      </c>
      <c r="W1009" s="9">
        <f>IF(OR(U1009="",V1009=""),"",U1009+V1009)</f>
        <v/>
      </c>
      <c r="X1009" s="25">
        <f>IF(W1009="","",U1009/W1009)</f>
        <v/>
      </c>
      <c r="Y1009" s="25">
        <f>IF(W1009="","",V1009/W1009)</f>
        <v/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19">
        <f>IF(G1010="","",E1010/G1010)</f>
        <v/>
      </c>
      <c r="I1010" s="19">
        <f>IF(G1010="","",F1010/G1010)</f>
        <v/>
      </c>
      <c r="J1010" s="26">
        <f>IFERROR(IF(OR(E1010="",INDEX(E:E,MATCH(DATE(YEAR($A1010)-1,MONTH($A1010),DAY($A1010)),$A:$A,0))=""),"",E1010/INDEX(E:E,MATCH(DATE(YEAR($A1010)-1,MONTH($A1010),DAY($A1010)),$A:$A,0))-1),"")</f>
        <v/>
      </c>
      <c r="K1010" s="19">
        <f>IFERROR(IF(OR(F1010="",INDEX(F:F,MATCH(DATE(YEAR($A1010)-1,MONTH($A1010),DAY($A1010)),$A:$A,0))=""),"",F1010/INDEX(F:F,MATCH(DATE(YEAR($A1010)-1,MONTH($A1010),DAY($A1010)),$A:$A,0))-1),"")</f>
        <v/>
      </c>
      <c r="L1010" s="19">
        <f>IFERROR(IF(OR(G1010="",INDEX(G:G,MATCH(DATE(YEAR($A1010)-1,MONTH($A1010),DAY($A1010)),$A:$A,0))=""),"",G1010/INDEX(G:G,MATCH(DATE(YEAR($A1010)-1,MONTH($A1010),DAY($A1010)),$A:$A,0))-1),"")</f>
        <v/>
      </c>
      <c r="M1010" s="19">
        <f>IF(OR(E1010="",E1009=""),"",E1010/E1009-1)</f>
        <v/>
      </c>
      <c r="N1010" s="19">
        <f>IF(OR(F1010="",F1009=""),"",F1010/F1009-1)</f>
        <v/>
      </c>
      <c r="O1010" s="19">
        <f>IF(OR(G1010="",G1009=""),"",G1010/G1009-1)</f>
        <v/>
      </c>
      <c r="P1010" s="22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IF(R1010="","",P1010/R1010)</f>
        <v/>
      </c>
      <c r="T1010" s="23">
        <f>IF(R1010="","",Q1010/R1010)</f>
        <v/>
      </c>
      <c r="U1010" s="24">
        <f>IF(SUMIFS('Daily NSE Equity Options'!$M:$M,'Daily NSE Equity Options'!$A:$A,$A1010)=0,"",SUMIFS('Daily NSE Equity Options'!$M:$M,'Daily NSE Equity Options'!$A:$A,$A1010))</f>
        <v/>
      </c>
      <c r="V1010" s="9">
        <f>IF(SUMIFS('Daily BSE Equity Options'!$M:$M,'Daily BSE Equity Options'!$A:$A,$A1010)=0,"",SUMIFS('Daily BSE Equity Options'!$M:$M,'Daily BSE Equity Options'!$A:$A,$A1010))</f>
        <v/>
      </c>
      <c r="W1010" s="9">
        <f>IF(OR(U1010="",V1010=""),"",U1010+V1010)</f>
        <v/>
      </c>
      <c r="X1010" s="25">
        <f>IF(W1010="","",U1010/W1010)</f>
        <v/>
      </c>
      <c r="Y1010" s="25">
        <f>IF(W1010="","",V1010/W1010)</f>
        <v/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19">
        <f>IF(G1011="","",E1011/G1011)</f>
        <v/>
      </c>
      <c r="I1011" s="19">
        <f>IF(G1011="","",F1011/G1011)</f>
        <v/>
      </c>
      <c r="J1011" s="26">
        <f>IFERROR(IF(OR(E1011="",INDEX(E:E,MATCH(DATE(YEAR($A1011)-1,MONTH($A1011),DAY($A1011)),$A:$A,0))=""),"",E1011/INDEX(E:E,MATCH(DATE(YEAR($A1011)-1,MONTH($A1011),DAY($A1011)),$A:$A,0))-1),"")</f>
        <v/>
      </c>
      <c r="K1011" s="19">
        <f>IFERROR(IF(OR(F1011="",INDEX(F:F,MATCH(DATE(YEAR($A1011)-1,MONTH($A1011),DAY($A1011)),$A:$A,0))=""),"",F1011/INDEX(F:F,MATCH(DATE(YEAR($A1011)-1,MONTH($A1011),DAY($A1011)),$A:$A,0))-1),"")</f>
        <v/>
      </c>
      <c r="L1011" s="19">
        <f>IFERROR(IF(OR(G1011="",INDEX(G:G,MATCH(DATE(YEAR($A1011)-1,MONTH($A1011),DAY($A1011)),$A:$A,0))=""),"",G1011/INDEX(G:G,MATCH(DATE(YEAR($A1011)-1,MONTH($A1011),DAY($A1011)),$A:$A,0))-1),"")</f>
        <v/>
      </c>
      <c r="M1011" s="19">
        <f>IF(OR(E1011="",E1010=""),"",E1011/E1010-1)</f>
        <v/>
      </c>
      <c r="N1011" s="19">
        <f>IF(OR(F1011="",F1010=""),"",F1011/F1010-1)</f>
        <v/>
      </c>
      <c r="O1011" s="19">
        <f>IF(OR(G1011="",G1010=""),"",G1011/G1010-1)</f>
        <v/>
      </c>
      <c r="P1011" s="22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IF(R1011="","",P1011/R1011)</f>
        <v/>
      </c>
      <c r="T1011" s="23">
        <f>IF(R1011="","",Q1011/R1011)</f>
        <v/>
      </c>
      <c r="U1011" s="24">
        <f>IF(SUMIFS('Daily NSE Equity Options'!$M:$M,'Daily NSE Equity Options'!$A:$A,$A1011)=0,"",SUMIFS('Daily NSE Equity Options'!$M:$M,'Daily NSE Equity Options'!$A:$A,$A1011))</f>
        <v/>
      </c>
      <c r="V1011" s="9">
        <f>IF(SUMIFS('Daily BSE Equity Options'!$M:$M,'Daily BSE Equity Options'!$A:$A,$A1011)=0,"",SUMIFS('Daily BSE Equity Options'!$M:$M,'Daily BSE Equity Options'!$A:$A,$A1011))</f>
        <v/>
      </c>
      <c r="W1011" s="9">
        <f>IF(OR(U1011="",V1011=""),"",U1011+V1011)</f>
        <v/>
      </c>
      <c r="X1011" s="25">
        <f>IF(W1011="","",U1011/W1011)</f>
        <v/>
      </c>
      <c r="Y1011" s="25">
        <f>IF(W1011="","",V1011/W1011)</f>
        <v/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19">
        <f>IF(G1012="","",E1012/G1012)</f>
        <v/>
      </c>
      <c r="I1012" s="19">
        <f>IF(G1012="","",F1012/G1012)</f>
        <v/>
      </c>
      <c r="J1012" s="26">
        <f>IFERROR(IF(OR(E1012="",INDEX(E:E,MATCH(DATE(YEAR($A1012)-1,MONTH($A1012),DAY($A1012)),$A:$A,0))=""),"",E1012/INDEX(E:E,MATCH(DATE(YEAR($A1012)-1,MONTH($A1012),DAY($A1012)),$A:$A,0))-1),"")</f>
        <v/>
      </c>
      <c r="K1012" s="19">
        <f>IFERROR(IF(OR(F1012="",INDEX(F:F,MATCH(DATE(YEAR($A1012)-1,MONTH($A1012),DAY($A1012)),$A:$A,0))=""),"",F1012/INDEX(F:F,MATCH(DATE(YEAR($A1012)-1,MONTH($A1012),DAY($A1012)),$A:$A,0))-1),"")</f>
        <v/>
      </c>
      <c r="L1012" s="19">
        <f>IFERROR(IF(OR(G1012="",INDEX(G:G,MATCH(DATE(YEAR($A1012)-1,MONTH($A1012),DAY($A1012)),$A:$A,0))=""),"",G1012/INDEX(G:G,MATCH(DATE(YEAR($A1012)-1,MONTH($A1012),DAY($A1012)),$A:$A,0))-1),"")</f>
        <v/>
      </c>
      <c r="M1012" s="19">
        <f>IF(OR(E1012="",E1011=""),"",E1012/E1011-1)</f>
        <v/>
      </c>
      <c r="N1012" s="19">
        <f>IF(OR(F1012="",F1011=""),"",F1012/F1011-1)</f>
        <v/>
      </c>
      <c r="O1012" s="19">
        <f>IF(OR(G1012="",G1011=""),"",G1012/G1011-1)</f>
        <v/>
      </c>
      <c r="P1012" s="22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IF(R1012="","",P1012/R1012)</f>
        <v/>
      </c>
      <c r="T1012" s="23">
        <f>IF(R1012="","",Q1012/R1012)</f>
        <v/>
      </c>
      <c r="U1012" s="24">
        <f>IF(SUMIFS('Daily NSE Equity Options'!$M:$M,'Daily NSE Equity Options'!$A:$A,$A1012)=0,"",SUMIFS('Daily NSE Equity Options'!$M:$M,'Daily NSE Equity Options'!$A:$A,$A1012))</f>
        <v/>
      </c>
      <c r="V1012" s="9">
        <f>IF(SUMIFS('Daily BSE Equity Options'!$M:$M,'Daily BSE Equity Options'!$A:$A,$A1012)=0,"",SUMIFS('Daily BSE Equity Options'!$M:$M,'Daily BSE Equity Options'!$A:$A,$A1012))</f>
        <v/>
      </c>
      <c r="W1012" s="9">
        <f>IF(OR(U1012="",V1012=""),"",U1012+V1012)</f>
        <v/>
      </c>
      <c r="X1012" s="25">
        <f>IF(W1012="","",U1012/W1012)</f>
        <v/>
      </c>
      <c r="Y1012" s="25">
        <f>IF(W1012="","",V1012/W1012)</f>
        <v/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19">
        <f>IF(G1013="","",E1013/G1013)</f>
        <v/>
      </c>
      <c r="I1013" s="19">
        <f>IF(G1013="","",F1013/G1013)</f>
        <v/>
      </c>
      <c r="J1013" s="26">
        <f>IFERROR(IF(OR(E1013="",INDEX(E:E,MATCH(DATE(YEAR($A1013)-1,MONTH($A1013),DAY($A1013)),$A:$A,0))=""),"",E1013/INDEX(E:E,MATCH(DATE(YEAR($A1013)-1,MONTH($A1013),DAY($A1013)),$A:$A,0))-1),"")</f>
        <v/>
      </c>
      <c r="K1013" s="19">
        <f>IFERROR(IF(OR(F1013="",INDEX(F:F,MATCH(DATE(YEAR($A1013)-1,MONTH($A1013),DAY($A1013)),$A:$A,0))=""),"",F1013/INDEX(F:F,MATCH(DATE(YEAR($A1013)-1,MONTH($A1013),DAY($A1013)),$A:$A,0))-1),"")</f>
        <v/>
      </c>
      <c r="L1013" s="19">
        <f>IFERROR(IF(OR(G1013="",INDEX(G:G,MATCH(DATE(YEAR($A1013)-1,MONTH($A1013),DAY($A1013)),$A:$A,0))=""),"",G1013/INDEX(G:G,MATCH(DATE(YEAR($A1013)-1,MONTH($A1013),DAY($A1013)),$A:$A,0))-1),"")</f>
        <v/>
      </c>
      <c r="M1013" s="19">
        <f>IF(OR(E1013="",E1012=""),"",E1013/E1012-1)</f>
        <v/>
      </c>
      <c r="N1013" s="19">
        <f>IF(OR(F1013="",F1012=""),"",F1013/F1012-1)</f>
        <v/>
      </c>
      <c r="O1013" s="19">
        <f>IF(OR(G1013="",G1012=""),"",G1013/G1012-1)</f>
        <v/>
      </c>
      <c r="P1013" s="22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IF(R1013="","",P1013/R1013)</f>
        <v/>
      </c>
      <c r="T1013" s="23">
        <f>IF(R1013="","",Q1013/R1013)</f>
        <v/>
      </c>
      <c r="U1013" s="24">
        <f>IF(SUMIFS('Daily NSE Equity Options'!$M:$M,'Daily NSE Equity Options'!$A:$A,$A1013)=0,"",SUMIFS('Daily NSE Equity Options'!$M:$M,'Daily NSE Equity Options'!$A:$A,$A1013))</f>
        <v/>
      </c>
      <c r="V1013" s="9">
        <f>IF(SUMIFS('Daily BSE Equity Options'!$M:$M,'Daily BSE Equity Options'!$A:$A,$A1013)=0,"",SUMIFS('Daily BSE Equity Options'!$M:$M,'Daily BSE Equity Options'!$A:$A,$A1013))</f>
        <v/>
      </c>
      <c r="W1013" s="9">
        <f>IF(OR(U1013="",V1013=""),"",U1013+V1013)</f>
        <v/>
      </c>
      <c r="X1013" s="25">
        <f>IF(W1013="","",U1013/W1013)</f>
        <v/>
      </c>
      <c r="Y1013" s="25">
        <f>IF(W1013="","",V1013/W1013)</f>
        <v/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19">
        <f>IF(G1014="","",E1014/G1014)</f>
        <v/>
      </c>
      <c r="I1014" s="19">
        <f>IF(G1014="","",F1014/G1014)</f>
        <v/>
      </c>
      <c r="J1014" s="26">
        <f>IFERROR(IF(OR(E1014="",INDEX(E:E,MATCH(DATE(YEAR($A1014)-1,MONTH($A1014),DAY($A1014)),$A:$A,0))=""),"",E1014/INDEX(E:E,MATCH(DATE(YEAR($A1014)-1,MONTH($A1014),DAY($A1014)),$A:$A,0))-1),"")</f>
        <v/>
      </c>
      <c r="K1014" s="19">
        <f>IFERROR(IF(OR(F1014="",INDEX(F:F,MATCH(DATE(YEAR($A1014)-1,MONTH($A1014),DAY($A1014)),$A:$A,0))=""),"",F1014/INDEX(F:F,MATCH(DATE(YEAR($A1014)-1,MONTH($A1014),DAY($A1014)),$A:$A,0))-1),"")</f>
        <v/>
      </c>
      <c r="L1014" s="19">
        <f>IFERROR(IF(OR(G1014="",INDEX(G:G,MATCH(DATE(YEAR($A1014)-1,MONTH($A1014),DAY($A1014)),$A:$A,0))=""),"",G1014/INDEX(G:G,MATCH(DATE(YEAR($A1014)-1,MONTH($A1014),DAY($A1014)),$A:$A,0))-1),"")</f>
        <v/>
      </c>
      <c r="M1014" s="19">
        <f>IF(OR(E1014="",E1013=""),"",E1014/E1013-1)</f>
        <v/>
      </c>
      <c r="N1014" s="19">
        <f>IF(OR(F1014="",F1013=""),"",F1014/F1013-1)</f>
        <v/>
      </c>
      <c r="O1014" s="19">
        <f>IF(OR(G1014="",G1013=""),"",G1014/G1013-1)</f>
        <v/>
      </c>
      <c r="P1014" s="22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IF(R1014="","",P1014/R1014)</f>
        <v/>
      </c>
      <c r="T1014" s="23">
        <f>IF(R1014="","",Q1014/R1014)</f>
        <v/>
      </c>
      <c r="U1014" s="24">
        <f>IF(SUMIFS('Daily NSE Equity Options'!$M:$M,'Daily NSE Equity Options'!$A:$A,$A1014)=0,"",SUMIFS('Daily NSE Equity Options'!$M:$M,'Daily NSE Equity Options'!$A:$A,$A1014))</f>
        <v/>
      </c>
      <c r="V1014" s="9">
        <f>IF(SUMIFS('Daily BSE Equity Options'!$M:$M,'Daily BSE Equity Options'!$A:$A,$A1014)=0,"",SUMIFS('Daily BSE Equity Options'!$M:$M,'Daily BSE Equity Options'!$A:$A,$A1014))</f>
        <v/>
      </c>
      <c r="W1014" s="9">
        <f>IF(OR(U1014="",V1014=""),"",U1014+V1014)</f>
        <v/>
      </c>
      <c r="X1014" s="25">
        <f>IF(W1014="","",U1014/W1014)</f>
        <v/>
      </c>
      <c r="Y1014" s="25">
        <f>IF(W1014="","",V1014/W1014)</f>
        <v/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19">
        <f>IF(G1015="","",E1015/G1015)</f>
        <v/>
      </c>
      <c r="I1015" s="19">
        <f>IF(G1015="","",F1015/G1015)</f>
        <v/>
      </c>
      <c r="J1015" s="26">
        <f>IFERROR(IF(OR(E1015="",INDEX(E:E,MATCH(DATE(YEAR($A1015)-1,MONTH($A1015),DAY($A1015)),$A:$A,0))=""),"",E1015/INDEX(E:E,MATCH(DATE(YEAR($A1015)-1,MONTH($A1015),DAY($A1015)),$A:$A,0))-1),"")</f>
        <v/>
      </c>
      <c r="K1015" s="19">
        <f>IFERROR(IF(OR(F1015="",INDEX(F:F,MATCH(DATE(YEAR($A1015)-1,MONTH($A1015),DAY($A1015)),$A:$A,0))=""),"",F1015/INDEX(F:F,MATCH(DATE(YEAR($A1015)-1,MONTH($A1015),DAY($A1015)),$A:$A,0))-1),"")</f>
        <v/>
      </c>
      <c r="L1015" s="19">
        <f>IFERROR(IF(OR(G1015="",INDEX(G:G,MATCH(DATE(YEAR($A1015)-1,MONTH($A1015),DAY($A1015)),$A:$A,0))=""),"",G1015/INDEX(G:G,MATCH(DATE(YEAR($A1015)-1,MONTH($A1015),DAY($A1015)),$A:$A,0))-1),"")</f>
        <v/>
      </c>
      <c r="M1015" s="19">
        <f>IF(OR(E1015="",E1014=""),"",E1015/E1014-1)</f>
        <v/>
      </c>
      <c r="N1015" s="19">
        <f>IF(OR(F1015="",F1014=""),"",F1015/F1014-1)</f>
        <v/>
      </c>
      <c r="O1015" s="19">
        <f>IF(OR(G1015="",G1014=""),"",G1015/G1014-1)</f>
        <v/>
      </c>
      <c r="P1015" s="22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IF(R1015="","",P1015/R1015)</f>
        <v/>
      </c>
      <c r="T1015" s="23">
        <f>IF(R1015="","",Q1015/R1015)</f>
        <v/>
      </c>
      <c r="U1015" s="24">
        <f>IF(SUMIFS('Daily NSE Equity Options'!$M:$M,'Daily NSE Equity Options'!$A:$A,$A1015)=0,"",SUMIFS('Daily NSE Equity Options'!$M:$M,'Daily NSE Equity Options'!$A:$A,$A1015))</f>
        <v/>
      </c>
      <c r="V1015" s="9">
        <f>IF(SUMIFS('Daily BSE Equity Options'!$M:$M,'Daily BSE Equity Options'!$A:$A,$A1015)=0,"",SUMIFS('Daily BSE Equity Options'!$M:$M,'Daily BSE Equity Options'!$A:$A,$A1015))</f>
        <v/>
      </c>
      <c r="W1015" s="9">
        <f>IF(OR(U1015="",V1015=""),"",U1015+V1015)</f>
        <v/>
      </c>
      <c r="X1015" s="25">
        <f>IF(W1015="","",U1015/W1015)</f>
        <v/>
      </c>
      <c r="Y1015" s="25">
        <f>IF(W1015="","",V1015/W1015)</f>
        <v/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19">
        <f>IF(G1016="","",E1016/G1016)</f>
        <v/>
      </c>
      <c r="I1016" s="19">
        <f>IF(G1016="","",F1016/G1016)</f>
        <v/>
      </c>
      <c r="J1016" s="26">
        <f>IFERROR(IF(OR(E1016="",INDEX(E:E,MATCH(DATE(YEAR($A1016)-1,MONTH($A1016),DAY($A1016)),$A:$A,0))=""),"",E1016/INDEX(E:E,MATCH(DATE(YEAR($A1016)-1,MONTH($A1016),DAY($A1016)),$A:$A,0))-1),"")</f>
        <v/>
      </c>
      <c r="K1016" s="19">
        <f>IFERROR(IF(OR(F1016="",INDEX(F:F,MATCH(DATE(YEAR($A1016)-1,MONTH($A1016),DAY($A1016)),$A:$A,0))=""),"",F1016/INDEX(F:F,MATCH(DATE(YEAR($A1016)-1,MONTH($A1016),DAY($A1016)),$A:$A,0))-1),"")</f>
        <v/>
      </c>
      <c r="L1016" s="19">
        <f>IFERROR(IF(OR(G1016="",INDEX(G:G,MATCH(DATE(YEAR($A1016)-1,MONTH($A1016),DAY($A1016)),$A:$A,0))=""),"",G1016/INDEX(G:G,MATCH(DATE(YEAR($A1016)-1,MONTH($A1016),DAY($A1016)),$A:$A,0))-1),"")</f>
        <v/>
      </c>
      <c r="M1016" s="19">
        <f>IF(OR(E1016="",E1015=""),"",E1016/E1015-1)</f>
        <v/>
      </c>
      <c r="N1016" s="19">
        <f>IF(OR(F1016="",F1015=""),"",F1016/F1015-1)</f>
        <v/>
      </c>
      <c r="O1016" s="19">
        <f>IF(OR(G1016="",G1015=""),"",G1016/G1015-1)</f>
        <v/>
      </c>
      <c r="P1016" s="22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IF(R1016="","",P1016/R1016)</f>
        <v/>
      </c>
      <c r="T1016" s="23">
        <f>IF(R1016="","",Q1016/R1016)</f>
        <v/>
      </c>
      <c r="U1016" s="24">
        <f>IF(SUMIFS('Daily NSE Equity Options'!$M:$M,'Daily NSE Equity Options'!$A:$A,$A1016)=0,"",SUMIFS('Daily NSE Equity Options'!$M:$M,'Daily NSE Equity Options'!$A:$A,$A1016))</f>
        <v/>
      </c>
      <c r="V1016" s="9">
        <f>IF(SUMIFS('Daily BSE Equity Options'!$M:$M,'Daily BSE Equity Options'!$A:$A,$A1016)=0,"",SUMIFS('Daily BSE Equity Options'!$M:$M,'Daily BSE Equity Options'!$A:$A,$A1016))</f>
        <v/>
      </c>
      <c r="W1016" s="9">
        <f>IF(OR(U1016="",V1016=""),"",U1016+V1016)</f>
        <v/>
      </c>
      <c r="X1016" s="25">
        <f>IF(W1016="","",U1016/W1016)</f>
        <v/>
      </c>
      <c r="Y1016" s="25">
        <f>IF(W1016="","",V1016/W1016)</f>
        <v/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19">
        <f>IF(G1017="","",E1017/G1017)</f>
        <v/>
      </c>
      <c r="I1017" s="19">
        <f>IF(G1017="","",F1017/G1017)</f>
        <v/>
      </c>
      <c r="J1017" s="26">
        <f>IFERROR(IF(OR(E1017="",INDEX(E:E,MATCH(DATE(YEAR($A1017)-1,MONTH($A1017),DAY($A1017)),$A:$A,0))=""),"",E1017/INDEX(E:E,MATCH(DATE(YEAR($A1017)-1,MONTH($A1017),DAY($A1017)),$A:$A,0))-1),"")</f>
        <v/>
      </c>
      <c r="K1017" s="19">
        <f>IFERROR(IF(OR(F1017="",INDEX(F:F,MATCH(DATE(YEAR($A1017)-1,MONTH($A1017),DAY($A1017)),$A:$A,0))=""),"",F1017/INDEX(F:F,MATCH(DATE(YEAR($A1017)-1,MONTH($A1017),DAY($A1017)),$A:$A,0))-1),"")</f>
        <v/>
      </c>
      <c r="L1017" s="19">
        <f>IFERROR(IF(OR(G1017="",INDEX(G:G,MATCH(DATE(YEAR($A1017)-1,MONTH($A1017),DAY($A1017)),$A:$A,0))=""),"",G1017/INDEX(G:G,MATCH(DATE(YEAR($A1017)-1,MONTH($A1017),DAY($A1017)),$A:$A,0))-1),"")</f>
        <v/>
      </c>
      <c r="M1017" s="19">
        <f>IF(OR(E1017="",E1016=""),"",E1017/E1016-1)</f>
        <v/>
      </c>
      <c r="N1017" s="19">
        <f>IF(OR(F1017="",F1016=""),"",F1017/F1016-1)</f>
        <v/>
      </c>
      <c r="O1017" s="19">
        <f>IF(OR(G1017="",G1016=""),"",G1017/G1016-1)</f>
        <v/>
      </c>
      <c r="P1017" s="22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IF(R1017="","",P1017/R1017)</f>
        <v/>
      </c>
      <c r="T1017" s="23">
        <f>IF(R1017="","",Q1017/R1017)</f>
        <v/>
      </c>
      <c r="U1017" s="24">
        <f>IF(SUMIFS('Daily NSE Equity Options'!$M:$M,'Daily NSE Equity Options'!$A:$A,$A1017)=0,"",SUMIFS('Daily NSE Equity Options'!$M:$M,'Daily NSE Equity Options'!$A:$A,$A1017))</f>
        <v/>
      </c>
      <c r="V1017" s="9">
        <f>IF(SUMIFS('Daily BSE Equity Options'!$M:$M,'Daily BSE Equity Options'!$A:$A,$A1017)=0,"",SUMIFS('Daily BSE Equity Options'!$M:$M,'Daily BSE Equity Options'!$A:$A,$A1017))</f>
        <v/>
      </c>
      <c r="W1017" s="9">
        <f>IF(OR(U1017="",V1017=""),"",U1017+V1017)</f>
        <v/>
      </c>
      <c r="X1017" s="25">
        <f>IF(W1017="","",U1017/W1017)</f>
        <v/>
      </c>
      <c r="Y1017" s="25">
        <f>IF(W1017="","",V1017/W1017)</f>
        <v/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19">
        <f>IF(G1018="","",E1018/G1018)</f>
        <v/>
      </c>
      <c r="I1018" s="19">
        <f>IF(G1018="","",F1018/G1018)</f>
        <v/>
      </c>
      <c r="J1018" s="26">
        <f>IFERROR(IF(OR(E1018="",INDEX(E:E,MATCH(DATE(YEAR($A1018)-1,MONTH($A1018),DAY($A1018)),$A:$A,0))=""),"",E1018/INDEX(E:E,MATCH(DATE(YEAR($A1018)-1,MONTH($A1018),DAY($A1018)),$A:$A,0))-1),"")</f>
        <v/>
      </c>
      <c r="K1018" s="19">
        <f>IFERROR(IF(OR(F1018="",INDEX(F:F,MATCH(DATE(YEAR($A1018)-1,MONTH($A1018),DAY($A1018)),$A:$A,0))=""),"",F1018/INDEX(F:F,MATCH(DATE(YEAR($A1018)-1,MONTH($A1018),DAY($A1018)),$A:$A,0))-1),"")</f>
        <v/>
      </c>
      <c r="L1018" s="19">
        <f>IFERROR(IF(OR(G1018="",INDEX(G:G,MATCH(DATE(YEAR($A1018)-1,MONTH($A1018),DAY($A1018)),$A:$A,0))=""),"",G1018/INDEX(G:G,MATCH(DATE(YEAR($A1018)-1,MONTH($A1018),DAY($A1018)),$A:$A,0))-1),"")</f>
        <v/>
      </c>
      <c r="M1018" s="19">
        <f>IF(OR(E1018="",E1017=""),"",E1018/E1017-1)</f>
        <v/>
      </c>
      <c r="N1018" s="19">
        <f>IF(OR(F1018="",F1017=""),"",F1018/F1017-1)</f>
        <v/>
      </c>
      <c r="O1018" s="19">
        <f>IF(OR(G1018="",G1017=""),"",G1018/G1017-1)</f>
        <v/>
      </c>
      <c r="P1018" s="22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IF(R1018="","",P1018/R1018)</f>
        <v/>
      </c>
      <c r="T1018" s="23">
        <f>IF(R1018="","",Q1018/R1018)</f>
        <v/>
      </c>
      <c r="U1018" s="24">
        <f>IF(SUMIFS('Daily NSE Equity Options'!$M:$M,'Daily NSE Equity Options'!$A:$A,$A1018)=0,"",SUMIFS('Daily NSE Equity Options'!$M:$M,'Daily NSE Equity Options'!$A:$A,$A1018))</f>
        <v/>
      </c>
      <c r="V1018" s="9">
        <f>IF(SUMIFS('Daily BSE Equity Options'!$M:$M,'Daily BSE Equity Options'!$A:$A,$A1018)=0,"",SUMIFS('Daily BSE Equity Options'!$M:$M,'Daily BSE Equity Options'!$A:$A,$A1018))</f>
        <v/>
      </c>
      <c r="W1018" s="9">
        <f>IF(OR(U1018="",V1018=""),"",U1018+V1018)</f>
        <v/>
      </c>
      <c r="X1018" s="25">
        <f>IF(W1018="","",U1018/W1018)</f>
        <v/>
      </c>
      <c r="Y1018" s="25">
        <f>IF(W1018="","",V1018/W1018)</f>
        <v/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19">
        <f>IF(G1019="","",E1019/G1019)</f>
        <v/>
      </c>
      <c r="I1019" s="19">
        <f>IF(G1019="","",F1019/G1019)</f>
        <v/>
      </c>
      <c r="J1019" s="26">
        <f>IFERROR(IF(OR(E1019="",INDEX(E:E,MATCH(DATE(YEAR($A1019)-1,MONTH($A1019),DAY($A1019)),$A:$A,0))=""),"",E1019/INDEX(E:E,MATCH(DATE(YEAR($A1019)-1,MONTH($A1019),DAY($A1019)),$A:$A,0))-1),"")</f>
        <v/>
      </c>
      <c r="K1019" s="19">
        <f>IFERROR(IF(OR(F1019="",INDEX(F:F,MATCH(DATE(YEAR($A1019)-1,MONTH($A1019),DAY($A1019)),$A:$A,0))=""),"",F1019/INDEX(F:F,MATCH(DATE(YEAR($A1019)-1,MONTH($A1019),DAY($A1019)),$A:$A,0))-1),"")</f>
        <v/>
      </c>
      <c r="L1019" s="19">
        <f>IFERROR(IF(OR(G1019="",INDEX(G:G,MATCH(DATE(YEAR($A1019)-1,MONTH($A1019),DAY($A1019)),$A:$A,0))=""),"",G1019/INDEX(G:G,MATCH(DATE(YEAR($A1019)-1,MONTH($A1019),DAY($A1019)),$A:$A,0))-1),"")</f>
        <v/>
      </c>
      <c r="M1019" s="19">
        <f>IF(OR(E1019="",E1018=""),"",E1019/E1018-1)</f>
        <v/>
      </c>
      <c r="N1019" s="19">
        <f>IF(OR(F1019="",F1018=""),"",F1019/F1018-1)</f>
        <v/>
      </c>
      <c r="O1019" s="19">
        <f>IF(OR(G1019="",G1018=""),"",G1019/G1018-1)</f>
        <v/>
      </c>
      <c r="P1019" s="22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IF(R1019="","",P1019/R1019)</f>
        <v/>
      </c>
      <c r="T1019" s="23">
        <f>IF(R1019="","",Q1019/R1019)</f>
        <v/>
      </c>
      <c r="U1019" s="24">
        <f>IF(SUMIFS('Daily NSE Equity Options'!$M:$M,'Daily NSE Equity Options'!$A:$A,$A1019)=0,"",SUMIFS('Daily NSE Equity Options'!$M:$M,'Daily NSE Equity Options'!$A:$A,$A1019))</f>
        <v/>
      </c>
      <c r="V1019" s="9">
        <f>IF(SUMIFS('Daily BSE Equity Options'!$M:$M,'Daily BSE Equity Options'!$A:$A,$A1019)=0,"",SUMIFS('Daily BSE Equity Options'!$M:$M,'Daily BSE Equity Options'!$A:$A,$A1019))</f>
        <v/>
      </c>
      <c r="W1019" s="9">
        <f>IF(OR(U1019="",V1019=""),"",U1019+V1019)</f>
        <v/>
      </c>
      <c r="X1019" s="25">
        <f>IF(W1019="","",U1019/W1019)</f>
        <v/>
      </c>
      <c r="Y1019" s="25">
        <f>IF(W1019="","",V1019/W1019)</f>
        <v/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19">
        <f>IF(G1020="","",E1020/G1020)</f>
        <v/>
      </c>
      <c r="I1020" s="19">
        <f>IF(G1020="","",F1020/G1020)</f>
        <v/>
      </c>
      <c r="J1020" s="26">
        <f>IFERROR(IF(OR(E1020="",INDEX(E:E,MATCH(DATE(YEAR($A1020)-1,MONTH($A1020),DAY($A1020)),$A:$A,0))=""),"",E1020/INDEX(E:E,MATCH(DATE(YEAR($A1020)-1,MONTH($A1020),DAY($A1020)),$A:$A,0))-1),"")</f>
        <v/>
      </c>
      <c r="K1020" s="19">
        <f>IFERROR(IF(OR(F1020="",INDEX(F:F,MATCH(DATE(YEAR($A1020)-1,MONTH($A1020),DAY($A1020)),$A:$A,0))=""),"",F1020/INDEX(F:F,MATCH(DATE(YEAR($A1020)-1,MONTH($A1020),DAY($A1020)),$A:$A,0))-1),"")</f>
        <v/>
      </c>
      <c r="L1020" s="19">
        <f>IFERROR(IF(OR(G1020="",INDEX(G:G,MATCH(DATE(YEAR($A1020)-1,MONTH($A1020),DAY($A1020)),$A:$A,0))=""),"",G1020/INDEX(G:G,MATCH(DATE(YEAR($A1020)-1,MONTH($A1020),DAY($A1020)),$A:$A,0))-1),"")</f>
        <v/>
      </c>
      <c r="M1020" s="19">
        <f>IF(OR(E1020="",E1019=""),"",E1020/E1019-1)</f>
        <v/>
      </c>
      <c r="N1020" s="19">
        <f>IF(OR(F1020="",F1019=""),"",F1020/F1019-1)</f>
        <v/>
      </c>
      <c r="O1020" s="19">
        <f>IF(OR(G1020="",G1019=""),"",G1020/G1019-1)</f>
        <v/>
      </c>
      <c r="P1020" s="22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IF(R1020="","",P1020/R1020)</f>
        <v/>
      </c>
      <c r="T1020" s="23">
        <f>IF(R1020="","",Q1020/R1020)</f>
        <v/>
      </c>
      <c r="U1020" s="24">
        <f>IF(SUMIFS('Daily NSE Equity Options'!$M:$M,'Daily NSE Equity Options'!$A:$A,$A1020)=0,"",SUMIFS('Daily NSE Equity Options'!$M:$M,'Daily NSE Equity Options'!$A:$A,$A1020))</f>
        <v/>
      </c>
      <c r="V1020" s="9">
        <f>IF(SUMIFS('Daily BSE Equity Options'!$M:$M,'Daily BSE Equity Options'!$A:$A,$A1020)=0,"",SUMIFS('Daily BSE Equity Options'!$M:$M,'Daily BSE Equity Options'!$A:$A,$A1020))</f>
        <v/>
      </c>
      <c r="W1020" s="9">
        <f>IF(OR(U1020="",V1020=""),"",U1020+V1020)</f>
        <v/>
      </c>
      <c r="X1020" s="25">
        <f>IF(W1020="","",U1020/W1020)</f>
        <v/>
      </c>
      <c r="Y1020" s="25">
        <f>IF(W1020="","",V1020/W1020)</f>
        <v/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19">
        <f>IF(G1021="","",E1021/G1021)</f>
        <v/>
      </c>
      <c r="I1021" s="19">
        <f>IF(G1021="","",F1021/G1021)</f>
        <v/>
      </c>
      <c r="J1021" s="26">
        <f>IFERROR(IF(OR(E1021="",INDEX(E:E,MATCH(DATE(YEAR($A1021)-1,MONTH($A1021),DAY($A1021)),$A:$A,0))=""),"",E1021/INDEX(E:E,MATCH(DATE(YEAR($A1021)-1,MONTH($A1021),DAY($A1021)),$A:$A,0))-1),"")</f>
        <v/>
      </c>
      <c r="K1021" s="19">
        <f>IFERROR(IF(OR(F1021="",INDEX(F:F,MATCH(DATE(YEAR($A1021)-1,MONTH($A1021),DAY($A1021)),$A:$A,0))=""),"",F1021/INDEX(F:F,MATCH(DATE(YEAR($A1021)-1,MONTH($A1021),DAY($A1021)),$A:$A,0))-1),"")</f>
        <v/>
      </c>
      <c r="L1021" s="19">
        <f>IFERROR(IF(OR(G1021="",INDEX(G:G,MATCH(DATE(YEAR($A1021)-1,MONTH($A1021),DAY($A1021)),$A:$A,0))=""),"",G1021/INDEX(G:G,MATCH(DATE(YEAR($A1021)-1,MONTH($A1021),DAY($A1021)),$A:$A,0))-1),"")</f>
        <v/>
      </c>
      <c r="M1021" s="19">
        <f>IF(OR(E1021="",E1020=""),"",E1021/E1020-1)</f>
        <v/>
      </c>
      <c r="N1021" s="19">
        <f>IF(OR(F1021="",F1020=""),"",F1021/F1020-1)</f>
        <v/>
      </c>
      <c r="O1021" s="19">
        <f>IF(OR(G1021="",G1020=""),"",G1021/G1020-1)</f>
        <v/>
      </c>
      <c r="P1021" s="22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IF(R1021="","",P1021/R1021)</f>
        <v/>
      </c>
      <c r="T1021" s="23">
        <f>IF(R1021="","",Q1021/R1021)</f>
        <v/>
      </c>
      <c r="U1021" s="24">
        <f>IF(SUMIFS('Daily NSE Equity Options'!$M:$M,'Daily NSE Equity Options'!$A:$A,$A1021)=0,"",SUMIFS('Daily NSE Equity Options'!$M:$M,'Daily NSE Equity Options'!$A:$A,$A1021))</f>
        <v/>
      </c>
      <c r="V1021" s="9">
        <f>IF(SUMIFS('Daily BSE Equity Options'!$M:$M,'Daily BSE Equity Options'!$A:$A,$A1021)=0,"",SUMIFS('Daily BSE Equity Options'!$M:$M,'Daily BSE Equity Options'!$A:$A,$A1021))</f>
        <v/>
      </c>
      <c r="W1021" s="9">
        <f>IF(OR(U1021="",V1021=""),"",U1021+V1021)</f>
        <v/>
      </c>
      <c r="X1021" s="25">
        <f>IF(W1021="","",U1021/W1021)</f>
        <v/>
      </c>
      <c r="Y1021" s="25">
        <f>IF(W1021="","",V1021/W1021)</f>
        <v/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19">
        <f>IF(G1022="","",E1022/G1022)</f>
        <v/>
      </c>
      <c r="I1022" s="19">
        <f>IF(G1022="","",F1022/G1022)</f>
        <v/>
      </c>
      <c r="J1022" s="26">
        <f>IFERROR(IF(OR(E1022="",INDEX(E:E,MATCH(DATE(YEAR($A1022)-1,MONTH($A1022),DAY($A1022)),$A:$A,0))=""),"",E1022/INDEX(E:E,MATCH(DATE(YEAR($A1022)-1,MONTH($A1022),DAY($A1022)),$A:$A,0))-1),"")</f>
        <v/>
      </c>
      <c r="K1022" s="19">
        <f>IFERROR(IF(OR(F1022="",INDEX(F:F,MATCH(DATE(YEAR($A1022)-1,MONTH($A1022),DAY($A1022)),$A:$A,0))=""),"",F1022/INDEX(F:F,MATCH(DATE(YEAR($A1022)-1,MONTH($A1022),DAY($A1022)),$A:$A,0))-1),"")</f>
        <v/>
      </c>
      <c r="L1022" s="19">
        <f>IFERROR(IF(OR(G1022="",INDEX(G:G,MATCH(DATE(YEAR($A1022)-1,MONTH($A1022),DAY($A1022)),$A:$A,0))=""),"",G1022/INDEX(G:G,MATCH(DATE(YEAR($A1022)-1,MONTH($A1022),DAY($A1022)),$A:$A,0))-1),"")</f>
        <v/>
      </c>
      <c r="M1022" s="19">
        <f>IF(OR(E1022="",E1021=""),"",E1022/E1021-1)</f>
        <v/>
      </c>
      <c r="N1022" s="19">
        <f>IF(OR(F1022="",F1021=""),"",F1022/F1021-1)</f>
        <v/>
      </c>
      <c r="O1022" s="19">
        <f>IF(OR(G1022="",G1021=""),"",G1022/G1021-1)</f>
        <v/>
      </c>
      <c r="P1022" s="22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IF(R1022="","",P1022/R1022)</f>
        <v/>
      </c>
      <c r="T1022" s="23">
        <f>IF(R1022="","",Q1022/R1022)</f>
        <v/>
      </c>
      <c r="U1022" s="24">
        <f>IF(SUMIFS('Daily NSE Equity Options'!$M:$M,'Daily NSE Equity Options'!$A:$A,$A1022)=0,"",SUMIFS('Daily NSE Equity Options'!$M:$M,'Daily NSE Equity Options'!$A:$A,$A1022))</f>
        <v/>
      </c>
      <c r="V1022" s="9">
        <f>IF(SUMIFS('Daily BSE Equity Options'!$M:$M,'Daily BSE Equity Options'!$A:$A,$A1022)=0,"",SUMIFS('Daily BSE Equity Options'!$M:$M,'Daily BSE Equity Options'!$A:$A,$A1022))</f>
        <v/>
      </c>
      <c r="W1022" s="9">
        <f>IF(OR(U1022="",V1022=""),"",U1022+V1022)</f>
        <v/>
      </c>
      <c r="X1022" s="25">
        <f>IF(W1022="","",U1022/W1022)</f>
        <v/>
      </c>
      <c r="Y1022" s="25">
        <f>IF(W1022="","",V1022/W1022)</f>
        <v/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19">
        <f>IF(G1023="","",E1023/G1023)</f>
        <v/>
      </c>
      <c r="I1023" s="19">
        <f>IF(G1023="","",F1023/G1023)</f>
        <v/>
      </c>
      <c r="J1023" s="26">
        <f>IFERROR(IF(OR(E1023="",INDEX(E:E,MATCH(DATE(YEAR($A1023)-1,MONTH($A1023),DAY($A1023)),$A:$A,0))=""),"",E1023/INDEX(E:E,MATCH(DATE(YEAR($A1023)-1,MONTH($A1023),DAY($A1023)),$A:$A,0))-1),"")</f>
        <v/>
      </c>
      <c r="K1023" s="19">
        <f>IFERROR(IF(OR(F1023="",INDEX(F:F,MATCH(DATE(YEAR($A1023)-1,MONTH($A1023),DAY($A1023)),$A:$A,0))=""),"",F1023/INDEX(F:F,MATCH(DATE(YEAR($A1023)-1,MONTH($A1023),DAY($A1023)),$A:$A,0))-1),"")</f>
        <v/>
      </c>
      <c r="L1023" s="19">
        <f>IFERROR(IF(OR(G1023="",INDEX(G:G,MATCH(DATE(YEAR($A1023)-1,MONTH($A1023),DAY($A1023)),$A:$A,0))=""),"",G1023/INDEX(G:G,MATCH(DATE(YEAR($A1023)-1,MONTH($A1023),DAY($A1023)),$A:$A,0))-1),"")</f>
        <v/>
      </c>
      <c r="M1023" s="19">
        <f>IF(OR(E1023="",E1022=""),"",E1023/E1022-1)</f>
        <v/>
      </c>
      <c r="N1023" s="19">
        <f>IF(OR(F1023="",F1022=""),"",F1023/F1022-1)</f>
        <v/>
      </c>
      <c r="O1023" s="19">
        <f>IF(OR(G1023="",G1022=""),"",G1023/G1022-1)</f>
        <v/>
      </c>
      <c r="P1023" s="22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IF(R1023="","",P1023/R1023)</f>
        <v/>
      </c>
      <c r="T1023" s="23">
        <f>IF(R1023="","",Q1023/R1023)</f>
        <v/>
      </c>
      <c r="U1023" s="24">
        <f>IF(SUMIFS('Daily NSE Equity Options'!$M:$M,'Daily NSE Equity Options'!$A:$A,$A1023)=0,"",SUMIFS('Daily NSE Equity Options'!$M:$M,'Daily NSE Equity Options'!$A:$A,$A1023))</f>
        <v/>
      </c>
      <c r="V1023" s="9">
        <f>IF(SUMIFS('Daily BSE Equity Options'!$M:$M,'Daily BSE Equity Options'!$A:$A,$A1023)=0,"",SUMIFS('Daily BSE Equity Options'!$M:$M,'Daily BSE Equity Options'!$A:$A,$A1023))</f>
        <v/>
      </c>
      <c r="W1023" s="9">
        <f>IF(OR(U1023="",V1023=""),"",U1023+V1023)</f>
        <v/>
      </c>
      <c r="X1023" s="25">
        <f>IF(W1023="","",U1023/W1023)</f>
        <v/>
      </c>
      <c r="Y1023" s="25">
        <f>IF(W1023="","",V1023/W1023)</f>
        <v/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19">
        <f>IF(G1024="","",E1024/G1024)</f>
        <v/>
      </c>
      <c r="I1024" s="19">
        <f>IF(G1024="","",F1024/G1024)</f>
        <v/>
      </c>
      <c r="J1024" s="26">
        <f>IFERROR(IF(OR(E1024="",INDEX(E:E,MATCH(DATE(YEAR($A1024)-1,MONTH($A1024),DAY($A1024)),$A:$A,0))=""),"",E1024/INDEX(E:E,MATCH(DATE(YEAR($A1024)-1,MONTH($A1024),DAY($A1024)),$A:$A,0))-1),"")</f>
        <v/>
      </c>
      <c r="K1024" s="19">
        <f>IFERROR(IF(OR(F1024="",INDEX(F:F,MATCH(DATE(YEAR($A1024)-1,MONTH($A1024),DAY($A1024)),$A:$A,0))=""),"",F1024/INDEX(F:F,MATCH(DATE(YEAR($A1024)-1,MONTH($A1024),DAY($A1024)),$A:$A,0))-1),"")</f>
        <v/>
      </c>
      <c r="L1024" s="19">
        <f>IFERROR(IF(OR(G1024="",INDEX(G:G,MATCH(DATE(YEAR($A1024)-1,MONTH($A1024),DAY($A1024)),$A:$A,0))=""),"",G1024/INDEX(G:G,MATCH(DATE(YEAR($A1024)-1,MONTH($A1024),DAY($A1024)),$A:$A,0))-1),"")</f>
        <v/>
      </c>
      <c r="M1024" s="19">
        <f>IF(OR(E1024="",E1023=""),"",E1024/E1023-1)</f>
        <v/>
      </c>
      <c r="N1024" s="19">
        <f>IF(OR(F1024="",F1023=""),"",F1024/F1023-1)</f>
        <v/>
      </c>
      <c r="O1024" s="19">
        <f>IF(OR(G1024="",G1023=""),"",G1024/G1023-1)</f>
        <v/>
      </c>
      <c r="P1024" s="22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IF(R1024="","",P1024/R1024)</f>
        <v/>
      </c>
      <c r="T1024" s="23">
        <f>IF(R1024="","",Q1024/R1024)</f>
        <v/>
      </c>
      <c r="U1024" s="24">
        <f>IF(SUMIFS('Daily NSE Equity Options'!$M:$M,'Daily NSE Equity Options'!$A:$A,$A1024)=0,"",SUMIFS('Daily NSE Equity Options'!$M:$M,'Daily NSE Equity Options'!$A:$A,$A1024))</f>
        <v/>
      </c>
      <c r="V1024" s="9">
        <f>IF(SUMIFS('Daily BSE Equity Options'!$M:$M,'Daily BSE Equity Options'!$A:$A,$A1024)=0,"",SUMIFS('Daily BSE Equity Options'!$M:$M,'Daily BSE Equity Options'!$A:$A,$A1024))</f>
        <v/>
      </c>
      <c r="W1024" s="9">
        <f>IF(OR(U1024="",V1024=""),"",U1024+V1024)</f>
        <v/>
      </c>
      <c r="X1024" s="25">
        <f>IF(W1024="","",U1024/W1024)</f>
        <v/>
      </c>
      <c r="Y1024" s="25">
        <f>IF(W1024="","",V1024/W1024)</f>
        <v/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19">
        <f>IF(G1025="","",E1025/G1025)</f>
        <v/>
      </c>
      <c r="I1025" s="19">
        <f>IF(G1025="","",F1025/G1025)</f>
        <v/>
      </c>
      <c r="J1025" s="26">
        <f>IFERROR(IF(OR(E1025="",INDEX(E:E,MATCH(DATE(YEAR($A1025)-1,MONTH($A1025),DAY($A1025)),$A:$A,0))=""),"",E1025/INDEX(E:E,MATCH(DATE(YEAR($A1025)-1,MONTH($A1025),DAY($A1025)),$A:$A,0))-1),"")</f>
        <v/>
      </c>
      <c r="K1025" s="19">
        <f>IFERROR(IF(OR(F1025="",INDEX(F:F,MATCH(DATE(YEAR($A1025)-1,MONTH($A1025),DAY($A1025)),$A:$A,0))=""),"",F1025/INDEX(F:F,MATCH(DATE(YEAR($A1025)-1,MONTH($A1025),DAY($A1025)),$A:$A,0))-1),"")</f>
        <v/>
      </c>
      <c r="L1025" s="19">
        <f>IFERROR(IF(OR(G1025="",INDEX(G:G,MATCH(DATE(YEAR($A1025)-1,MONTH($A1025),DAY($A1025)),$A:$A,0))=""),"",G1025/INDEX(G:G,MATCH(DATE(YEAR($A1025)-1,MONTH($A1025),DAY($A1025)),$A:$A,0))-1),"")</f>
        <v/>
      </c>
      <c r="M1025" s="19">
        <f>IF(OR(E1025="",E1024=""),"",E1025/E1024-1)</f>
        <v/>
      </c>
      <c r="N1025" s="19">
        <f>IF(OR(F1025="",F1024=""),"",F1025/F1024-1)</f>
        <v/>
      </c>
      <c r="O1025" s="19">
        <f>IF(OR(G1025="",G1024=""),"",G1025/G1024-1)</f>
        <v/>
      </c>
      <c r="P1025" s="22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IF(R1025="","",P1025/R1025)</f>
        <v/>
      </c>
      <c r="T1025" s="23">
        <f>IF(R1025="","",Q1025/R1025)</f>
        <v/>
      </c>
      <c r="U1025" s="24">
        <f>IF(SUMIFS('Daily NSE Equity Options'!$M:$M,'Daily NSE Equity Options'!$A:$A,$A1025)=0,"",SUMIFS('Daily NSE Equity Options'!$M:$M,'Daily NSE Equity Options'!$A:$A,$A1025))</f>
        <v/>
      </c>
      <c r="V1025" s="9">
        <f>IF(SUMIFS('Daily BSE Equity Options'!$M:$M,'Daily BSE Equity Options'!$A:$A,$A1025)=0,"",SUMIFS('Daily BSE Equity Options'!$M:$M,'Daily BSE Equity Options'!$A:$A,$A1025))</f>
        <v/>
      </c>
      <c r="W1025" s="9">
        <f>IF(OR(U1025="",V1025=""),"",U1025+V1025)</f>
        <v/>
      </c>
      <c r="X1025" s="25">
        <f>IF(W1025="","",U1025/W1025)</f>
        <v/>
      </c>
      <c r="Y1025" s="25">
        <f>IF(W1025="","",V1025/W1025)</f>
        <v/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19">
        <f>IF(G1026="","",E1026/G1026)</f>
        <v/>
      </c>
      <c r="I1026" s="19">
        <f>IF(G1026="","",F1026/G1026)</f>
        <v/>
      </c>
      <c r="J1026" s="26">
        <f>IFERROR(IF(OR(E1026="",INDEX(E:E,MATCH(DATE(YEAR($A1026)-1,MONTH($A1026),DAY($A1026)),$A:$A,0))=""),"",E1026/INDEX(E:E,MATCH(DATE(YEAR($A1026)-1,MONTH($A1026),DAY($A1026)),$A:$A,0))-1),"")</f>
        <v/>
      </c>
      <c r="K1026" s="19">
        <f>IFERROR(IF(OR(F1026="",INDEX(F:F,MATCH(DATE(YEAR($A1026)-1,MONTH($A1026),DAY($A1026)),$A:$A,0))=""),"",F1026/INDEX(F:F,MATCH(DATE(YEAR($A1026)-1,MONTH($A1026),DAY($A1026)),$A:$A,0))-1),"")</f>
        <v/>
      </c>
      <c r="L1026" s="19">
        <f>IFERROR(IF(OR(G1026="",INDEX(G:G,MATCH(DATE(YEAR($A1026)-1,MONTH($A1026),DAY($A1026)),$A:$A,0))=""),"",G1026/INDEX(G:G,MATCH(DATE(YEAR($A1026)-1,MONTH($A1026),DAY($A1026)),$A:$A,0))-1),"")</f>
        <v/>
      </c>
      <c r="M1026" s="19">
        <f>IF(OR(E1026="",E1025=""),"",E1026/E1025-1)</f>
        <v/>
      </c>
      <c r="N1026" s="19">
        <f>IF(OR(F1026="",F1025=""),"",F1026/F1025-1)</f>
        <v/>
      </c>
      <c r="O1026" s="19">
        <f>IF(OR(G1026="",G1025=""),"",G1026/G1025-1)</f>
        <v/>
      </c>
      <c r="P1026" s="22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IF(R1026="","",P1026/R1026)</f>
        <v/>
      </c>
      <c r="T1026" s="23">
        <f>IF(R1026="","",Q1026/R1026)</f>
        <v/>
      </c>
      <c r="U1026" s="24">
        <f>IF(SUMIFS('Daily NSE Equity Options'!$M:$M,'Daily NSE Equity Options'!$A:$A,$A1026)=0,"",SUMIFS('Daily NSE Equity Options'!$M:$M,'Daily NSE Equity Options'!$A:$A,$A1026))</f>
        <v/>
      </c>
      <c r="V1026" s="9">
        <f>IF(SUMIFS('Daily BSE Equity Options'!$M:$M,'Daily BSE Equity Options'!$A:$A,$A1026)=0,"",SUMIFS('Daily BSE Equity Options'!$M:$M,'Daily BSE Equity Options'!$A:$A,$A1026))</f>
        <v/>
      </c>
      <c r="W1026" s="9">
        <f>IF(OR(U1026="",V1026=""),"",U1026+V1026)</f>
        <v/>
      </c>
      <c r="X1026" s="25">
        <f>IF(W1026="","",U1026/W1026)</f>
        <v/>
      </c>
      <c r="Y1026" s="25">
        <f>IF(W1026="","",V1026/W1026)</f>
        <v/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19">
        <f>IF(G1027="","",E1027/G1027)</f>
        <v/>
      </c>
      <c r="I1027" s="19">
        <f>IF(G1027="","",F1027/G1027)</f>
        <v/>
      </c>
      <c r="J1027" s="26">
        <f>IFERROR(IF(OR(E1027="",INDEX(E:E,MATCH(DATE(YEAR($A1027)-1,MONTH($A1027),DAY($A1027)),$A:$A,0))=""),"",E1027/INDEX(E:E,MATCH(DATE(YEAR($A1027)-1,MONTH($A1027),DAY($A1027)),$A:$A,0))-1),"")</f>
        <v/>
      </c>
      <c r="K1027" s="19">
        <f>IFERROR(IF(OR(F1027="",INDEX(F:F,MATCH(DATE(YEAR($A1027)-1,MONTH($A1027),DAY($A1027)),$A:$A,0))=""),"",F1027/INDEX(F:F,MATCH(DATE(YEAR($A1027)-1,MONTH($A1027),DAY($A1027)),$A:$A,0))-1),"")</f>
        <v/>
      </c>
      <c r="L1027" s="19">
        <f>IFERROR(IF(OR(G1027="",INDEX(G:G,MATCH(DATE(YEAR($A1027)-1,MONTH($A1027),DAY($A1027)),$A:$A,0))=""),"",G1027/INDEX(G:G,MATCH(DATE(YEAR($A1027)-1,MONTH($A1027),DAY($A1027)),$A:$A,0))-1),"")</f>
        <v/>
      </c>
      <c r="M1027" s="19">
        <f>IF(OR(E1027="",E1026=""),"",E1027/E1026-1)</f>
        <v/>
      </c>
      <c r="N1027" s="19">
        <f>IF(OR(F1027="",F1026=""),"",F1027/F1026-1)</f>
        <v/>
      </c>
      <c r="O1027" s="19">
        <f>IF(OR(G1027="",G1026=""),"",G1027/G1026-1)</f>
        <v/>
      </c>
      <c r="P1027" s="22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IF(R1027="","",P1027/R1027)</f>
        <v/>
      </c>
      <c r="T1027" s="23">
        <f>IF(R1027="","",Q1027/R1027)</f>
        <v/>
      </c>
      <c r="U1027" s="24">
        <f>IF(SUMIFS('Daily NSE Equity Options'!$M:$M,'Daily NSE Equity Options'!$A:$A,$A1027)=0,"",SUMIFS('Daily NSE Equity Options'!$M:$M,'Daily NSE Equity Options'!$A:$A,$A1027))</f>
        <v/>
      </c>
      <c r="V1027" s="9">
        <f>IF(SUMIFS('Daily BSE Equity Options'!$M:$M,'Daily BSE Equity Options'!$A:$A,$A1027)=0,"",SUMIFS('Daily BSE Equity Options'!$M:$M,'Daily BSE Equity Options'!$A:$A,$A1027))</f>
        <v/>
      </c>
      <c r="W1027" s="9">
        <f>IF(OR(U1027="",V1027=""),"",U1027+V1027)</f>
        <v/>
      </c>
      <c r="X1027" s="25">
        <f>IF(W1027="","",U1027/W1027)</f>
        <v/>
      </c>
      <c r="Y1027" s="25">
        <f>IF(W1027="","",V1027/W1027)</f>
        <v/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19">
        <f>IF(G1028="","",E1028/G1028)</f>
        <v/>
      </c>
      <c r="I1028" s="19">
        <f>IF(G1028="","",F1028/G1028)</f>
        <v/>
      </c>
      <c r="J1028" s="26">
        <f>IFERROR(IF(OR(E1028="",INDEX(E:E,MATCH(DATE(YEAR($A1028)-1,MONTH($A1028),DAY($A1028)),$A:$A,0))=""),"",E1028/INDEX(E:E,MATCH(DATE(YEAR($A1028)-1,MONTH($A1028),DAY($A1028)),$A:$A,0))-1),"")</f>
        <v/>
      </c>
      <c r="K1028" s="19">
        <f>IFERROR(IF(OR(F1028="",INDEX(F:F,MATCH(DATE(YEAR($A1028)-1,MONTH($A1028),DAY($A1028)),$A:$A,0))=""),"",F1028/INDEX(F:F,MATCH(DATE(YEAR($A1028)-1,MONTH($A1028),DAY($A1028)),$A:$A,0))-1),"")</f>
        <v/>
      </c>
      <c r="L1028" s="19">
        <f>IFERROR(IF(OR(G1028="",INDEX(G:G,MATCH(DATE(YEAR($A1028)-1,MONTH($A1028),DAY($A1028)),$A:$A,0))=""),"",G1028/INDEX(G:G,MATCH(DATE(YEAR($A1028)-1,MONTH($A1028),DAY($A1028)),$A:$A,0))-1),"")</f>
        <v/>
      </c>
      <c r="M1028" s="19">
        <f>IF(OR(E1028="",E1027=""),"",E1028/E1027-1)</f>
        <v/>
      </c>
      <c r="N1028" s="19">
        <f>IF(OR(F1028="",F1027=""),"",F1028/F1027-1)</f>
        <v/>
      </c>
      <c r="O1028" s="19">
        <f>IF(OR(G1028="",G1027=""),"",G1028/G1027-1)</f>
        <v/>
      </c>
      <c r="P1028" s="22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IF(R1028="","",P1028/R1028)</f>
        <v/>
      </c>
      <c r="T1028" s="23">
        <f>IF(R1028="","",Q1028/R1028)</f>
        <v/>
      </c>
      <c r="U1028" s="24">
        <f>IF(SUMIFS('Daily NSE Equity Options'!$M:$M,'Daily NSE Equity Options'!$A:$A,$A1028)=0,"",SUMIFS('Daily NSE Equity Options'!$M:$M,'Daily NSE Equity Options'!$A:$A,$A1028))</f>
        <v/>
      </c>
      <c r="V1028" s="9">
        <f>IF(SUMIFS('Daily BSE Equity Options'!$M:$M,'Daily BSE Equity Options'!$A:$A,$A1028)=0,"",SUMIFS('Daily BSE Equity Options'!$M:$M,'Daily BSE Equity Options'!$A:$A,$A1028))</f>
        <v/>
      </c>
      <c r="W1028" s="9">
        <f>IF(OR(U1028="",V1028=""),"",U1028+V1028)</f>
        <v/>
      </c>
      <c r="X1028" s="25">
        <f>IF(W1028="","",U1028/W1028)</f>
        <v/>
      </c>
      <c r="Y1028" s="25">
        <f>IF(W1028="","",V1028/W1028)</f>
        <v/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19">
        <f>IF(G1029="","",E1029/G1029)</f>
        <v/>
      </c>
      <c r="I1029" s="19">
        <f>IF(G1029="","",F1029/G1029)</f>
        <v/>
      </c>
      <c r="J1029" s="26">
        <f>IFERROR(IF(OR(E1029="",INDEX(E:E,MATCH(DATE(YEAR($A1029)-1,MONTH($A1029),DAY($A1029)),$A:$A,0))=""),"",E1029/INDEX(E:E,MATCH(DATE(YEAR($A1029)-1,MONTH($A1029),DAY($A1029)),$A:$A,0))-1),"")</f>
        <v/>
      </c>
      <c r="K1029" s="19">
        <f>IFERROR(IF(OR(F1029="",INDEX(F:F,MATCH(DATE(YEAR($A1029)-1,MONTH($A1029),DAY($A1029)),$A:$A,0))=""),"",F1029/INDEX(F:F,MATCH(DATE(YEAR($A1029)-1,MONTH($A1029),DAY($A1029)),$A:$A,0))-1),"")</f>
        <v/>
      </c>
      <c r="L1029" s="19">
        <f>IFERROR(IF(OR(G1029="",INDEX(G:G,MATCH(DATE(YEAR($A1029)-1,MONTH($A1029),DAY($A1029)),$A:$A,0))=""),"",G1029/INDEX(G:G,MATCH(DATE(YEAR($A1029)-1,MONTH($A1029),DAY($A1029)),$A:$A,0))-1),"")</f>
        <v/>
      </c>
      <c r="M1029" s="19">
        <f>IF(OR(E1029="",E1028=""),"",E1029/E1028-1)</f>
        <v/>
      </c>
      <c r="N1029" s="19">
        <f>IF(OR(F1029="",F1028=""),"",F1029/F1028-1)</f>
        <v/>
      </c>
      <c r="O1029" s="19">
        <f>IF(OR(G1029="",G1028=""),"",G1029/G1028-1)</f>
        <v/>
      </c>
      <c r="P1029" s="22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IF(R1029="","",P1029/R1029)</f>
        <v/>
      </c>
      <c r="T1029" s="23">
        <f>IF(R1029="","",Q1029/R1029)</f>
        <v/>
      </c>
      <c r="U1029" s="24">
        <f>IF(SUMIFS('Daily NSE Equity Options'!$M:$M,'Daily NSE Equity Options'!$A:$A,$A1029)=0,"",SUMIFS('Daily NSE Equity Options'!$M:$M,'Daily NSE Equity Options'!$A:$A,$A1029))</f>
        <v/>
      </c>
      <c r="V1029" s="9">
        <f>IF(SUMIFS('Daily BSE Equity Options'!$M:$M,'Daily BSE Equity Options'!$A:$A,$A1029)=0,"",SUMIFS('Daily BSE Equity Options'!$M:$M,'Daily BSE Equity Options'!$A:$A,$A1029))</f>
        <v/>
      </c>
      <c r="W1029" s="9">
        <f>IF(OR(U1029="",V1029=""),"",U1029+V1029)</f>
        <v/>
      </c>
      <c r="X1029" s="25">
        <f>IF(W1029="","",U1029/W1029)</f>
        <v/>
      </c>
      <c r="Y1029" s="25">
        <f>IF(W1029="","",V1029/W1029)</f>
        <v/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19">
        <f>IF(G1030="","",E1030/G1030)</f>
        <v/>
      </c>
      <c r="I1030" s="19">
        <f>IF(G1030="","",F1030/G1030)</f>
        <v/>
      </c>
      <c r="J1030" s="26">
        <f>IFERROR(IF(OR(E1030="",INDEX(E:E,MATCH(DATE(YEAR($A1030)-1,MONTH($A1030),DAY($A1030)),$A:$A,0))=""),"",E1030/INDEX(E:E,MATCH(DATE(YEAR($A1030)-1,MONTH($A1030),DAY($A1030)),$A:$A,0))-1),"")</f>
        <v/>
      </c>
      <c r="K1030" s="19">
        <f>IFERROR(IF(OR(F1030="",INDEX(F:F,MATCH(DATE(YEAR($A1030)-1,MONTH($A1030),DAY($A1030)),$A:$A,0))=""),"",F1030/INDEX(F:F,MATCH(DATE(YEAR($A1030)-1,MONTH($A1030),DAY($A1030)),$A:$A,0))-1),"")</f>
        <v/>
      </c>
      <c r="L1030" s="19">
        <f>IFERROR(IF(OR(G1030="",INDEX(G:G,MATCH(DATE(YEAR($A1030)-1,MONTH($A1030),DAY($A1030)),$A:$A,0))=""),"",G1030/INDEX(G:G,MATCH(DATE(YEAR($A1030)-1,MONTH($A1030),DAY($A1030)),$A:$A,0))-1),"")</f>
        <v/>
      </c>
      <c r="M1030" s="19">
        <f>IF(OR(E1030="",E1029=""),"",E1030/E1029-1)</f>
        <v/>
      </c>
      <c r="N1030" s="19">
        <f>IF(OR(F1030="",F1029=""),"",F1030/F1029-1)</f>
        <v/>
      </c>
      <c r="O1030" s="19">
        <f>IF(OR(G1030="",G1029=""),"",G1030/G1029-1)</f>
        <v/>
      </c>
      <c r="P1030" s="22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IF(R1030="","",P1030/R1030)</f>
        <v/>
      </c>
      <c r="T1030" s="23">
        <f>IF(R1030="","",Q1030/R1030)</f>
        <v/>
      </c>
      <c r="U1030" s="24">
        <f>IF(SUMIFS('Daily NSE Equity Options'!$M:$M,'Daily NSE Equity Options'!$A:$A,$A1030)=0,"",SUMIFS('Daily NSE Equity Options'!$M:$M,'Daily NSE Equity Options'!$A:$A,$A1030))</f>
        <v/>
      </c>
      <c r="V1030" s="9">
        <f>IF(SUMIFS('Daily BSE Equity Options'!$M:$M,'Daily BSE Equity Options'!$A:$A,$A1030)=0,"",SUMIFS('Daily BSE Equity Options'!$M:$M,'Daily BSE Equity Options'!$A:$A,$A1030))</f>
        <v/>
      </c>
      <c r="W1030" s="9">
        <f>IF(OR(U1030="",V1030=""),"",U1030+V1030)</f>
        <v/>
      </c>
      <c r="X1030" s="25">
        <f>IF(W1030="","",U1030/W1030)</f>
        <v/>
      </c>
      <c r="Y1030" s="25">
        <f>IF(W1030="","",V1030/W1030)</f>
        <v/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19">
        <f>IF(G1031="","",E1031/G1031)</f>
        <v/>
      </c>
      <c r="I1031" s="19">
        <f>IF(G1031="","",F1031/G1031)</f>
        <v/>
      </c>
      <c r="J1031" s="26">
        <f>IFERROR(IF(OR(E1031="",INDEX(E:E,MATCH(DATE(YEAR($A1031)-1,MONTH($A1031),DAY($A1031)),$A:$A,0))=""),"",E1031/INDEX(E:E,MATCH(DATE(YEAR($A1031)-1,MONTH($A1031),DAY($A1031)),$A:$A,0))-1),"")</f>
        <v/>
      </c>
      <c r="K1031" s="19">
        <f>IFERROR(IF(OR(F1031="",INDEX(F:F,MATCH(DATE(YEAR($A1031)-1,MONTH($A1031),DAY($A1031)),$A:$A,0))=""),"",F1031/INDEX(F:F,MATCH(DATE(YEAR($A1031)-1,MONTH($A1031),DAY($A1031)),$A:$A,0))-1),"")</f>
        <v/>
      </c>
      <c r="L1031" s="19">
        <f>IFERROR(IF(OR(G1031="",INDEX(G:G,MATCH(DATE(YEAR($A1031)-1,MONTH($A1031),DAY($A1031)),$A:$A,0))=""),"",G1031/INDEX(G:G,MATCH(DATE(YEAR($A1031)-1,MONTH($A1031),DAY($A1031)),$A:$A,0))-1),"")</f>
        <v/>
      </c>
      <c r="M1031" s="19">
        <f>IF(OR(E1031="",E1030=""),"",E1031/E1030-1)</f>
        <v/>
      </c>
      <c r="N1031" s="19">
        <f>IF(OR(F1031="",F1030=""),"",F1031/F1030-1)</f>
        <v/>
      </c>
      <c r="O1031" s="19">
        <f>IF(OR(G1031="",G1030=""),"",G1031/G1030-1)</f>
        <v/>
      </c>
      <c r="P1031" s="22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IF(R1031="","",P1031/R1031)</f>
        <v/>
      </c>
      <c r="T1031" s="23">
        <f>IF(R1031="","",Q1031/R1031)</f>
        <v/>
      </c>
      <c r="U1031" s="24">
        <f>IF(SUMIFS('Daily NSE Equity Options'!$M:$M,'Daily NSE Equity Options'!$A:$A,$A1031)=0,"",SUMIFS('Daily NSE Equity Options'!$M:$M,'Daily NSE Equity Options'!$A:$A,$A1031))</f>
        <v/>
      </c>
      <c r="V1031" s="9">
        <f>IF(SUMIFS('Daily BSE Equity Options'!$M:$M,'Daily BSE Equity Options'!$A:$A,$A1031)=0,"",SUMIFS('Daily BSE Equity Options'!$M:$M,'Daily BSE Equity Options'!$A:$A,$A1031))</f>
        <v/>
      </c>
      <c r="W1031" s="9">
        <f>IF(OR(U1031="",V1031=""),"",U1031+V1031)</f>
        <v/>
      </c>
      <c r="X1031" s="25">
        <f>IF(W1031="","",U1031/W1031)</f>
        <v/>
      </c>
      <c r="Y1031" s="25">
        <f>IF(W1031="","",V1031/W1031)</f>
        <v/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19">
        <f>IF(G1032="","",E1032/G1032)</f>
        <v/>
      </c>
      <c r="I1032" s="19">
        <f>IF(G1032="","",F1032/G1032)</f>
        <v/>
      </c>
      <c r="J1032" s="26">
        <f>IFERROR(IF(OR(E1032="",INDEX(E:E,MATCH(DATE(YEAR($A1032)-1,MONTH($A1032),DAY($A1032)),$A:$A,0))=""),"",E1032/INDEX(E:E,MATCH(DATE(YEAR($A1032)-1,MONTH($A1032),DAY($A1032)),$A:$A,0))-1),"")</f>
        <v/>
      </c>
      <c r="K1032" s="19">
        <f>IFERROR(IF(OR(F1032="",INDEX(F:F,MATCH(DATE(YEAR($A1032)-1,MONTH($A1032),DAY($A1032)),$A:$A,0))=""),"",F1032/INDEX(F:F,MATCH(DATE(YEAR($A1032)-1,MONTH($A1032),DAY($A1032)),$A:$A,0))-1),"")</f>
        <v/>
      </c>
      <c r="L1032" s="19">
        <f>IFERROR(IF(OR(G1032="",INDEX(G:G,MATCH(DATE(YEAR($A1032)-1,MONTH($A1032),DAY($A1032)),$A:$A,0))=""),"",G1032/INDEX(G:G,MATCH(DATE(YEAR($A1032)-1,MONTH($A1032),DAY($A1032)),$A:$A,0))-1),"")</f>
        <v/>
      </c>
      <c r="M1032" s="19">
        <f>IF(OR(E1032="",E1031=""),"",E1032/E1031-1)</f>
        <v/>
      </c>
      <c r="N1032" s="19">
        <f>IF(OR(F1032="",F1031=""),"",F1032/F1031-1)</f>
        <v/>
      </c>
      <c r="O1032" s="19">
        <f>IF(OR(G1032="",G1031=""),"",G1032/G1031-1)</f>
        <v/>
      </c>
      <c r="P1032" s="22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IF(R1032="","",P1032/R1032)</f>
        <v/>
      </c>
      <c r="T1032" s="23">
        <f>IF(R1032="","",Q1032/R1032)</f>
        <v/>
      </c>
      <c r="U1032" s="24">
        <f>IF(SUMIFS('Daily NSE Equity Options'!$M:$M,'Daily NSE Equity Options'!$A:$A,$A1032)=0,"",SUMIFS('Daily NSE Equity Options'!$M:$M,'Daily NSE Equity Options'!$A:$A,$A1032))</f>
        <v/>
      </c>
      <c r="V1032" s="9">
        <f>IF(SUMIFS('Daily BSE Equity Options'!$M:$M,'Daily BSE Equity Options'!$A:$A,$A1032)=0,"",SUMIFS('Daily BSE Equity Options'!$M:$M,'Daily BSE Equity Options'!$A:$A,$A1032))</f>
        <v/>
      </c>
      <c r="W1032" s="9">
        <f>IF(OR(U1032="",V1032=""),"",U1032+V1032)</f>
        <v/>
      </c>
      <c r="X1032" s="25">
        <f>IF(W1032="","",U1032/W1032)</f>
        <v/>
      </c>
      <c r="Y1032" s="25">
        <f>IF(W1032="","",V1032/W1032)</f>
        <v/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19">
        <f>IF(G1033="","",E1033/G1033)</f>
        <v/>
      </c>
      <c r="I1033" s="19">
        <f>IF(G1033="","",F1033/G1033)</f>
        <v/>
      </c>
      <c r="J1033" s="26">
        <f>IFERROR(IF(OR(E1033="",INDEX(E:E,MATCH(DATE(YEAR($A1033)-1,MONTH($A1033),DAY($A1033)),$A:$A,0))=""),"",E1033/INDEX(E:E,MATCH(DATE(YEAR($A1033)-1,MONTH($A1033),DAY($A1033)),$A:$A,0))-1),"")</f>
        <v/>
      </c>
      <c r="K1033" s="19">
        <f>IFERROR(IF(OR(F1033="",INDEX(F:F,MATCH(DATE(YEAR($A1033)-1,MONTH($A1033),DAY($A1033)),$A:$A,0))=""),"",F1033/INDEX(F:F,MATCH(DATE(YEAR($A1033)-1,MONTH($A1033),DAY($A1033)),$A:$A,0))-1),"")</f>
        <v/>
      </c>
      <c r="L1033" s="19">
        <f>IFERROR(IF(OR(G1033="",INDEX(G:G,MATCH(DATE(YEAR($A1033)-1,MONTH($A1033),DAY($A1033)),$A:$A,0))=""),"",G1033/INDEX(G:G,MATCH(DATE(YEAR($A1033)-1,MONTH($A1033),DAY($A1033)),$A:$A,0))-1),"")</f>
        <v/>
      </c>
      <c r="M1033" s="19">
        <f>IF(OR(E1033="",E1032=""),"",E1033/E1032-1)</f>
        <v/>
      </c>
      <c r="N1033" s="19">
        <f>IF(OR(F1033="",F1032=""),"",F1033/F1032-1)</f>
        <v/>
      </c>
      <c r="O1033" s="19">
        <f>IF(OR(G1033="",G1032=""),"",G1033/G1032-1)</f>
        <v/>
      </c>
      <c r="P1033" s="22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IF(R1033="","",P1033/R1033)</f>
        <v/>
      </c>
      <c r="T1033" s="23">
        <f>IF(R1033="","",Q1033/R1033)</f>
        <v/>
      </c>
      <c r="U1033" s="24">
        <f>IF(SUMIFS('Daily NSE Equity Options'!$M:$M,'Daily NSE Equity Options'!$A:$A,$A1033)=0,"",SUMIFS('Daily NSE Equity Options'!$M:$M,'Daily NSE Equity Options'!$A:$A,$A1033))</f>
        <v/>
      </c>
      <c r="V1033" s="9">
        <f>IF(SUMIFS('Daily BSE Equity Options'!$M:$M,'Daily BSE Equity Options'!$A:$A,$A1033)=0,"",SUMIFS('Daily BSE Equity Options'!$M:$M,'Daily BSE Equity Options'!$A:$A,$A1033))</f>
        <v/>
      </c>
      <c r="W1033" s="9">
        <f>IF(OR(U1033="",V1033=""),"",U1033+V1033)</f>
        <v/>
      </c>
      <c r="X1033" s="25">
        <f>IF(W1033="","",U1033/W1033)</f>
        <v/>
      </c>
      <c r="Y1033" s="25">
        <f>IF(W1033="","",V1033/W1033)</f>
        <v/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19">
        <f>IF(G1034="","",E1034/G1034)</f>
        <v/>
      </c>
      <c r="I1034" s="19">
        <f>IF(G1034="","",F1034/G1034)</f>
        <v/>
      </c>
      <c r="J1034" s="26">
        <f>IFERROR(IF(OR(E1034="",INDEX(E:E,MATCH(DATE(YEAR($A1034)-1,MONTH($A1034),DAY($A1034)),$A:$A,0))=""),"",E1034/INDEX(E:E,MATCH(DATE(YEAR($A1034)-1,MONTH($A1034),DAY($A1034)),$A:$A,0))-1),"")</f>
        <v/>
      </c>
      <c r="K1034" s="19">
        <f>IFERROR(IF(OR(F1034="",INDEX(F:F,MATCH(DATE(YEAR($A1034)-1,MONTH($A1034),DAY($A1034)),$A:$A,0))=""),"",F1034/INDEX(F:F,MATCH(DATE(YEAR($A1034)-1,MONTH($A1034),DAY($A1034)),$A:$A,0))-1),"")</f>
        <v/>
      </c>
      <c r="L1034" s="19">
        <f>IFERROR(IF(OR(G1034="",INDEX(G:G,MATCH(DATE(YEAR($A1034)-1,MONTH($A1034),DAY($A1034)),$A:$A,0))=""),"",G1034/INDEX(G:G,MATCH(DATE(YEAR($A1034)-1,MONTH($A1034),DAY($A1034)),$A:$A,0))-1),"")</f>
        <v/>
      </c>
      <c r="M1034" s="19">
        <f>IF(OR(E1034="",E1033=""),"",E1034/E1033-1)</f>
        <v/>
      </c>
      <c r="N1034" s="19">
        <f>IF(OR(F1034="",F1033=""),"",F1034/F1033-1)</f>
        <v/>
      </c>
      <c r="O1034" s="19">
        <f>IF(OR(G1034="",G1033=""),"",G1034/G1033-1)</f>
        <v/>
      </c>
      <c r="P1034" s="22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IF(R1034="","",P1034/R1034)</f>
        <v/>
      </c>
      <c r="T1034" s="23">
        <f>IF(R1034="","",Q1034/R1034)</f>
        <v/>
      </c>
      <c r="U1034" s="24">
        <f>IF(SUMIFS('Daily NSE Equity Options'!$M:$M,'Daily NSE Equity Options'!$A:$A,$A1034)=0,"",SUMIFS('Daily NSE Equity Options'!$M:$M,'Daily NSE Equity Options'!$A:$A,$A1034))</f>
        <v/>
      </c>
      <c r="V1034" s="9">
        <f>IF(SUMIFS('Daily BSE Equity Options'!$M:$M,'Daily BSE Equity Options'!$A:$A,$A1034)=0,"",SUMIFS('Daily BSE Equity Options'!$M:$M,'Daily BSE Equity Options'!$A:$A,$A1034))</f>
        <v/>
      </c>
      <c r="W1034" s="9">
        <f>IF(OR(U1034="",V1034=""),"",U1034+V1034)</f>
        <v/>
      </c>
      <c r="X1034" s="25">
        <f>IF(W1034="","",U1034/W1034)</f>
        <v/>
      </c>
      <c r="Y1034" s="25">
        <f>IF(W1034="","",V1034/W1034)</f>
        <v/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19">
        <f>IF(G1035="","",E1035/G1035)</f>
        <v/>
      </c>
      <c r="I1035" s="19">
        <f>IF(G1035="","",F1035/G1035)</f>
        <v/>
      </c>
      <c r="J1035" s="26">
        <f>IFERROR(IF(OR(E1035="",INDEX(E:E,MATCH(DATE(YEAR($A1035)-1,MONTH($A1035),DAY($A1035)),$A:$A,0))=""),"",E1035/INDEX(E:E,MATCH(DATE(YEAR($A1035)-1,MONTH($A1035),DAY($A1035)),$A:$A,0))-1),"")</f>
        <v/>
      </c>
      <c r="K1035" s="19">
        <f>IFERROR(IF(OR(F1035="",INDEX(F:F,MATCH(DATE(YEAR($A1035)-1,MONTH($A1035),DAY($A1035)),$A:$A,0))=""),"",F1035/INDEX(F:F,MATCH(DATE(YEAR($A1035)-1,MONTH($A1035),DAY($A1035)),$A:$A,0))-1),"")</f>
        <v/>
      </c>
      <c r="L1035" s="19">
        <f>IFERROR(IF(OR(G1035="",INDEX(G:G,MATCH(DATE(YEAR($A1035)-1,MONTH($A1035),DAY($A1035)),$A:$A,0))=""),"",G1035/INDEX(G:G,MATCH(DATE(YEAR($A1035)-1,MONTH($A1035),DAY($A1035)),$A:$A,0))-1),"")</f>
        <v/>
      </c>
      <c r="M1035" s="19">
        <f>IF(OR(E1035="",E1034=""),"",E1035/E1034-1)</f>
        <v/>
      </c>
      <c r="N1035" s="19">
        <f>IF(OR(F1035="",F1034=""),"",F1035/F1034-1)</f>
        <v/>
      </c>
      <c r="O1035" s="19">
        <f>IF(OR(G1035="",G1034=""),"",G1035/G1034-1)</f>
        <v/>
      </c>
      <c r="P1035" s="22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IF(R1035="","",P1035/R1035)</f>
        <v/>
      </c>
      <c r="T1035" s="23">
        <f>IF(R1035="","",Q1035/R1035)</f>
        <v/>
      </c>
      <c r="U1035" s="24">
        <f>IF(SUMIFS('Daily NSE Equity Options'!$M:$M,'Daily NSE Equity Options'!$A:$A,$A1035)=0,"",SUMIFS('Daily NSE Equity Options'!$M:$M,'Daily NSE Equity Options'!$A:$A,$A1035))</f>
        <v/>
      </c>
      <c r="V1035" s="9">
        <f>IF(SUMIFS('Daily BSE Equity Options'!$M:$M,'Daily BSE Equity Options'!$A:$A,$A1035)=0,"",SUMIFS('Daily BSE Equity Options'!$M:$M,'Daily BSE Equity Options'!$A:$A,$A1035))</f>
        <v/>
      </c>
      <c r="W1035" s="9">
        <f>IF(OR(U1035="",V1035=""),"",U1035+V1035)</f>
        <v/>
      </c>
      <c r="X1035" s="25">
        <f>IF(W1035="","",U1035/W1035)</f>
        <v/>
      </c>
      <c r="Y1035" s="25">
        <f>IF(W1035="","",V1035/W1035)</f>
        <v/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19">
        <f>IF(G1036="","",E1036/G1036)</f>
        <v/>
      </c>
      <c r="I1036" s="19">
        <f>IF(G1036="","",F1036/G1036)</f>
        <v/>
      </c>
      <c r="J1036" s="26">
        <f>IFERROR(IF(OR(E1036="",INDEX(E:E,MATCH(DATE(YEAR($A1036)-1,MONTH($A1036),DAY($A1036)),$A:$A,0))=""),"",E1036/INDEX(E:E,MATCH(DATE(YEAR($A1036)-1,MONTH($A1036),DAY($A1036)),$A:$A,0))-1),"")</f>
        <v/>
      </c>
      <c r="K1036" s="19">
        <f>IFERROR(IF(OR(F1036="",INDEX(F:F,MATCH(DATE(YEAR($A1036)-1,MONTH($A1036),DAY($A1036)),$A:$A,0))=""),"",F1036/INDEX(F:F,MATCH(DATE(YEAR($A1036)-1,MONTH($A1036),DAY($A1036)),$A:$A,0))-1),"")</f>
        <v/>
      </c>
      <c r="L1036" s="19">
        <f>IFERROR(IF(OR(G1036="",INDEX(G:G,MATCH(DATE(YEAR($A1036)-1,MONTH($A1036),DAY($A1036)),$A:$A,0))=""),"",G1036/INDEX(G:G,MATCH(DATE(YEAR($A1036)-1,MONTH($A1036),DAY($A1036)),$A:$A,0))-1),"")</f>
        <v/>
      </c>
      <c r="M1036" s="19">
        <f>IF(OR(E1036="",E1035=""),"",E1036/E1035-1)</f>
        <v/>
      </c>
      <c r="N1036" s="19">
        <f>IF(OR(F1036="",F1035=""),"",F1036/F1035-1)</f>
        <v/>
      </c>
      <c r="O1036" s="19">
        <f>IF(OR(G1036="",G1035=""),"",G1036/G1035-1)</f>
        <v/>
      </c>
      <c r="P1036" s="22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IF(R1036="","",P1036/R1036)</f>
        <v/>
      </c>
      <c r="T1036" s="23">
        <f>IF(R1036="","",Q1036/R1036)</f>
        <v/>
      </c>
      <c r="U1036" s="24">
        <f>IF(SUMIFS('Daily NSE Equity Options'!$M:$M,'Daily NSE Equity Options'!$A:$A,$A1036)=0,"",SUMIFS('Daily NSE Equity Options'!$M:$M,'Daily NSE Equity Options'!$A:$A,$A1036))</f>
        <v/>
      </c>
      <c r="V1036" s="9">
        <f>IF(SUMIFS('Daily BSE Equity Options'!$M:$M,'Daily BSE Equity Options'!$A:$A,$A1036)=0,"",SUMIFS('Daily BSE Equity Options'!$M:$M,'Daily BSE Equity Options'!$A:$A,$A1036))</f>
        <v/>
      </c>
      <c r="W1036" s="9">
        <f>IF(OR(U1036="",V1036=""),"",U1036+V1036)</f>
        <v/>
      </c>
      <c r="X1036" s="25">
        <f>IF(W1036="","",U1036/W1036)</f>
        <v/>
      </c>
      <c r="Y1036" s="25">
        <f>IF(W1036="","",V1036/W1036)</f>
        <v/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19">
        <f>IF(G1037="","",E1037/G1037)</f>
        <v/>
      </c>
      <c r="I1037" s="19">
        <f>IF(G1037="","",F1037/G1037)</f>
        <v/>
      </c>
      <c r="J1037" s="26">
        <f>IFERROR(IF(OR(E1037="",INDEX(E:E,MATCH(DATE(YEAR($A1037)-1,MONTH($A1037),DAY($A1037)),$A:$A,0))=""),"",E1037/INDEX(E:E,MATCH(DATE(YEAR($A1037)-1,MONTH($A1037),DAY($A1037)),$A:$A,0))-1),"")</f>
        <v/>
      </c>
      <c r="K1037" s="19">
        <f>IFERROR(IF(OR(F1037="",INDEX(F:F,MATCH(DATE(YEAR($A1037)-1,MONTH($A1037),DAY($A1037)),$A:$A,0))=""),"",F1037/INDEX(F:F,MATCH(DATE(YEAR($A1037)-1,MONTH($A1037),DAY($A1037)),$A:$A,0))-1),"")</f>
        <v/>
      </c>
      <c r="L1037" s="19">
        <f>IFERROR(IF(OR(G1037="",INDEX(G:G,MATCH(DATE(YEAR($A1037)-1,MONTH($A1037),DAY($A1037)),$A:$A,0))=""),"",G1037/INDEX(G:G,MATCH(DATE(YEAR($A1037)-1,MONTH($A1037),DAY($A1037)),$A:$A,0))-1),"")</f>
        <v/>
      </c>
      <c r="M1037" s="19">
        <f>IF(OR(E1037="",E1036=""),"",E1037/E1036-1)</f>
        <v/>
      </c>
      <c r="N1037" s="19">
        <f>IF(OR(F1037="",F1036=""),"",F1037/F1036-1)</f>
        <v/>
      </c>
      <c r="O1037" s="19">
        <f>IF(OR(G1037="",G1036=""),"",G1037/G1036-1)</f>
        <v/>
      </c>
      <c r="P1037" s="22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IF(R1037="","",P1037/R1037)</f>
        <v/>
      </c>
      <c r="T1037" s="23">
        <f>IF(R1037="","",Q1037/R1037)</f>
        <v/>
      </c>
      <c r="U1037" s="24">
        <f>IF(SUMIFS('Daily NSE Equity Options'!$M:$M,'Daily NSE Equity Options'!$A:$A,$A1037)=0,"",SUMIFS('Daily NSE Equity Options'!$M:$M,'Daily NSE Equity Options'!$A:$A,$A1037))</f>
        <v/>
      </c>
      <c r="V1037" s="9">
        <f>IF(SUMIFS('Daily BSE Equity Options'!$M:$M,'Daily BSE Equity Options'!$A:$A,$A1037)=0,"",SUMIFS('Daily BSE Equity Options'!$M:$M,'Daily BSE Equity Options'!$A:$A,$A1037))</f>
        <v/>
      </c>
      <c r="W1037" s="9">
        <f>IF(OR(U1037="",V1037=""),"",U1037+V1037)</f>
        <v/>
      </c>
      <c r="X1037" s="25">
        <f>IF(W1037="","",U1037/W1037)</f>
        <v/>
      </c>
      <c r="Y1037" s="25">
        <f>IF(W1037="","",V1037/W1037)</f>
        <v/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19">
        <f>IF(G1038="","",E1038/G1038)</f>
        <v/>
      </c>
      <c r="I1038" s="19">
        <f>IF(G1038="","",F1038/G1038)</f>
        <v/>
      </c>
      <c r="J1038" s="26">
        <f>IFERROR(IF(OR(E1038="",INDEX(E:E,MATCH(DATE(YEAR($A1038)-1,MONTH($A1038),DAY($A1038)),$A:$A,0))=""),"",E1038/INDEX(E:E,MATCH(DATE(YEAR($A1038)-1,MONTH($A1038),DAY($A1038)),$A:$A,0))-1),"")</f>
        <v/>
      </c>
      <c r="K1038" s="19">
        <f>IFERROR(IF(OR(F1038="",INDEX(F:F,MATCH(DATE(YEAR($A1038)-1,MONTH($A1038),DAY($A1038)),$A:$A,0))=""),"",F1038/INDEX(F:F,MATCH(DATE(YEAR($A1038)-1,MONTH($A1038),DAY($A1038)),$A:$A,0))-1),"")</f>
        <v/>
      </c>
      <c r="L1038" s="19">
        <f>IFERROR(IF(OR(G1038="",INDEX(G:G,MATCH(DATE(YEAR($A1038)-1,MONTH($A1038),DAY($A1038)),$A:$A,0))=""),"",G1038/INDEX(G:G,MATCH(DATE(YEAR($A1038)-1,MONTH($A1038),DAY($A1038)),$A:$A,0))-1),"")</f>
        <v/>
      </c>
      <c r="M1038" s="19">
        <f>IF(OR(E1038="",E1037=""),"",E1038/E1037-1)</f>
        <v/>
      </c>
      <c r="N1038" s="19">
        <f>IF(OR(F1038="",F1037=""),"",F1038/F1037-1)</f>
        <v/>
      </c>
      <c r="O1038" s="19">
        <f>IF(OR(G1038="",G1037=""),"",G1038/G1037-1)</f>
        <v/>
      </c>
      <c r="P1038" s="22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IF(R1038="","",P1038/R1038)</f>
        <v/>
      </c>
      <c r="T1038" s="23">
        <f>IF(R1038="","",Q1038/R1038)</f>
        <v/>
      </c>
      <c r="U1038" s="24">
        <f>IF(SUMIFS('Daily NSE Equity Options'!$M:$M,'Daily NSE Equity Options'!$A:$A,$A1038)=0,"",SUMIFS('Daily NSE Equity Options'!$M:$M,'Daily NSE Equity Options'!$A:$A,$A1038))</f>
        <v/>
      </c>
      <c r="V1038" s="9">
        <f>IF(SUMIFS('Daily BSE Equity Options'!$M:$M,'Daily BSE Equity Options'!$A:$A,$A1038)=0,"",SUMIFS('Daily BSE Equity Options'!$M:$M,'Daily BSE Equity Options'!$A:$A,$A1038))</f>
        <v/>
      </c>
      <c r="W1038" s="9">
        <f>IF(OR(U1038="",V1038=""),"",U1038+V1038)</f>
        <v/>
      </c>
      <c r="X1038" s="25">
        <f>IF(W1038="","",U1038/W1038)</f>
        <v/>
      </c>
      <c r="Y1038" s="25">
        <f>IF(W1038="","",V1038/W1038)</f>
        <v/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19">
        <f>IF(G1039="","",E1039/G1039)</f>
        <v/>
      </c>
      <c r="I1039" s="19">
        <f>IF(G1039="","",F1039/G1039)</f>
        <v/>
      </c>
      <c r="J1039" s="26">
        <f>IFERROR(IF(OR(E1039="",INDEX(E:E,MATCH(DATE(YEAR($A1039)-1,MONTH($A1039),DAY($A1039)),$A:$A,0))=""),"",E1039/INDEX(E:E,MATCH(DATE(YEAR($A1039)-1,MONTH($A1039),DAY($A1039)),$A:$A,0))-1),"")</f>
        <v/>
      </c>
      <c r="K1039" s="19">
        <f>IFERROR(IF(OR(F1039="",INDEX(F:F,MATCH(DATE(YEAR($A1039)-1,MONTH($A1039),DAY($A1039)),$A:$A,0))=""),"",F1039/INDEX(F:F,MATCH(DATE(YEAR($A1039)-1,MONTH($A1039),DAY($A1039)),$A:$A,0))-1),"")</f>
        <v/>
      </c>
      <c r="L1039" s="19">
        <f>IFERROR(IF(OR(G1039="",INDEX(G:G,MATCH(DATE(YEAR($A1039)-1,MONTH($A1039),DAY($A1039)),$A:$A,0))=""),"",G1039/INDEX(G:G,MATCH(DATE(YEAR($A1039)-1,MONTH($A1039),DAY($A1039)),$A:$A,0))-1),"")</f>
        <v/>
      </c>
      <c r="M1039" s="19">
        <f>IF(OR(E1039="",E1038=""),"",E1039/E1038-1)</f>
        <v/>
      </c>
      <c r="N1039" s="19">
        <f>IF(OR(F1039="",F1038=""),"",F1039/F1038-1)</f>
        <v/>
      </c>
      <c r="O1039" s="19">
        <f>IF(OR(G1039="",G1038=""),"",G1039/G1038-1)</f>
        <v/>
      </c>
      <c r="P1039" s="22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IF(R1039="","",P1039/R1039)</f>
        <v/>
      </c>
      <c r="T1039" s="23">
        <f>IF(R1039="","",Q1039/R1039)</f>
        <v/>
      </c>
      <c r="U1039" s="24">
        <f>IF(SUMIFS('Daily NSE Equity Options'!$M:$M,'Daily NSE Equity Options'!$A:$A,$A1039)=0,"",SUMIFS('Daily NSE Equity Options'!$M:$M,'Daily NSE Equity Options'!$A:$A,$A1039))</f>
        <v/>
      </c>
      <c r="V1039" s="9">
        <f>IF(SUMIFS('Daily BSE Equity Options'!$M:$M,'Daily BSE Equity Options'!$A:$A,$A1039)=0,"",SUMIFS('Daily BSE Equity Options'!$M:$M,'Daily BSE Equity Options'!$A:$A,$A1039))</f>
        <v/>
      </c>
      <c r="W1039" s="9">
        <f>IF(OR(U1039="",V1039=""),"",U1039+V1039)</f>
        <v/>
      </c>
      <c r="X1039" s="25">
        <f>IF(W1039="","",U1039/W1039)</f>
        <v/>
      </c>
      <c r="Y1039" s="25">
        <f>IF(W1039="","",V1039/W1039)</f>
        <v/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19">
        <f>IF(G1040="","",E1040/G1040)</f>
        <v/>
      </c>
      <c r="I1040" s="19">
        <f>IF(G1040="","",F1040/G1040)</f>
        <v/>
      </c>
      <c r="J1040" s="26">
        <f>IFERROR(IF(OR(E1040="",INDEX(E:E,MATCH(DATE(YEAR($A1040)-1,MONTH($A1040),DAY($A1040)),$A:$A,0))=""),"",E1040/INDEX(E:E,MATCH(DATE(YEAR($A1040)-1,MONTH($A1040),DAY($A1040)),$A:$A,0))-1),"")</f>
        <v/>
      </c>
      <c r="K1040" s="19">
        <f>IFERROR(IF(OR(F1040="",INDEX(F:F,MATCH(DATE(YEAR($A1040)-1,MONTH($A1040),DAY($A1040)),$A:$A,0))=""),"",F1040/INDEX(F:F,MATCH(DATE(YEAR($A1040)-1,MONTH($A1040),DAY($A1040)),$A:$A,0))-1),"")</f>
        <v/>
      </c>
      <c r="L1040" s="19">
        <f>IFERROR(IF(OR(G1040="",INDEX(G:G,MATCH(DATE(YEAR($A1040)-1,MONTH($A1040),DAY($A1040)),$A:$A,0))=""),"",G1040/INDEX(G:G,MATCH(DATE(YEAR($A1040)-1,MONTH($A1040),DAY($A1040)),$A:$A,0))-1),"")</f>
        <v/>
      </c>
      <c r="M1040" s="19">
        <f>IF(OR(E1040="",E1039=""),"",E1040/E1039-1)</f>
        <v/>
      </c>
      <c r="N1040" s="19">
        <f>IF(OR(F1040="",F1039=""),"",F1040/F1039-1)</f>
        <v/>
      </c>
      <c r="O1040" s="19">
        <f>IF(OR(G1040="",G1039=""),"",G1040/G1039-1)</f>
        <v/>
      </c>
      <c r="P1040" s="22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IF(R1040="","",P1040/R1040)</f>
        <v/>
      </c>
      <c r="T1040" s="23">
        <f>IF(R1040="","",Q1040/R1040)</f>
        <v/>
      </c>
      <c r="U1040" s="24">
        <f>IF(SUMIFS('Daily NSE Equity Options'!$M:$M,'Daily NSE Equity Options'!$A:$A,$A1040)=0,"",SUMIFS('Daily NSE Equity Options'!$M:$M,'Daily NSE Equity Options'!$A:$A,$A1040))</f>
        <v/>
      </c>
      <c r="V1040" s="9">
        <f>IF(SUMIFS('Daily BSE Equity Options'!$M:$M,'Daily BSE Equity Options'!$A:$A,$A1040)=0,"",SUMIFS('Daily BSE Equity Options'!$M:$M,'Daily BSE Equity Options'!$A:$A,$A1040))</f>
        <v/>
      </c>
      <c r="W1040" s="9">
        <f>IF(OR(U1040="",V1040=""),"",U1040+V1040)</f>
        <v/>
      </c>
      <c r="X1040" s="25">
        <f>IF(W1040="","",U1040/W1040)</f>
        <v/>
      </c>
      <c r="Y1040" s="25">
        <f>IF(W1040="","",V1040/W1040)</f>
        <v/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19">
        <f>IF(G1041="","",E1041/G1041)</f>
        <v/>
      </c>
      <c r="I1041" s="19">
        <f>IF(G1041="","",F1041/G1041)</f>
        <v/>
      </c>
      <c r="J1041" s="26">
        <f>IFERROR(IF(OR(E1041="",INDEX(E:E,MATCH(DATE(YEAR($A1041)-1,MONTH($A1041),DAY($A1041)),$A:$A,0))=""),"",E1041/INDEX(E:E,MATCH(DATE(YEAR($A1041)-1,MONTH($A1041),DAY($A1041)),$A:$A,0))-1),"")</f>
        <v/>
      </c>
      <c r="K1041" s="19">
        <f>IFERROR(IF(OR(F1041="",INDEX(F:F,MATCH(DATE(YEAR($A1041)-1,MONTH($A1041),DAY($A1041)),$A:$A,0))=""),"",F1041/INDEX(F:F,MATCH(DATE(YEAR($A1041)-1,MONTH($A1041),DAY($A1041)),$A:$A,0))-1),"")</f>
        <v/>
      </c>
      <c r="L1041" s="19">
        <f>IFERROR(IF(OR(G1041="",INDEX(G:G,MATCH(DATE(YEAR($A1041)-1,MONTH($A1041),DAY($A1041)),$A:$A,0))=""),"",G1041/INDEX(G:G,MATCH(DATE(YEAR($A1041)-1,MONTH($A1041),DAY($A1041)),$A:$A,0))-1),"")</f>
        <v/>
      </c>
      <c r="M1041" s="19">
        <f>IF(OR(E1041="",E1040=""),"",E1041/E1040-1)</f>
        <v/>
      </c>
      <c r="N1041" s="19">
        <f>IF(OR(F1041="",F1040=""),"",F1041/F1040-1)</f>
        <v/>
      </c>
      <c r="O1041" s="19">
        <f>IF(OR(G1041="",G1040=""),"",G1041/G1040-1)</f>
        <v/>
      </c>
      <c r="P1041" s="22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IF(R1041="","",P1041/R1041)</f>
        <v/>
      </c>
      <c r="T1041" s="23">
        <f>IF(R1041="","",Q1041/R1041)</f>
        <v/>
      </c>
      <c r="U1041" s="24">
        <f>IF(SUMIFS('Daily NSE Equity Options'!$M:$M,'Daily NSE Equity Options'!$A:$A,$A1041)=0,"",SUMIFS('Daily NSE Equity Options'!$M:$M,'Daily NSE Equity Options'!$A:$A,$A1041))</f>
        <v/>
      </c>
      <c r="V1041" s="9">
        <f>IF(SUMIFS('Daily BSE Equity Options'!$M:$M,'Daily BSE Equity Options'!$A:$A,$A1041)=0,"",SUMIFS('Daily BSE Equity Options'!$M:$M,'Daily BSE Equity Options'!$A:$A,$A1041))</f>
        <v/>
      </c>
      <c r="W1041" s="9">
        <f>IF(OR(U1041="",V1041=""),"",U1041+V1041)</f>
        <v/>
      </c>
      <c r="X1041" s="25">
        <f>IF(W1041="","",U1041/W1041)</f>
        <v/>
      </c>
      <c r="Y1041" s="25">
        <f>IF(W1041="","",V1041/W1041)</f>
        <v/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19">
        <f>IF(G1042="","",E1042/G1042)</f>
        <v/>
      </c>
      <c r="I1042" s="19">
        <f>IF(G1042="","",F1042/G1042)</f>
        <v/>
      </c>
      <c r="J1042" s="26">
        <f>IFERROR(IF(OR(E1042="",INDEX(E:E,MATCH(DATE(YEAR($A1042)-1,MONTH($A1042),DAY($A1042)),$A:$A,0))=""),"",E1042/INDEX(E:E,MATCH(DATE(YEAR($A1042)-1,MONTH($A1042),DAY($A1042)),$A:$A,0))-1),"")</f>
        <v/>
      </c>
      <c r="K1042" s="19">
        <f>IFERROR(IF(OR(F1042="",INDEX(F:F,MATCH(DATE(YEAR($A1042)-1,MONTH($A1042),DAY($A1042)),$A:$A,0))=""),"",F1042/INDEX(F:F,MATCH(DATE(YEAR($A1042)-1,MONTH($A1042),DAY($A1042)),$A:$A,0))-1),"")</f>
        <v/>
      </c>
      <c r="L1042" s="19">
        <f>IFERROR(IF(OR(G1042="",INDEX(G:G,MATCH(DATE(YEAR($A1042)-1,MONTH($A1042),DAY($A1042)),$A:$A,0))=""),"",G1042/INDEX(G:G,MATCH(DATE(YEAR($A1042)-1,MONTH($A1042),DAY($A1042)),$A:$A,0))-1),"")</f>
        <v/>
      </c>
      <c r="M1042" s="19">
        <f>IF(OR(E1042="",E1041=""),"",E1042/E1041-1)</f>
        <v/>
      </c>
      <c r="N1042" s="19">
        <f>IF(OR(F1042="",F1041=""),"",F1042/F1041-1)</f>
        <v/>
      </c>
      <c r="O1042" s="19">
        <f>IF(OR(G1042="",G1041=""),"",G1042/G1041-1)</f>
        <v/>
      </c>
      <c r="P1042" s="22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IF(R1042="","",P1042/R1042)</f>
        <v/>
      </c>
      <c r="T1042" s="23">
        <f>IF(R1042="","",Q1042/R1042)</f>
        <v/>
      </c>
      <c r="U1042" s="24">
        <f>IF(SUMIFS('Daily NSE Equity Options'!$M:$M,'Daily NSE Equity Options'!$A:$A,$A1042)=0,"",SUMIFS('Daily NSE Equity Options'!$M:$M,'Daily NSE Equity Options'!$A:$A,$A1042))</f>
        <v/>
      </c>
      <c r="V1042" s="9">
        <f>IF(SUMIFS('Daily BSE Equity Options'!$M:$M,'Daily BSE Equity Options'!$A:$A,$A1042)=0,"",SUMIFS('Daily BSE Equity Options'!$M:$M,'Daily BSE Equity Options'!$A:$A,$A1042))</f>
        <v/>
      </c>
      <c r="W1042" s="9">
        <f>IF(OR(U1042="",V1042=""),"",U1042+V1042)</f>
        <v/>
      </c>
      <c r="X1042" s="25">
        <f>IF(W1042="","",U1042/W1042)</f>
        <v/>
      </c>
      <c r="Y1042" s="25">
        <f>IF(W1042="","",V1042/W1042)</f>
        <v/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19">
        <f>IF(G1043="","",E1043/G1043)</f>
        <v/>
      </c>
      <c r="I1043" s="19">
        <f>IF(G1043="","",F1043/G1043)</f>
        <v/>
      </c>
      <c r="J1043" s="26">
        <f>IFERROR(IF(OR(E1043="",INDEX(E:E,MATCH(DATE(YEAR($A1043)-1,MONTH($A1043),DAY($A1043)),$A:$A,0))=""),"",E1043/INDEX(E:E,MATCH(DATE(YEAR($A1043)-1,MONTH($A1043),DAY($A1043)),$A:$A,0))-1),"")</f>
        <v/>
      </c>
      <c r="K1043" s="19">
        <f>IFERROR(IF(OR(F1043="",INDEX(F:F,MATCH(DATE(YEAR($A1043)-1,MONTH($A1043),DAY($A1043)),$A:$A,0))=""),"",F1043/INDEX(F:F,MATCH(DATE(YEAR($A1043)-1,MONTH($A1043),DAY($A1043)),$A:$A,0))-1),"")</f>
        <v/>
      </c>
      <c r="L1043" s="19">
        <f>IFERROR(IF(OR(G1043="",INDEX(G:G,MATCH(DATE(YEAR($A1043)-1,MONTH($A1043),DAY($A1043)),$A:$A,0))=""),"",G1043/INDEX(G:G,MATCH(DATE(YEAR($A1043)-1,MONTH($A1043),DAY($A1043)),$A:$A,0))-1),"")</f>
        <v/>
      </c>
      <c r="M1043" s="19">
        <f>IF(OR(E1043="",E1042=""),"",E1043/E1042-1)</f>
        <v/>
      </c>
      <c r="N1043" s="19">
        <f>IF(OR(F1043="",F1042=""),"",F1043/F1042-1)</f>
        <v/>
      </c>
      <c r="O1043" s="19">
        <f>IF(OR(G1043="",G1042=""),"",G1043/G1042-1)</f>
        <v/>
      </c>
      <c r="P1043" s="22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IF(R1043="","",P1043/R1043)</f>
        <v/>
      </c>
      <c r="T1043" s="23">
        <f>IF(R1043="","",Q1043/R1043)</f>
        <v/>
      </c>
      <c r="U1043" s="24">
        <f>IF(SUMIFS('Daily NSE Equity Options'!$M:$M,'Daily NSE Equity Options'!$A:$A,$A1043)=0,"",SUMIFS('Daily NSE Equity Options'!$M:$M,'Daily NSE Equity Options'!$A:$A,$A1043))</f>
        <v/>
      </c>
      <c r="V1043" s="9">
        <f>IF(SUMIFS('Daily BSE Equity Options'!$M:$M,'Daily BSE Equity Options'!$A:$A,$A1043)=0,"",SUMIFS('Daily BSE Equity Options'!$M:$M,'Daily BSE Equity Options'!$A:$A,$A1043))</f>
        <v/>
      </c>
      <c r="W1043" s="9">
        <f>IF(OR(U1043="",V1043=""),"",U1043+V1043)</f>
        <v/>
      </c>
      <c r="X1043" s="25">
        <f>IF(W1043="","",U1043/W1043)</f>
        <v/>
      </c>
      <c r="Y1043" s="25">
        <f>IF(W1043="","",V1043/W1043)</f>
        <v/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19">
        <f>IF(G1044="","",E1044/G1044)</f>
        <v/>
      </c>
      <c r="I1044" s="19">
        <f>IF(G1044="","",F1044/G1044)</f>
        <v/>
      </c>
      <c r="J1044" s="26">
        <f>IFERROR(IF(OR(E1044="",INDEX(E:E,MATCH(DATE(YEAR($A1044)-1,MONTH($A1044),DAY($A1044)),$A:$A,0))=""),"",E1044/INDEX(E:E,MATCH(DATE(YEAR($A1044)-1,MONTH($A1044),DAY($A1044)),$A:$A,0))-1),"")</f>
        <v/>
      </c>
      <c r="K1044" s="19">
        <f>IFERROR(IF(OR(F1044="",INDEX(F:F,MATCH(DATE(YEAR($A1044)-1,MONTH($A1044),DAY($A1044)),$A:$A,0))=""),"",F1044/INDEX(F:F,MATCH(DATE(YEAR($A1044)-1,MONTH($A1044),DAY($A1044)),$A:$A,0))-1),"")</f>
        <v/>
      </c>
      <c r="L1044" s="19">
        <f>IFERROR(IF(OR(G1044="",INDEX(G:G,MATCH(DATE(YEAR($A1044)-1,MONTH($A1044),DAY($A1044)),$A:$A,0))=""),"",G1044/INDEX(G:G,MATCH(DATE(YEAR($A1044)-1,MONTH($A1044),DAY($A1044)),$A:$A,0))-1),"")</f>
        <v/>
      </c>
      <c r="M1044" s="19">
        <f>IF(OR(E1044="",E1043=""),"",E1044/E1043-1)</f>
        <v/>
      </c>
      <c r="N1044" s="19">
        <f>IF(OR(F1044="",F1043=""),"",F1044/F1043-1)</f>
        <v/>
      </c>
      <c r="O1044" s="19">
        <f>IF(OR(G1044="",G1043=""),"",G1044/G1043-1)</f>
        <v/>
      </c>
      <c r="P1044" s="22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IF(R1044="","",P1044/R1044)</f>
        <v/>
      </c>
      <c r="T1044" s="23">
        <f>IF(R1044="","",Q1044/R1044)</f>
        <v/>
      </c>
      <c r="U1044" s="24">
        <f>IF(SUMIFS('Daily NSE Equity Options'!$M:$M,'Daily NSE Equity Options'!$A:$A,$A1044)=0,"",SUMIFS('Daily NSE Equity Options'!$M:$M,'Daily NSE Equity Options'!$A:$A,$A1044))</f>
        <v/>
      </c>
      <c r="V1044" s="9">
        <f>IF(SUMIFS('Daily BSE Equity Options'!$M:$M,'Daily BSE Equity Options'!$A:$A,$A1044)=0,"",SUMIFS('Daily BSE Equity Options'!$M:$M,'Daily BSE Equity Options'!$A:$A,$A1044))</f>
        <v/>
      </c>
      <c r="W1044" s="9">
        <f>IF(OR(U1044="",V1044=""),"",U1044+V1044)</f>
        <v/>
      </c>
      <c r="X1044" s="25">
        <f>IF(W1044="","",U1044/W1044)</f>
        <v/>
      </c>
      <c r="Y1044" s="25">
        <f>IF(W1044="","",V1044/W1044)</f>
        <v/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19">
        <f>IF(G1045="","",E1045/G1045)</f>
        <v/>
      </c>
      <c r="I1045" s="19">
        <f>IF(G1045="","",F1045/G1045)</f>
        <v/>
      </c>
      <c r="J1045" s="26">
        <f>IFERROR(IF(OR(E1045="",INDEX(E:E,MATCH(DATE(YEAR($A1045)-1,MONTH($A1045),DAY($A1045)),$A:$A,0))=""),"",E1045/INDEX(E:E,MATCH(DATE(YEAR($A1045)-1,MONTH($A1045),DAY($A1045)),$A:$A,0))-1),"")</f>
        <v/>
      </c>
      <c r="K1045" s="19">
        <f>IFERROR(IF(OR(F1045="",INDEX(F:F,MATCH(DATE(YEAR($A1045)-1,MONTH($A1045),DAY($A1045)),$A:$A,0))=""),"",F1045/INDEX(F:F,MATCH(DATE(YEAR($A1045)-1,MONTH($A1045),DAY($A1045)),$A:$A,0))-1),"")</f>
        <v/>
      </c>
      <c r="L1045" s="19">
        <f>IFERROR(IF(OR(G1045="",INDEX(G:G,MATCH(DATE(YEAR($A1045)-1,MONTH($A1045),DAY($A1045)),$A:$A,0))=""),"",G1045/INDEX(G:G,MATCH(DATE(YEAR($A1045)-1,MONTH($A1045),DAY($A1045)),$A:$A,0))-1),"")</f>
        <v/>
      </c>
      <c r="M1045" s="19">
        <f>IF(OR(E1045="",E1044=""),"",E1045/E1044-1)</f>
        <v/>
      </c>
      <c r="N1045" s="19">
        <f>IF(OR(F1045="",F1044=""),"",F1045/F1044-1)</f>
        <v/>
      </c>
      <c r="O1045" s="19">
        <f>IF(OR(G1045="",G1044=""),"",G1045/G1044-1)</f>
        <v/>
      </c>
      <c r="P1045" s="22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IF(R1045="","",P1045/R1045)</f>
        <v/>
      </c>
      <c r="T1045" s="23">
        <f>IF(R1045="","",Q1045/R1045)</f>
        <v/>
      </c>
      <c r="U1045" s="24">
        <f>IF(SUMIFS('Daily NSE Equity Options'!$M:$M,'Daily NSE Equity Options'!$A:$A,$A1045)=0,"",SUMIFS('Daily NSE Equity Options'!$M:$M,'Daily NSE Equity Options'!$A:$A,$A1045))</f>
        <v/>
      </c>
      <c r="V1045" s="9">
        <f>IF(SUMIFS('Daily BSE Equity Options'!$M:$M,'Daily BSE Equity Options'!$A:$A,$A1045)=0,"",SUMIFS('Daily BSE Equity Options'!$M:$M,'Daily BSE Equity Options'!$A:$A,$A1045))</f>
        <v/>
      </c>
      <c r="W1045" s="9">
        <f>IF(OR(U1045="",V1045=""),"",U1045+V1045)</f>
        <v/>
      </c>
      <c r="X1045" s="25">
        <f>IF(W1045="","",U1045/W1045)</f>
        <v/>
      </c>
      <c r="Y1045" s="25">
        <f>IF(W1045="","",V1045/W1045)</f>
        <v/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19">
        <f>IF(G1046="","",E1046/G1046)</f>
        <v/>
      </c>
      <c r="I1046" s="19">
        <f>IF(G1046="","",F1046/G1046)</f>
        <v/>
      </c>
      <c r="J1046" s="26">
        <f>IFERROR(IF(OR(E1046="",INDEX(E:E,MATCH(DATE(YEAR($A1046)-1,MONTH($A1046),DAY($A1046)),$A:$A,0))=""),"",E1046/INDEX(E:E,MATCH(DATE(YEAR($A1046)-1,MONTH($A1046),DAY($A1046)),$A:$A,0))-1),"")</f>
        <v/>
      </c>
      <c r="K1046" s="19">
        <f>IFERROR(IF(OR(F1046="",INDEX(F:F,MATCH(DATE(YEAR($A1046)-1,MONTH($A1046),DAY($A1046)),$A:$A,0))=""),"",F1046/INDEX(F:F,MATCH(DATE(YEAR($A1046)-1,MONTH($A1046),DAY($A1046)),$A:$A,0))-1),"")</f>
        <v/>
      </c>
      <c r="L1046" s="19">
        <f>IFERROR(IF(OR(G1046="",INDEX(G:G,MATCH(DATE(YEAR($A1046)-1,MONTH($A1046),DAY($A1046)),$A:$A,0))=""),"",G1046/INDEX(G:G,MATCH(DATE(YEAR($A1046)-1,MONTH($A1046),DAY($A1046)),$A:$A,0))-1),"")</f>
        <v/>
      </c>
      <c r="M1046" s="19">
        <f>IF(OR(E1046="",E1045=""),"",E1046/E1045-1)</f>
        <v/>
      </c>
      <c r="N1046" s="19">
        <f>IF(OR(F1046="",F1045=""),"",F1046/F1045-1)</f>
        <v/>
      </c>
      <c r="O1046" s="19">
        <f>IF(OR(G1046="",G1045=""),"",G1046/G1045-1)</f>
        <v/>
      </c>
      <c r="P1046" s="22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IF(R1046="","",P1046/R1046)</f>
        <v/>
      </c>
      <c r="T1046" s="23">
        <f>IF(R1046="","",Q1046/R1046)</f>
        <v/>
      </c>
      <c r="U1046" s="24">
        <f>IF(SUMIFS('Daily NSE Equity Options'!$M:$M,'Daily NSE Equity Options'!$A:$A,$A1046)=0,"",SUMIFS('Daily NSE Equity Options'!$M:$M,'Daily NSE Equity Options'!$A:$A,$A1046))</f>
        <v/>
      </c>
      <c r="V1046" s="9">
        <f>IF(SUMIFS('Daily BSE Equity Options'!$M:$M,'Daily BSE Equity Options'!$A:$A,$A1046)=0,"",SUMIFS('Daily BSE Equity Options'!$M:$M,'Daily BSE Equity Options'!$A:$A,$A1046))</f>
        <v/>
      </c>
      <c r="W1046" s="9">
        <f>IF(OR(U1046="",V1046=""),"",U1046+V1046)</f>
        <v/>
      </c>
      <c r="X1046" s="25">
        <f>IF(W1046="","",U1046/W1046)</f>
        <v/>
      </c>
      <c r="Y1046" s="25">
        <f>IF(W1046="","",V1046/W1046)</f>
        <v/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19">
        <f>IF(G1047="","",E1047/G1047)</f>
        <v/>
      </c>
      <c r="I1047" s="19">
        <f>IF(G1047="","",F1047/G1047)</f>
        <v/>
      </c>
      <c r="J1047" s="26">
        <f>IFERROR(IF(OR(E1047="",INDEX(E:E,MATCH(DATE(YEAR($A1047)-1,MONTH($A1047),DAY($A1047)),$A:$A,0))=""),"",E1047/INDEX(E:E,MATCH(DATE(YEAR($A1047)-1,MONTH($A1047),DAY($A1047)),$A:$A,0))-1),"")</f>
        <v/>
      </c>
      <c r="K1047" s="19">
        <f>IFERROR(IF(OR(F1047="",INDEX(F:F,MATCH(DATE(YEAR($A1047)-1,MONTH($A1047),DAY($A1047)),$A:$A,0))=""),"",F1047/INDEX(F:F,MATCH(DATE(YEAR($A1047)-1,MONTH($A1047),DAY($A1047)),$A:$A,0))-1),"")</f>
        <v/>
      </c>
      <c r="L1047" s="19">
        <f>IFERROR(IF(OR(G1047="",INDEX(G:G,MATCH(DATE(YEAR($A1047)-1,MONTH($A1047),DAY($A1047)),$A:$A,0))=""),"",G1047/INDEX(G:G,MATCH(DATE(YEAR($A1047)-1,MONTH($A1047),DAY($A1047)),$A:$A,0))-1),"")</f>
        <v/>
      </c>
      <c r="M1047" s="19">
        <f>IF(OR(E1047="",E1046=""),"",E1047/E1046-1)</f>
        <v/>
      </c>
      <c r="N1047" s="19">
        <f>IF(OR(F1047="",F1046=""),"",F1047/F1046-1)</f>
        <v/>
      </c>
      <c r="O1047" s="19">
        <f>IF(OR(G1047="",G1046=""),"",G1047/G1046-1)</f>
        <v/>
      </c>
      <c r="P1047" s="22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IF(R1047="","",P1047/R1047)</f>
        <v/>
      </c>
      <c r="T1047" s="23">
        <f>IF(R1047="","",Q1047/R1047)</f>
        <v/>
      </c>
      <c r="U1047" s="24">
        <f>IF(SUMIFS('Daily NSE Equity Options'!$M:$M,'Daily NSE Equity Options'!$A:$A,$A1047)=0,"",SUMIFS('Daily NSE Equity Options'!$M:$M,'Daily NSE Equity Options'!$A:$A,$A1047))</f>
        <v/>
      </c>
      <c r="V1047" s="9">
        <f>IF(SUMIFS('Daily BSE Equity Options'!$M:$M,'Daily BSE Equity Options'!$A:$A,$A1047)=0,"",SUMIFS('Daily BSE Equity Options'!$M:$M,'Daily BSE Equity Options'!$A:$A,$A1047))</f>
        <v/>
      </c>
      <c r="W1047" s="9">
        <f>IF(OR(U1047="",V1047=""),"",U1047+V1047)</f>
        <v/>
      </c>
      <c r="X1047" s="25">
        <f>IF(W1047="","",U1047/W1047)</f>
        <v/>
      </c>
      <c r="Y1047" s="25">
        <f>IF(W1047="","",V1047/W1047)</f>
        <v/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19">
        <f>IF(G1048="","",E1048/G1048)</f>
        <v/>
      </c>
      <c r="I1048" s="19">
        <f>IF(G1048="","",F1048/G1048)</f>
        <v/>
      </c>
      <c r="J1048" s="26">
        <f>IFERROR(IF(OR(E1048="",INDEX(E:E,MATCH(DATE(YEAR($A1048)-1,MONTH($A1048),DAY($A1048)),$A:$A,0))=""),"",E1048/INDEX(E:E,MATCH(DATE(YEAR($A1048)-1,MONTH($A1048),DAY($A1048)),$A:$A,0))-1),"")</f>
        <v/>
      </c>
      <c r="K1048" s="19">
        <f>IFERROR(IF(OR(F1048="",INDEX(F:F,MATCH(DATE(YEAR($A1048)-1,MONTH($A1048),DAY($A1048)),$A:$A,0))=""),"",F1048/INDEX(F:F,MATCH(DATE(YEAR($A1048)-1,MONTH($A1048),DAY($A1048)),$A:$A,0))-1),"")</f>
        <v/>
      </c>
      <c r="L1048" s="19">
        <f>IFERROR(IF(OR(G1048="",INDEX(G:G,MATCH(DATE(YEAR($A1048)-1,MONTH($A1048),DAY($A1048)),$A:$A,0))=""),"",G1048/INDEX(G:G,MATCH(DATE(YEAR($A1048)-1,MONTH($A1048),DAY($A1048)),$A:$A,0))-1),"")</f>
        <v/>
      </c>
      <c r="M1048" s="19">
        <f>IF(OR(E1048="",E1047=""),"",E1048/E1047-1)</f>
        <v/>
      </c>
      <c r="N1048" s="19">
        <f>IF(OR(F1048="",F1047=""),"",F1048/F1047-1)</f>
        <v/>
      </c>
      <c r="O1048" s="19">
        <f>IF(OR(G1048="",G1047=""),"",G1048/G1047-1)</f>
        <v/>
      </c>
      <c r="P1048" s="22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IF(R1048="","",P1048/R1048)</f>
        <v/>
      </c>
      <c r="T1048" s="23">
        <f>IF(R1048="","",Q1048/R1048)</f>
        <v/>
      </c>
      <c r="U1048" s="24">
        <f>IF(SUMIFS('Daily NSE Equity Options'!$M:$M,'Daily NSE Equity Options'!$A:$A,$A1048)=0,"",SUMIFS('Daily NSE Equity Options'!$M:$M,'Daily NSE Equity Options'!$A:$A,$A1048))</f>
        <v/>
      </c>
      <c r="V1048" s="9">
        <f>IF(SUMIFS('Daily BSE Equity Options'!$M:$M,'Daily BSE Equity Options'!$A:$A,$A1048)=0,"",SUMIFS('Daily BSE Equity Options'!$M:$M,'Daily BSE Equity Options'!$A:$A,$A1048))</f>
        <v/>
      </c>
      <c r="W1048" s="9">
        <f>IF(OR(U1048="",V1048=""),"",U1048+V1048)</f>
        <v/>
      </c>
      <c r="X1048" s="25">
        <f>IF(W1048="","",U1048/W1048)</f>
        <v/>
      </c>
      <c r="Y1048" s="25">
        <f>IF(W1048="","",V1048/W1048)</f>
        <v/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19">
        <f>IF(G1049="","",E1049/G1049)</f>
        <v/>
      </c>
      <c r="I1049" s="19">
        <f>IF(G1049="","",F1049/G1049)</f>
        <v/>
      </c>
      <c r="J1049" s="26">
        <f>IFERROR(IF(OR(E1049="",INDEX(E:E,MATCH(DATE(YEAR($A1049)-1,MONTH($A1049),DAY($A1049)),$A:$A,0))=""),"",E1049/INDEX(E:E,MATCH(DATE(YEAR($A1049)-1,MONTH($A1049),DAY($A1049)),$A:$A,0))-1),"")</f>
        <v/>
      </c>
      <c r="K1049" s="19">
        <f>IFERROR(IF(OR(F1049="",INDEX(F:F,MATCH(DATE(YEAR($A1049)-1,MONTH($A1049),DAY($A1049)),$A:$A,0))=""),"",F1049/INDEX(F:F,MATCH(DATE(YEAR($A1049)-1,MONTH($A1049),DAY($A1049)),$A:$A,0))-1),"")</f>
        <v/>
      </c>
      <c r="L1049" s="19">
        <f>IFERROR(IF(OR(G1049="",INDEX(G:G,MATCH(DATE(YEAR($A1049)-1,MONTH($A1049),DAY($A1049)),$A:$A,0))=""),"",G1049/INDEX(G:G,MATCH(DATE(YEAR($A1049)-1,MONTH($A1049),DAY($A1049)),$A:$A,0))-1),"")</f>
        <v/>
      </c>
      <c r="M1049" s="19">
        <f>IF(OR(E1049="",E1048=""),"",E1049/E1048-1)</f>
        <v/>
      </c>
      <c r="N1049" s="19">
        <f>IF(OR(F1049="",F1048=""),"",F1049/F1048-1)</f>
        <v/>
      </c>
      <c r="O1049" s="19">
        <f>IF(OR(G1049="",G1048=""),"",G1049/G1048-1)</f>
        <v/>
      </c>
      <c r="P1049" s="22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IF(R1049="","",P1049/R1049)</f>
        <v/>
      </c>
      <c r="T1049" s="23">
        <f>IF(R1049="","",Q1049/R1049)</f>
        <v/>
      </c>
      <c r="U1049" s="24">
        <f>IF(SUMIFS('Daily NSE Equity Options'!$M:$M,'Daily NSE Equity Options'!$A:$A,$A1049)=0,"",SUMIFS('Daily NSE Equity Options'!$M:$M,'Daily NSE Equity Options'!$A:$A,$A1049))</f>
        <v/>
      </c>
      <c r="V1049" s="9">
        <f>IF(SUMIFS('Daily BSE Equity Options'!$M:$M,'Daily BSE Equity Options'!$A:$A,$A1049)=0,"",SUMIFS('Daily BSE Equity Options'!$M:$M,'Daily BSE Equity Options'!$A:$A,$A1049))</f>
        <v/>
      </c>
      <c r="W1049" s="9">
        <f>IF(OR(U1049="",V1049=""),"",U1049+V1049)</f>
        <v/>
      </c>
      <c r="X1049" s="25">
        <f>IF(W1049="","",U1049/W1049)</f>
        <v/>
      </c>
      <c r="Y1049" s="25">
        <f>IF(W1049="","",V1049/W1049)</f>
        <v/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19">
        <f>IF(G1050="","",E1050/G1050)</f>
        <v/>
      </c>
      <c r="I1050" s="19">
        <f>IF(G1050="","",F1050/G1050)</f>
        <v/>
      </c>
      <c r="J1050" s="26">
        <f>IFERROR(IF(OR(E1050="",INDEX(E:E,MATCH(DATE(YEAR($A1050)-1,MONTH($A1050),DAY($A1050)),$A:$A,0))=""),"",E1050/INDEX(E:E,MATCH(DATE(YEAR($A1050)-1,MONTH($A1050),DAY($A1050)),$A:$A,0))-1),"")</f>
        <v/>
      </c>
      <c r="K1050" s="19">
        <f>IFERROR(IF(OR(F1050="",INDEX(F:F,MATCH(DATE(YEAR($A1050)-1,MONTH($A1050),DAY($A1050)),$A:$A,0))=""),"",F1050/INDEX(F:F,MATCH(DATE(YEAR($A1050)-1,MONTH($A1050),DAY($A1050)),$A:$A,0))-1),"")</f>
        <v/>
      </c>
      <c r="L1050" s="19">
        <f>IFERROR(IF(OR(G1050="",INDEX(G:G,MATCH(DATE(YEAR($A1050)-1,MONTH($A1050),DAY($A1050)),$A:$A,0))=""),"",G1050/INDEX(G:G,MATCH(DATE(YEAR($A1050)-1,MONTH($A1050),DAY($A1050)),$A:$A,0))-1),"")</f>
        <v/>
      </c>
      <c r="M1050" s="19">
        <f>IF(OR(E1050="",E1049=""),"",E1050/E1049-1)</f>
        <v/>
      </c>
      <c r="N1050" s="19">
        <f>IF(OR(F1050="",F1049=""),"",F1050/F1049-1)</f>
        <v/>
      </c>
      <c r="O1050" s="19">
        <f>IF(OR(G1050="",G1049=""),"",G1050/G1049-1)</f>
        <v/>
      </c>
      <c r="P1050" s="22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IF(R1050="","",P1050/R1050)</f>
        <v/>
      </c>
      <c r="T1050" s="23">
        <f>IF(R1050="","",Q1050/R1050)</f>
        <v/>
      </c>
      <c r="U1050" s="24">
        <f>IF(SUMIFS('Daily NSE Equity Options'!$M:$M,'Daily NSE Equity Options'!$A:$A,$A1050)=0,"",SUMIFS('Daily NSE Equity Options'!$M:$M,'Daily NSE Equity Options'!$A:$A,$A1050))</f>
        <v/>
      </c>
      <c r="V1050" s="9">
        <f>IF(SUMIFS('Daily BSE Equity Options'!$M:$M,'Daily BSE Equity Options'!$A:$A,$A1050)=0,"",SUMIFS('Daily BSE Equity Options'!$M:$M,'Daily BSE Equity Options'!$A:$A,$A1050))</f>
        <v/>
      </c>
      <c r="W1050" s="9">
        <f>IF(OR(U1050="",V1050=""),"",U1050+V1050)</f>
        <v/>
      </c>
      <c r="X1050" s="25">
        <f>IF(W1050="","",U1050/W1050)</f>
        <v/>
      </c>
      <c r="Y1050" s="25">
        <f>IF(W1050="","",V1050/W1050)</f>
        <v/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19">
        <f>IF(G1051="","",E1051/G1051)</f>
        <v/>
      </c>
      <c r="I1051" s="19">
        <f>IF(G1051="","",F1051/G1051)</f>
        <v/>
      </c>
      <c r="J1051" s="26">
        <f>IFERROR(IF(OR(E1051="",INDEX(E:E,MATCH(DATE(YEAR($A1051)-1,MONTH($A1051),DAY($A1051)),$A:$A,0))=""),"",E1051/INDEX(E:E,MATCH(DATE(YEAR($A1051)-1,MONTH($A1051),DAY($A1051)),$A:$A,0))-1),"")</f>
        <v/>
      </c>
      <c r="K1051" s="19">
        <f>IFERROR(IF(OR(F1051="",INDEX(F:F,MATCH(DATE(YEAR($A1051)-1,MONTH($A1051),DAY($A1051)),$A:$A,0))=""),"",F1051/INDEX(F:F,MATCH(DATE(YEAR($A1051)-1,MONTH($A1051),DAY($A1051)),$A:$A,0))-1),"")</f>
        <v/>
      </c>
      <c r="L1051" s="19">
        <f>IFERROR(IF(OR(G1051="",INDEX(G:G,MATCH(DATE(YEAR($A1051)-1,MONTH($A1051),DAY($A1051)),$A:$A,0))=""),"",G1051/INDEX(G:G,MATCH(DATE(YEAR($A1051)-1,MONTH($A1051),DAY($A1051)),$A:$A,0))-1),"")</f>
        <v/>
      </c>
      <c r="M1051" s="19">
        <f>IF(OR(E1051="",E1050=""),"",E1051/E1050-1)</f>
        <v/>
      </c>
      <c r="N1051" s="19">
        <f>IF(OR(F1051="",F1050=""),"",F1051/F1050-1)</f>
        <v/>
      </c>
      <c r="O1051" s="19">
        <f>IF(OR(G1051="",G1050=""),"",G1051/G1050-1)</f>
        <v/>
      </c>
      <c r="P1051" s="22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IF(R1051="","",P1051/R1051)</f>
        <v/>
      </c>
      <c r="T1051" s="23">
        <f>IF(R1051="","",Q1051/R1051)</f>
        <v/>
      </c>
      <c r="U1051" s="24">
        <f>IF(SUMIFS('Daily NSE Equity Options'!$M:$M,'Daily NSE Equity Options'!$A:$A,$A1051)=0,"",SUMIFS('Daily NSE Equity Options'!$M:$M,'Daily NSE Equity Options'!$A:$A,$A1051))</f>
        <v/>
      </c>
      <c r="V1051" s="9">
        <f>IF(SUMIFS('Daily BSE Equity Options'!$M:$M,'Daily BSE Equity Options'!$A:$A,$A1051)=0,"",SUMIFS('Daily BSE Equity Options'!$M:$M,'Daily BSE Equity Options'!$A:$A,$A1051))</f>
        <v/>
      </c>
      <c r="W1051" s="9">
        <f>IF(OR(U1051="",V1051=""),"",U1051+V1051)</f>
        <v/>
      </c>
      <c r="X1051" s="25">
        <f>IF(W1051="","",U1051/W1051)</f>
        <v/>
      </c>
      <c r="Y1051" s="25">
        <f>IF(W1051="","",V1051/W1051)</f>
        <v/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19">
        <f>IF(G1052="","",E1052/G1052)</f>
        <v/>
      </c>
      <c r="I1052" s="19">
        <f>IF(G1052="","",F1052/G1052)</f>
        <v/>
      </c>
      <c r="J1052" s="26">
        <f>IFERROR(IF(OR(E1052="",INDEX(E:E,MATCH(DATE(YEAR($A1052)-1,MONTH($A1052),DAY($A1052)),$A:$A,0))=""),"",E1052/INDEX(E:E,MATCH(DATE(YEAR($A1052)-1,MONTH($A1052),DAY($A1052)),$A:$A,0))-1),"")</f>
        <v/>
      </c>
      <c r="K1052" s="19">
        <f>IFERROR(IF(OR(F1052="",INDEX(F:F,MATCH(DATE(YEAR($A1052)-1,MONTH($A1052),DAY($A1052)),$A:$A,0))=""),"",F1052/INDEX(F:F,MATCH(DATE(YEAR($A1052)-1,MONTH($A1052),DAY($A1052)),$A:$A,0))-1),"")</f>
        <v/>
      </c>
      <c r="L1052" s="19">
        <f>IFERROR(IF(OR(G1052="",INDEX(G:G,MATCH(DATE(YEAR($A1052)-1,MONTH($A1052),DAY($A1052)),$A:$A,0))=""),"",G1052/INDEX(G:G,MATCH(DATE(YEAR($A1052)-1,MONTH($A1052),DAY($A1052)),$A:$A,0))-1),"")</f>
        <v/>
      </c>
      <c r="M1052" s="19">
        <f>IF(OR(E1052="",E1051=""),"",E1052/E1051-1)</f>
        <v/>
      </c>
      <c r="N1052" s="19">
        <f>IF(OR(F1052="",F1051=""),"",F1052/F1051-1)</f>
        <v/>
      </c>
      <c r="O1052" s="19">
        <f>IF(OR(G1052="",G1051=""),"",G1052/G1051-1)</f>
        <v/>
      </c>
      <c r="P1052" s="22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IF(R1052="","",P1052/R1052)</f>
        <v/>
      </c>
      <c r="T1052" s="23">
        <f>IF(R1052="","",Q1052/R1052)</f>
        <v/>
      </c>
      <c r="U1052" s="24">
        <f>IF(SUMIFS('Daily NSE Equity Options'!$M:$M,'Daily NSE Equity Options'!$A:$A,$A1052)=0,"",SUMIFS('Daily NSE Equity Options'!$M:$M,'Daily NSE Equity Options'!$A:$A,$A1052))</f>
        <v/>
      </c>
      <c r="V1052" s="9">
        <f>IF(SUMIFS('Daily BSE Equity Options'!$M:$M,'Daily BSE Equity Options'!$A:$A,$A1052)=0,"",SUMIFS('Daily BSE Equity Options'!$M:$M,'Daily BSE Equity Options'!$A:$A,$A1052))</f>
        <v/>
      </c>
      <c r="W1052" s="9">
        <f>IF(OR(U1052="",V1052=""),"",U1052+V1052)</f>
        <v/>
      </c>
      <c r="X1052" s="25">
        <f>IF(W1052="","",U1052/W1052)</f>
        <v/>
      </c>
      <c r="Y1052" s="25">
        <f>IF(W1052="","",V1052/W1052)</f>
        <v/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19">
        <f>IF(G1053="","",E1053/G1053)</f>
        <v/>
      </c>
      <c r="I1053" s="19">
        <f>IF(G1053="","",F1053/G1053)</f>
        <v/>
      </c>
      <c r="J1053" s="26">
        <f>IFERROR(IF(OR(E1053="",INDEX(E:E,MATCH(DATE(YEAR($A1053)-1,MONTH($A1053),DAY($A1053)),$A:$A,0))=""),"",E1053/INDEX(E:E,MATCH(DATE(YEAR($A1053)-1,MONTH($A1053),DAY($A1053)),$A:$A,0))-1),"")</f>
        <v/>
      </c>
      <c r="K1053" s="19">
        <f>IFERROR(IF(OR(F1053="",INDEX(F:F,MATCH(DATE(YEAR($A1053)-1,MONTH($A1053),DAY($A1053)),$A:$A,0))=""),"",F1053/INDEX(F:F,MATCH(DATE(YEAR($A1053)-1,MONTH($A1053),DAY($A1053)),$A:$A,0))-1),"")</f>
        <v/>
      </c>
      <c r="L1053" s="19">
        <f>IFERROR(IF(OR(G1053="",INDEX(G:G,MATCH(DATE(YEAR($A1053)-1,MONTH($A1053),DAY($A1053)),$A:$A,0))=""),"",G1053/INDEX(G:G,MATCH(DATE(YEAR($A1053)-1,MONTH($A1053),DAY($A1053)),$A:$A,0))-1),"")</f>
        <v/>
      </c>
      <c r="M1053" s="19">
        <f>IF(OR(E1053="",E1052=""),"",E1053/E1052-1)</f>
        <v/>
      </c>
      <c r="N1053" s="19">
        <f>IF(OR(F1053="",F1052=""),"",F1053/F1052-1)</f>
        <v/>
      </c>
      <c r="O1053" s="19">
        <f>IF(OR(G1053="",G1052=""),"",G1053/G1052-1)</f>
        <v/>
      </c>
      <c r="P1053" s="22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IF(R1053="","",P1053/R1053)</f>
        <v/>
      </c>
      <c r="T1053" s="23">
        <f>IF(R1053="","",Q1053/R1053)</f>
        <v/>
      </c>
      <c r="U1053" s="24">
        <f>IF(SUMIFS('Daily NSE Equity Options'!$M:$M,'Daily NSE Equity Options'!$A:$A,$A1053)=0,"",SUMIFS('Daily NSE Equity Options'!$M:$M,'Daily NSE Equity Options'!$A:$A,$A1053))</f>
        <v/>
      </c>
      <c r="V1053" s="9">
        <f>IF(SUMIFS('Daily BSE Equity Options'!$M:$M,'Daily BSE Equity Options'!$A:$A,$A1053)=0,"",SUMIFS('Daily BSE Equity Options'!$M:$M,'Daily BSE Equity Options'!$A:$A,$A1053))</f>
        <v/>
      </c>
      <c r="W1053" s="9">
        <f>IF(OR(U1053="",V1053=""),"",U1053+V1053)</f>
        <v/>
      </c>
      <c r="X1053" s="25">
        <f>IF(W1053="","",U1053/W1053)</f>
        <v/>
      </c>
      <c r="Y1053" s="25">
        <f>IF(W1053="","",V1053/W1053)</f>
        <v/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19">
        <f>IF(G1054="","",E1054/G1054)</f>
        <v/>
      </c>
      <c r="I1054" s="19">
        <f>IF(G1054="","",F1054/G1054)</f>
        <v/>
      </c>
      <c r="J1054" s="26">
        <f>IFERROR(IF(OR(E1054="",INDEX(E:E,MATCH(DATE(YEAR($A1054)-1,MONTH($A1054),DAY($A1054)),$A:$A,0))=""),"",E1054/INDEX(E:E,MATCH(DATE(YEAR($A1054)-1,MONTH($A1054),DAY($A1054)),$A:$A,0))-1),"")</f>
        <v/>
      </c>
      <c r="K1054" s="19">
        <f>IFERROR(IF(OR(F1054="",INDEX(F:F,MATCH(DATE(YEAR($A1054)-1,MONTH($A1054),DAY($A1054)),$A:$A,0))=""),"",F1054/INDEX(F:F,MATCH(DATE(YEAR($A1054)-1,MONTH($A1054),DAY($A1054)),$A:$A,0))-1),"")</f>
        <v/>
      </c>
      <c r="L1054" s="19">
        <f>IFERROR(IF(OR(G1054="",INDEX(G:G,MATCH(DATE(YEAR($A1054)-1,MONTH($A1054),DAY($A1054)),$A:$A,0))=""),"",G1054/INDEX(G:G,MATCH(DATE(YEAR($A1054)-1,MONTH($A1054),DAY($A1054)),$A:$A,0))-1),"")</f>
        <v/>
      </c>
      <c r="M1054" s="19">
        <f>IF(OR(E1054="",E1053=""),"",E1054/E1053-1)</f>
        <v/>
      </c>
      <c r="N1054" s="19">
        <f>IF(OR(F1054="",F1053=""),"",F1054/F1053-1)</f>
        <v/>
      </c>
      <c r="O1054" s="19">
        <f>IF(OR(G1054="",G1053=""),"",G1054/G1053-1)</f>
        <v/>
      </c>
      <c r="P1054" s="22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IF(R1054="","",P1054/R1054)</f>
        <v/>
      </c>
      <c r="T1054" s="23">
        <f>IF(R1054="","",Q1054/R1054)</f>
        <v/>
      </c>
      <c r="U1054" s="24">
        <f>IF(SUMIFS('Daily NSE Equity Options'!$M:$M,'Daily NSE Equity Options'!$A:$A,$A1054)=0,"",SUMIFS('Daily NSE Equity Options'!$M:$M,'Daily NSE Equity Options'!$A:$A,$A1054))</f>
        <v/>
      </c>
      <c r="V1054" s="9">
        <f>IF(SUMIFS('Daily BSE Equity Options'!$M:$M,'Daily BSE Equity Options'!$A:$A,$A1054)=0,"",SUMIFS('Daily BSE Equity Options'!$M:$M,'Daily BSE Equity Options'!$A:$A,$A1054))</f>
        <v/>
      </c>
      <c r="W1054" s="9">
        <f>IF(OR(U1054="",V1054=""),"",U1054+V1054)</f>
        <v/>
      </c>
      <c r="X1054" s="25">
        <f>IF(W1054="","",U1054/W1054)</f>
        <v/>
      </c>
      <c r="Y1054" s="25">
        <f>IF(W1054="","",V1054/W1054)</f>
        <v/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19">
        <f>IF(G1055="","",E1055/G1055)</f>
        <v/>
      </c>
      <c r="I1055" s="19">
        <f>IF(G1055="","",F1055/G1055)</f>
        <v/>
      </c>
      <c r="J1055" s="26">
        <f>IFERROR(IF(OR(E1055="",INDEX(E:E,MATCH(DATE(YEAR($A1055)-1,MONTH($A1055),DAY($A1055)),$A:$A,0))=""),"",E1055/INDEX(E:E,MATCH(DATE(YEAR($A1055)-1,MONTH($A1055),DAY($A1055)),$A:$A,0))-1),"")</f>
        <v/>
      </c>
      <c r="K1055" s="19">
        <f>IFERROR(IF(OR(F1055="",INDEX(F:F,MATCH(DATE(YEAR($A1055)-1,MONTH($A1055),DAY($A1055)),$A:$A,0))=""),"",F1055/INDEX(F:F,MATCH(DATE(YEAR($A1055)-1,MONTH($A1055),DAY($A1055)),$A:$A,0))-1),"")</f>
        <v/>
      </c>
      <c r="L1055" s="19">
        <f>IFERROR(IF(OR(G1055="",INDEX(G:G,MATCH(DATE(YEAR($A1055)-1,MONTH($A1055),DAY($A1055)),$A:$A,0))=""),"",G1055/INDEX(G:G,MATCH(DATE(YEAR($A1055)-1,MONTH($A1055),DAY($A1055)),$A:$A,0))-1),"")</f>
        <v/>
      </c>
      <c r="M1055" s="19">
        <f>IF(OR(E1055="",E1054=""),"",E1055/E1054-1)</f>
        <v/>
      </c>
      <c r="N1055" s="19">
        <f>IF(OR(F1055="",F1054=""),"",F1055/F1054-1)</f>
        <v/>
      </c>
      <c r="O1055" s="19">
        <f>IF(OR(G1055="",G1054=""),"",G1055/G1054-1)</f>
        <v/>
      </c>
      <c r="P1055" s="22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IF(R1055="","",P1055/R1055)</f>
        <v/>
      </c>
      <c r="T1055" s="23">
        <f>IF(R1055="","",Q1055/R1055)</f>
        <v/>
      </c>
      <c r="U1055" s="24">
        <f>IF(SUMIFS('Daily NSE Equity Options'!$M:$M,'Daily NSE Equity Options'!$A:$A,$A1055)=0,"",SUMIFS('Daily NSE Equity Options'!$M:$M,'Daily NSE Equity Options'!$A:$A,$A1055))</f>
        <v/>
      </c>
      <c r="V1055" s="9">
        <f>IF(SUMIFS('Daily BSE Equity Options'!$M:$M,'Daily BSE Equity Options'!$A:$A,$A1055)=0,"",SUMIFS('Daily BSE Equity Options'!$M:$M,'Daily BSE Equity Options'!$A:$A,$A1055))</f>
        <v/>
      </c>
      <c r="W1055" s="9">
        <f>IF(OR(U1055="",V1055=""),"",U1055+V1055)</f>
        <v/>
      </c>
      <c r="X1055" s="25">
        <f>IF(W1055="","",U1055/W1055)</f>
        <v/>
      </c>
      <c r="Y1055" s="25">
        <f>IF(W1055="","",V1055/W1055)</f>
        <v/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19">
        <f>IF(G1056="","",E1056/G1056)</f>
        <v/>
      </c>
      <c r="I1056" s="19">
        <f>IF(G1056="","",F1056/G1056)</f>
        <v/>
      </c>
      <c r="J1056" s="26">
        <f>IFERROR(IF(OR(E1056="",INDEX(E:E,MATCH(DATE(YEAR($A1056)-1,MONTH($A1056),DAY($A1056)),$A:$A,0))=""),"",E1056/INDEX(E:E,MATCH(DATE(YEAR($A1056)-1,MONTH($A1056),DAY($A1056)),$A:$A,0))-1),"")</f>
        <v/>
      </c>
      <c r="K1056" s="19">
        <f>IFERROR(IF(OR(F1056="",INDEX(F:F,MATCH(DATE(YEAR($A1056)-1,MONTH($A1056),DAY($A1056)),$A:$A,0))=""),"",F1056/INDEX(F:F,MATCH(DATE(YEAR($A1056)-1,MONTH($A1056),DAY($A1056)),$A:$A,0))-1),"")</f>
        <v/>
      </c>
      <c r="L1056" s="19">
        <f>IFERROR(IF(OR(G1056="",INDEX(G:G,MATCH(DATE(YEAR($A1056)-1,MONTH($A1056),DAY($A1056)),$A:$A,0))=""),"",G1056/INDEX(G:G,MATCH(DATE(YEAR($A1056)-1,MONTH($A1056),DAY($A1056)),$A:$A,0))-1),"")</f>
        <v/>
      </c>
      <c r="M1056" s="19">
        <f>IF(OR(E1056="",E1055=""),"",E1056/E1055-1)</f>
        <v/>
      </c>
      <c r="N1056" s="19">
        <f>IF(OR(F1056="",F1055=""),"",F1056/F1055-1)</f>
        <v/>
      </c>
      <c r="O1056" s="19">
        <f>IF(OR(G1056="",G1055=""),"",G1056/G1055-1)</f>
        <v/>
      </c>
      <c r="P1056" s="22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IF(R1056="","",P1056/R1056)</f>
        <v/>
      </c>
      <c r="T1056" s="23">
        <f>IF(R1056="","",Q1056/R1056)</f>
        <v/>
      </c>
      <c r="U1056" s="24">
        <f>IF(SUMIFS('Daily NSE Equity Options'!$M:$M,'Daily NSE Equity Options'!$A:$A,$A1056)=0,"",SUMIFS('Daily NSE Equity Options'!$M:$M,'Daily NSE Equity Options'!$A:$A,$A1056))</f>
        <v/>
      </c>
      <c r="V1056" s="9">
        <f>IF(SUMIFS('Daily BSE Equity Options'!$M:$M,'Daily BSE Equity Options'!$A:$A,$A1056)=0,"",SUMIFS('Daily BSE Equity Options'!$M:$M,'Daily BSE Equity Options'!$A:$A,$A1056))</f>
        <v/>
      </c>
      <c r="W1056" s="9">
        <f>IF(OR(U1056="",V1056=""),"",U1056+V1056)</f>
        <v/>
      </c>
      <c r="X1056" s="25">
        <f>IF(W1056="","",U1056/W1056)</f>
        <v/>
      </c>
      <c r="Y1056" s="25">
        <f>IF(W1056="","",V1056/W1056)</f>
        <v/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19">
        <f>IF(G1057="","",E1057/G1057)</f>
        <v/>
      </c>
      <c r="I1057" s="19">
        <f>IF(G1057="","",F1057/G1057)</f>
        <v/>
      </c>
      <c r="J1057" s="26">
        <f>IFERROR(IF(OR(E1057="",INDEX(E:E,MATCH(DATE(YEAR($A1057)-1,MONTH($A1057),DAY($A1057)),$A:$A,0))=""),"",E1057/INDEX(E:E,MATCH(DATE(YEAR($A1057)-1,MONTH($A1057),DAY($A1057)),$A:$A,0))-1),"")</f>
        <v/>
      </c>
      <c r="K1057" s="19">
        <f>IFERROR(IF(OR(F1057="",INDEX(F:F,MATCH(DATE(YEAR($A1057)-1,MONTH($A1057),DAY($A1057)),$A:$A,0))=""),"",F1057/INDEX(F:F,MATCH(DATE(YEAR($A1057)-1,MONTH($A1057),DAY($A1057)),$A:$A,0))-1),"")</f>
        <v/>
      </c>
      <c r="L1057" s="19">
        <f>IFERROR(IF(OR(G1057="",INDEX(G:G,MATCH(DATE(YEAR($A1057)-1,MONTH($A1057),DAY($A1057)),$A:$A,0))=""),"",G1057/INDEX(G:G,MATCH(DATE(YEAR($A1057)-1,MONTH($A1057),DAY($A1057)),$A:$A,0))-1),"")</f>
        <v/>
      </c>
      <c r="M1057" s="19">
        <f>IF(OR(E1057="",E1056=""),"",E1057/E1056-1)</f>
        <v/>
      </c>
      <c r="N1057" s="19">
        <f>IF(OR(F1057="",F1056=""),"",F1057/F1056-1)</f>
        <v/>
      </c>
      <c r="O1057" s="19">
        <f>IF(OR(G1057="",G1056=""),"",G1057/G1056-1)</f>
        <v/>
      </c>
      <c r="P1057" s="22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IF(R1057="","",P1057/R1057)</f>
        <v/>
      </c>
      <c r="T1057" s="23">
        <f>IF(R1057="","",Q1057/R1057)</f>
        <v/>
      </c>
      <c r="U1057" s="24">
        <f>IF(SUMIFS('Daily NSE Equity Options'!$M:$M,'Daily NSE Equity Options'!$A:$A,$A1057)=0,"",SUMIFS('Daily NSE Equity Options'!$M:$M,'Daily NSE Equity Options'!$A:$A,$A1057))</f>
        <v/>
      </c>
      <c r="V1057" s="9">
        <f>IF(SUMIFS('Daily BSE Equity Options'!$M:$M,'Daily BSE Equity Options'!$A:$A,$A1057)=0,"",SUMIFS('Daily BSE Equity Options'!$M:$M,'Daily BSE Equity Options'!$A:$A,$A1057))</f>
        <v/>
      </c>
      <c r="W1057" s="9">
        <f>IF(OR(U1057="",V1057=""),"",U1057+V1057)</f>
        <v/>
      </c>
      <c r="X1057" s="25">
        <f>IF(W1057="","",U1057/W1057)</f>
        <v/>
      </c>
      <c r="Y1057" s="25">
        <f>IF(W1057="","",V1057/W1057)</f>
        <v/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19">
        <f>IF(G1058="","",E1058/G1058)</f>
        <v/>
      </c>
      <c r="I1058" s="19">
        <f>IF(G1058="","",F1058/G1058)</f>
        <v/>
      </c>
      <c r="J1058" s="26">
        <f>IFERROR(IF(OR(E1058="",INDEX(E:E,MATCH(DATE(YEAR($A1058)-1,MONTH($A1058),DAY($A1058)),$A:$A,0))=""),"",E1058/INDEX(E:E,MATCH(DATE(YEAR($A1058)-1,MONTH($A1058),DAY($A1058)),$A:$A,0))-1),"")</f>
        <v/>
      </c>
      <c r="K1058" s="19">
        <f>IFERROR(IF(OR(F1058="",INDEX(F:F,MATCH(DATE(YEAR($A1058)-1,MONTH($A1058),DAY($A1058)),$A:$A,0))=""),"",F1058/INDEX(F:F,MATCH(DATE(YEAR($A1058)-1,MONTH($A1058),DAY($A1058)),$A:$A,0))-1),"")</f>
        <v/>
      </c>
      <c r="L1058" s="19">
        <f>IFERROR(IF(OR(G1058="",INDEX(G:G,MATCH(DATE(YEAR($A1058)-1,MONTH($A1058),DAY($A1058)),$A:$A,0))=""),"",G1058/INDEX(G:G,MATCH(DATE(YEAR($A1058)-1,MONTH($A1058),DAY($A1058)),$A:$A,0))-1),"")</f>
        <v/>
      </c>
      <c r="M1058" s="19">
        <f>IF(OR(E1058="",E1057=""),"",E1058/E1057-1)</f>
        <v/>
      </c>
      <c r="N1058" s="19">
        <f>IF(OR(F1058="",F1057=""),"",F1058/F1057-1)</f>
        <v/>
      </c>
      <c r="O1058" s="19">
        <f>IF(OR(G1058="",G1057=""),"",G1058/G1057-1)</f>
        <v/>
      </c>
      <c r="P1058" s="22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IF(R1058="","",P1058/R1058)</f>
        <v/>
      </c>
      <c r="T1058" s="23">
        <f>IF(R1058="","",Q1058/R1058)</f>
        <v/>
      </c>
      <c r="U1058" s="24">
        <f>IF(SUMIFS('Daily NSE Equity Options'!$M:$M,'Daily NSE Equity Options'!$A:$A,$A1058)=0,"",SUMIFS('Daily NSE Equity Options'!$M:$M,'Daily NSE Equity Options'!$A:$A,$A1058))</f>
        <v/>
      </c>
      <c r="V1058" s="9">
        <f>IF(SUMIFS('Daily BSE Equity Options'!$M:$M,'Daily BSE Equity Options'!$A:$A,$A1058)=0,"",SUMIFS('Daily BSE Equity Options'!$M:$M,'Daily BSE Equity Options'!$A:$A,$A1058))</f>
        <v/>
      </c>
      <c r="W1058" s="9">
        <f>IF(OR(U1058="",V1058=""),"",U1058+V1058)</f>
        <v/>
      </c>
      <c r="X1058" s="25">
        <f>IF(W1058="","",U1058/W1058)</f>
        <v/>
      </c>
      <c r="Y1058" s="25">
        <f>IF(W1058="","",V1058/W1058)</f>
        <v/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19">
        <f>IF(G1059="","",E1059/G1059)</f>
        <v/>
      </c>
      <c r="I1059" s="19">
        <f>IF(G1059="","",F1059/G1059)</f>
        <v/>
      </c>
      <c r="J1059" s="26">
        <f>IFERROR(IF(OR(E1059="",INDEX(E:E,MATCH(DATE(YEAR($A1059)-1,MONTH($A1059),DAY($A1059)),$A:$A,0))=""),"",E1059/INDEX(E:E,MATCH(DATE(YEAR($A1059)-1,MONTH($A1059),DAY($A1059)),$A:$A,0))-1),"")</f>
        <v/>
      </c>
      <c r="K1059" s="19">
        <f>IFERROR(IF(OR(F1059="",INDEX(F:F,MATCH(DATE(YEAR($A1059)-1,MONTH($A1059),DAY($A1059)),$A:$A,0))=""),"",F1059/INDEX(F:F,MATCH(DATE(YEAR($A1059)-1,MONTH($A1059),DAY($A1059)),$A:$A,0))-1),"")</f>
        <v/>
      </c>
      <c r="L1059" s="19">
        <f>IFERROR(IF(OR(G1059="",INDEX(G:G,MATCH(DATE(YEAR($A1059)-1,MONTH($A1059),DAY($A1059)),$A:$A,0))=""),"",G1059/INDEX(G:G,MATCH(DATE(YEAR($A1059)-1,MONTH($A1059),DAY($A1059)),$A:$A,0))-1),"")</f>
        <v/>
      </c>
      <c r="M1059" s="19">
        <f>IF(OR(E1059="",E1058=""),"",E1059/E1058-1)</f>
        <v/>
      </c>
      <c r="N1059" s="19">
        <f>IF(OR(F1059="",F1058=""),"",F1059/F1058-1)</f>
        <v/>
      </c>
      <c r="O1059" s="19">
        <f>IF(OR(G1059="",G1058=""),"",G1059/G1058-1)</f>
        <v/>
      </c>
      <c r="P1059" s="22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IF(R1059="","",P1059/R1059)</f>
        <v/>
      </c>
      <c r="T1059" s="23">
        <f>IF(R1059="","",Q1059/R1059)</f>
        <v/>
      </c>
      <c r="U1059" s="24">
        <f>IF(SUMIFS('Daily NSE Equity Options'!$M:$M,'Daily NSE Equity Options'!$A:$A,$A1059)=0,"",SUMIFS('Daily NSE Equity Options'!$M:$M,'Daily NSE Equity Options'!$A:$A,$A1059))</f>
        <v/>
      </c>
      <c r="V1059" s="9">
        <f>IF(SUMIFS('Daily BSE Equity Options'!$M:$M,'Daily BSE Equity Options'!$A:$A,$A1059)=0,"",SUMIFS('Daily BSE Equity Options'!$M:$M,'Daily BSE Equity Options'!$A:$A,$A1059))</f>
        <v/>
      </c>
      <c r="W1059" s="9">
        <f>IF(OR(U1059="",V1059=""),"",U1059+V1059)</f>
        <v/>
      </c>
      <c r="X1059" s="25">
        <f>IF(W1059="","",U1059/W1059)</f>
        <v/>
      </c>
      <c r="Y1059" s="25">
        <f>IF(W1059="","",V1059/W1059)</f>
        <v/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19">
        <f>IF(G1060="","",E1060/G1060)</f>
        <v/>
      </c>
      <c r="I1060" s="19">
        <f>IF(G1060="","",F1060/G1060)</f>
        <v/>
      </c>
      <c r="J1060" s="26">
        <f>IFERROR(IF(OR(E1060="",INDEX(E:E,MATCH(DATE(YEAR($A1060)-1,MONTH($A1060),DAY($A1060)),$A:$A,0))=""),"",E1060/INDEX(E:E,MATCH(DATE(YEAR($A1060)-1,MONTH($A1060),DAY($A1060)),$A:$A,0))-1),"")</f>
        <v/>
      </c>
      <c r="K1060" s="19">
        <f>IFERROR(IF(OR(F1060="",INDEX(F:F,MATCH(DATE(YEAR($A1060)-1,MONTH($A1060),DAY($A1060)),$A:$A,0))=""),"",F1060/INDEX(F:F,MATCH(DATE(YEAR($A1060)-1,MONTH($A1060),DAY($A1060)),$A:$A,0))-1),"")</f>
        <v/>
      </c>
      <c r="L1060" s="19">
        <f>IFERROR(IF(OR(G1060="",INDEX(G:G,MATCH(DATE(YEAR($A1060)-1,MONTH($A1060),DAY($A1060)),$A:$A,0))=""),"",G1060/INDEX(G:G,MATCH(DATE(YEAR($A1060)-1,MONTH($A1060),DAY($A1060)),$A:$A,0))-1),"")</f>
        <v/>
      </c>
      <c r="M1060" s="19">
        <f>IF(OR(E1060="",E1059=""),"",E1060/E1059-1)</f>
        <v/>
      </c>
      <c r="N1060" s="19">
        <f>IF(OR(F1060="",F1059=""),"",F1060/F1059-1)</f>
        <v/>
      </c>
      <c r="O1060" s="19">
        <f>IF(OR(G1060="",G1059=""),"",G1060/G1059-1)</f>
        <v/>
      </c>
      <c r="P1060" s="22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IF(R1060="","",P1060/R1060)</f>
        <v/>
      </c>
      <c r="T1060" s="23">
        <f>IF(R1060="","",Q1060/R1060)</f>
        <v/>
      </c>
      <c r="U1060" s="24">
        <f>IF(SUMIFS('Daily NSE Equity Options'!$M:$M,'Daily NSE Equity Options'!$A:$A,$A1060)=0,"",SUMIFS('Daily NSE Equity Options'!$M:$M,'Daily NSE Equity Options'!$A:$A,$A1060))</f>
        <v/>
      </c>
      <c r="V1060" s="9">
        <f>IF(SUMIFS('Daily BSE Equity Options'!$M:$M,'Daily BSE Equity Options'!$A:$A,$A1060)=0,"",SUMIFS('Daily BSE Equity Options'!$M:$M,'Daily BSE Equity Options'!$A:$A,$A1060))</f>
        <v/>
      </c>
      <c r="W1060" s="9">
        <f>IF(OR(U1060="",V1060=""),"",U1060+V1060)</f>
        <v/>
      </c>
      <c r="X1060" s="25">
        <f>IF(W1060="","",U1060/W1060)</f>
        <v/>
      </c>
      <c r="Y1060" s="25">
        <f>IF(W1060="","",V1060/W1060)</f>
        <v/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19">
        <f>IF(G1061="","",E1061/G1061)</f>
        <v/>
      </c>
      <c r="I1061" s="19">
        <f>IF(G1061="","",F1061/G1061)</f>
        <v/>
      </c>
      <c r="J1061" s="26">
        <f>IFERROR(IF(OR(E1061="",INDEX(E:E,MATCH(DATE(YEAR($A1061)-1,MONTH($A1061),DAY($A1061)),$A:$A,0))=""),"",E1061/INDEX(E:E,MATCH(DATE(YEAR($A1061)-1,MONTH($A1061),DAY($A1061)),$A:$A,0))-1),"")</f>
        <v/>
      </c>
      <c r="K1061" s="19">
        <f>IFERROR(IF(OR(F1061="",INDEX(F:F,MATCH(DATE(YEAR($A1061)-1,MONTH($A1061),DAY($A1061)),$A:$A,0))=""),"",F1061/INDEX(F:F,MATCH(DATE(YEAR($A1061)-1,MONTH($A1061),DAY($A1061)),$A:$A,0))-1),"")</f>
        <v/>
      </c>
      <c r="L1061" s="19">
        <f>IFERROR(IF(OR(G1061="",INDEX(G:G,MATCH(DATE(YEAR($A1061)-1,MONTH($A1061),DAY($A1061)),$A:$A,0))=""),"",G1061/INDEX(G:G,MATCH(DATE(YEAR($A1061)-1,MONTH($A1061),DAY($A1061)),$A:$A,0))-1),"")</f>
        <v/>
      </c>
      <c r="M1061" s="19">
        <f>IF(OR(E1061="",E1060=""),"",E1061/E1060-1)</f>
        <v/>
      </c>
      <c r="N1061" s="19">
        <f>IF(OR(F1061="",F1060=""),"",F1061/F1060-1)</f>
        <v/>
      </c>
      <c r="O1061" s="19">
        <f>IF(OR(G1061="",G1060=""),"",G1061/G1060-1)</f>
        <v/>
      </c>
      <c r="P1061" s="22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IF(R1061="","",P1061/R1061)</f>
        <v/>
      </c>
      <c r="T1061" s="23">
        <f>IF(R1061="","",Q1061/R1061)</f>
        <v/>
      </c>
      <c r="U1061" s="24">
        <f>IF(SUMIFS('Daily NSE Equity Options'!$M:$M,'Daily NSE Equity Options'!$A:$A,$A1061)=0,"",SUMIFS('Daily NSE Equity Options'!$M:$M,'Daily NSE Equity Options'!$A:$A,$A1061))</f>
        <v/>
      </c>
      <c r="V1061" s="9">
        <f>IF(SUMIFS('Daily BSE Equity Options'!$M:$M,'Daily BSE Equity Options'!$A:$A,$A1061)=0,"",SUMIFS('Daily BSE Equity Options'!$M:$M,'Daily BSE Equity Options'!$A:$A,$A1061))</f>
        <v/>
      </c>
      <c r="W1061" s="9">
        <f>IF(OR(U1061="",V1061=""),"",U1061+V1061)</f>
        <v/>
      </c>
      <c r="X1061" s="25">
        <f>IF(W1061="","",U1061/W1061)</f>
        <v/>
      </c>
      <c r="Y1061" s="25">
        <f>IF(W1061="","",V1061/W1061)</f>
        <v/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19">
        <f>IF(G1062="","",E1062/G1062)</f>
        <v/>
      </c>
      <c r="I1062" s="19">
        <f>IF(G1062="","",F1062/G1062)</f>
        <v/>
      </c>
      <c r="J1062" s="26">
        <f>IFERROR(IF(OR(E1062="",INDEX(E:E,MATCH(DATE(YEAR($A1062)-1,MONTH($A1062),DAY($A1062)),$A:$A,0))=""),"",E1062/INDEX(E:E,MATCH(DATE(YEAR($A1062)-1,MONTH($A1062),DAY($A1062)),$A:$A,0))-1),"")</f>
        <v/>
      </c>
      <c r="K1062" s="19">
        <f>IFERROR(IF(OR(F1062="",INDEX(F:F,MATCH(DATE(YEAR($A1062)-1,MONTH($A1062),DAY($A1062)),$A:$A,0))=""),"",F1062/INDEX(F:F,MATCH(DATE(YEAR($A1062)-1,MONTH($A1062),DAY($A1062)),$A:$A,0))-1),"")</f>
        <v/>
      </c>
      <c r="L1062" s="19">
        <f>IFERROR(IF(OR(G1062="",INDEX(G:G,MATCH(DATE(YEAR($A1062)-1,MONTH($A1062),DAY($A1062)),$A:$A,0))=""),"",G1062/INDEX(G:G,MATCH(DATE(YEAR($A1062)-1,MONTH($A1062),DAY($A1062)),$A:$A,0))-1),"")</f>
        <v/>
      </c>
      <c r="M1062" s="19">
        <f>IF(OR(E1062="",E1061=""),"",E1062/E1061-1)</f>
        <v/>
      </c>
      <c r="N1062" s="19">
        <f>IF(OR(F1062="",F1061=""),"",F1062/F1061-1)</f>
        <v/>
      </c>
      <c r="O1062" s="19">
        <f>IF(OR(G1062="",G1061=""),"",G1062/G1061-1)</f>
        <v/>
      </c>
      <c r="P1062" s="22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IF(R1062="","",P1062/R1062)</f>
        <v/>
      </c>
      <c r="T1062" s="23">
        <f>IF(R1062="","",Q1062/R1062)</f>
        <v/>
      </c>
      <c r="U1062" s="24">
        <f>IF(SUMIFS('Daily NSE Equity Options'!$M:$M,'Daily NSE Equity Options'!$A:$A,$A1062)=0,"",SUMIFS('Daily NSE Equity Options'!$M:$M,'Daily NSE Equity Options'!$A:$A,$A1062))</f>
        <v/>
      </c>
      <c r="V1062" s="9">
        <f>IF(SUMIFS('Daily BSE Equity Options'!$M:$M,'Daily BSE Equity Options'!$A:$A,$A1062)=0,"",SUMIFS('Daily BSE Equity Options'!$M:$M,'Daily BSE Equity Options'!$A:$A,$A1062))</f>
        <v/>
      </c>
      <c r="W1062" s="9">
        <f>IF(OR(U1062="",V1062=""),"",U1062+V1062)</f>
        <v/>
      </c>
      <c r="X1062" s="25">
        <f>IF(W1062="","",U1062/W1062)</f>
        <v/>
      </c>
      <c r="Y1062" s="25">
        <f>IF(W1062="","",V1062/W1062)</f>
        <v/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19">
        <f>IF(G1063="","",E1063/G1063)</f>
        <v/>
      </c>
      <c r="I1063" s="19">
        <f>IF(G1063="","",F1063/G1063)</f>
        <v/>
      </c>
      <c r="J1063" s="26">
        <f>IFERROR(IF(OR(E1063="",INDEX(E:E,MATCH(DATE(YEAR($A1063)-1,MONTH($A1063),DAY($A1063)),$A:$A,0))=""),"",E1063/INDEX(E:E,MATCH(DATE(YEAR($A1063)-1,MONTH($A1063),DAY($A1063)),$A:$A,0))-1),"")</f>
        <v/>
      </c>
      <c r="K1063" s="19">
        <f>IFERROR(IF(OR(F1063="",INDEX(F:F,MATCH(DATE(YEAR($A1063)-1,MONTH($A1063),DAY($A1063)),$A:$A,0))=""),"",F1063/INDEX(F:F,MATCH(DATE(YEAR($A1063)-1,MONTH($A1063),DAY($A1063)),$A:$A,0))-1),"")</f>
        <v/>
      </c>
      <c r="L1063" s="19">
        <f>IFERROR(IF(OR(G1063="",INDEX(G:G,MATCH(DATE(YEAR($A1063)-1,MONTH($A1063),DAY($A1063)),$A:$A,0))=""),"",G1063/INDEX(G:G,MATCH(DATE(YEAR($A1063)-1,MONTH($A1063),DAY($A1063)),$A:$A,0))-1),"")</f>
        <v/>
      </c>
      <c r="M1063" s="19">
        <f>IF(OR(E1063="",E1062=""),"",E1063/E1062-1)</f>
        <v/>
      </c>
      <c r="N1063" s="19">
        <f>IF(OR(F1063="",F1062=""),"",F1063/F1062-1)</f>
        <v/>
      </c>
      <c r="O1063" s="19">
        <f>IF(OR(G1063="",G1062=""),"",G1063/G1062-1)</f>
        <v/>
      </c>
      <c r="P1063" s="22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IF(R1063="","",P1063/R1063)</f>
        <v/>
      </c>
      <c r="T1063" s="23">
        <f>IF(R1063="","",Q1063/R1063)</f>
        <v/>
      </c>
      <c r="U1063" s="24">
        <f>IF(SUMIFS('Daily NSE Equity Options'!$M:$M,'Daily NSE Equity Options'!$A:$A,$A1063)=0,"",SUMIFS('Daily NSE Equity Options'!$M:$M,'Daily NSE Equity Options'!$A:$A,$A1063))</f>
        <v/>
      </c>
      <c r="V1063" s="9">
        <f>IF(SUMIFS('Daily BSE Equity Options'!$M:$M,'Daily BSE Equity Options'!$A:$A,$A1063)=0,"",SUMIFS('Daily BSE Equity Options'!$M:$M,'Daily BSE Equity Options'!$A:$A,$A1063))</f>
        <v/>
      </c>
      <c r="W1063" s="9">
        <f>IF(OR(U1063="",V1063=""),"",U1063+V1063)</f>
        <v/>
      </c>
      <c r="X1063" s="25">
        <f>IF(W1063="","",U1063/W1063)</f>
        <v/>
      </c>
      <c r="Y1063" s="25">
        <f>IF(W1063="","",V1063/W1063)</f>
        <v/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19">
        <f>IF(G1064="","",E1064/G1064)</f>
        <v/>
      </c>
      <c r="I1064" s="19">
        <f>IF(G1064="","",F1064/G1064)</f>
        <v/>
      </c>
      <c r="J1064" s="26">
        <f>IFERROR(IF(OR(E1064="",INDEX(E:E,MATCH(DATE(YEAR($A1064)-1,MONTH($A1064),DAY($A1064)),$A:$A,0))=""),"",E1064/INDEX(E:E,MATCH(DATE(YEAR($A1064)-1,MONTH($A1064),DAY($A1064)),$A:$A,0))-1),"")</f>
        <v/>
      </c>
      <c r="K1064" s="19">
        <f>IFERROR(IF(OR(F1064="",INDEX(F:F,MATCH(DATE(YEAR($A1064)-1,MONTH($A1064),DAY($A1064)),$A:$A,0))=""),"",F1064/INDEX(F:F,MATCH(DATE(YEAR($A1064)-1,MONTH($A1064),DAY($A1064)),$A:$A,0))-1),"")</f>
        <v/>
      </c>
      <c r="L1064" s="19">
        <f>IFERROR(IF(OR(G1064="",INDEX(G:G,MATCH(DATE(YEAR($A1064)-1,MONTH($A1064),DAY($A1064)),$A:$A,0))=""),"",G1064/INDEX(G:G,MATCH(DATE(YEAR($A1064)-1,MONTH($A1064),DAY($A1064)),$A:$A,0))-1),"")</f>
        <v/>
      </c>
      <c r="M1064" s="19">
        <f>IF(OR(E1064="",E1063=""),"",E1064/E1063-1)</f>
        <v/>
      </c>
      <c r="N1064" s="19">
        <f>IF(OR(F1064="",F1063=""),"",F1064/F1063-1)</f>
        <v/>
      </c>
      <c r="O1064" s="19">
        <f>IF(OR(G1064="",G1063=""),"",G1064/G1063-1)</f>
        <v/>
      </c>
      <c r="P1064" s="22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IF(R1064="","",P1064/R1064)</f>
        <v/>
      </c>
      <c r="T1064" s="23">
        <f>IF(R1064="","",Q1064/R1064)</f>
        <v/>
      </c>
      <c r="U1064" s="24">
        <f>IF(SUMIFS('Daily NSE Equity Options'!$M:$M,'Daily NSE Equity Options'!$A:$A,$A1064)=0,"",SUMIFS('Daily NSE Equity Options'!$M:$M,'Daily NSE Equity Options'!$A:$A,$A1064))</f>
        <v/>
      </c>
      <c r="V1064" s="9">
        <f>IF(SUMIFS('Daily BSE Equity Options'!$M:$M,'Daily BSE Equity Options'!$A:$A,$A1064)=0,"",SUMIFS('Daily BSE Equity Options'!$M:$M,'Daily BSE Equity Options'!$A:$A,$A1064))</f>
        <v/>
      </c>
      <c r="W1064" s="9">
        <f>IF(OR(U1064="",V1064=""),"",U1064+V1064)</f>
        <v/>
      </c>
      <c r="X1064" s="25">
        <f>IF(W1064="","",U1064/W1064)</f>
        <v/>
      </c>
      <c r="Y1064" s="25">
        <f>IF(W1064="","",V1064/W1064)</f>
        <v/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19">
        <f>IF(G1065="","",E1065/G1065)</f>
        <v/>
      </c>
      <c r="I1065" s="19">
        <f>IF(G1065="","",F1065/G1065)</f>
        <v/>
      </c>
      <c r="J1065" s="26">
        <f>IFERROR(IF(OR(E1065="",INDEX(E:E,MATCH(DATE(YEAR($A1065)-1,MONTH($A1065),DAY($A1065)),$A:$A,0))=""),"",E1065/INDEX(E:E,MATCH(DATE(YEAR($A1065)-1,MONTH($A1065),DAY($A1065)),$A:$A,0))-1),"")</f>
        <v/>
      </c>
      <c r="K1065" s="19">
        <f>IFERROR(IF(OR(F1065="",INDEX(F:F,MATCH(DATE(YEAR($A1065)-1,MONTH($A1065),DAY($A1065)),$A:$A,0))=""),"",F1065/INDEX(F:F,MATCH(DATE(YEAR($A1065)-1,MONTH($A1065),DAY($A1065)),$A:$A,0))-1),"")</f>
        <v/>
      </c>
      <c r="L1065" s="19">
        <f>IFERROR(IF(OR(G1065="",INDEX(G:G,MATCH(DATE(YEAR($A1065)-1,MONTH($A1065),DAY($A1065)),$A:$A,0))=""),"",G1065/INDEX(G:G,MATCH(DATE(YEAR($A1065)-1,MONTH($A1065),DAY($A1065)),$A:$A,0))-1),"")</f>
        <v/>
      </c>
      <c r="M1065" s="19">
        <f>IF(OR(E1065="",E1064=""),"",E1065/E1064-1)</f>
        <v/>
      </c>
      <c r="N1065" s="19">
        <f>IF(OR(F1065="",F1064=""),"",F1065/F1064-1)</f>
        <v/>
      </c>
      <c r="O1065" s="19">
        <f>IF(OR(G1065="",G1064=""),"",G1065/G1064-1)</f>
        <v/>
      </c>
      <c r="P1065" s="22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IF(R1065="","",P1065/R1065)</f>
        <v/>
      </c>
      <c r="T1065" s="23">
        <f>IF(R1065="","",Q1065/R1065)</f>
        <v/>
      </c>
      <c r="U1065" s="24">
        <f>IF(SUMIFS('Daily NSE Equity Options'!$M:$M,'Daily NSE Equity Options'!$A:$A,$A1065)=0,"",SUMIFS('Daily NSE Equity Options'!$M:$M,'Daily NSE Equity Options'!$A:$A,$A1065))</f>
        <v/>
      </c>
      <c r="V1065" s="9">
        <f>IF(SUMIFS('Daily BSE Equity Options'!$M:$M,'Daily BSE Equity Options'!$A:$A,$A1065)=0,"",SUMIFS('Daily BSE Equity Options'!$M:$M,'Daily BSE Equity Options'!$A:$A,$A1065))</f>
        <v/>
      </c>
      <c r="W1065" s="9">
        <f>IF(OR(U1065="",V1065=""),"",U1065+V1065)</f>
        <v/>
      </c>
      <c r="X1065" s="25">
        <f>IF(W1065="","",U1065/W1065)</f>
        <v/>
      </c>
      <c r="Y1065" s="25">
        <f>IF(W1065="","",V1065/W1065)</f>
        <v/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19">
        <f>IF(G1066="","",E1066/G1066)</f>
        <v/>
      </c>
      <c r="I1066" s="19">
        <f>IF(G1066="","",F1066/G1066)</f>
        <v/>
      </c>
      <c r="J1066" s="26">
        <f>IFERROR(IF(OR(E1066="",INDEX(E:E,MATCH(DATE(YEAR($A1066)-1,MONTH($A1066),DAY($A1066)),$A:$A,0))=""),"",E1066/INDEX(E:E,MATCH(DATE(YEAR($A1066)-1,MONTH($A1066),DAY($A1066)),$A:$A,0))-1),"")</f>
        <v/>
      </c>
      <c r="K1066" s="19">
        <f>IFERROR(IF(OR(F1066="",INDEX(F:F,MATCH(DATE(YEAR($A1066)-1,MONTH($A1066),DAY($A1066)),$A:$A,0))=""),"",F1066/INDEX(F:F,MATCH(DATE(YEAR($A1066)-1,MONTH($A1066),DAY($A1066)),$A:$A,0))-1),"")</f>
        <v/>
      </c>
      <c r="L1066" s="19">
        <f>IFERROR(IF(OR(G1066="",INDEX(G:G,MATCH(DATE(YEAR($A1066)-1,MONTH($A1066),DAY($A1066)),$A:$A,0))=""),"",G1066/INDEX(G:G,MATCH(DATE(YEAR($A1066)-1,MONTH($A1066),DAY($A1066)),$A:$A,0))-1),"")</f>
        <v/>
      </c>
      <c r="M1066" s="19">
        <f>IF(OR(E1066="",E1065=""),"",E1066/E1065-1)</f>
        <v/>
      </c>
      <c r="N1066" s="19">
        <f>IF(OR(F1066="",F1065=""),"",F1066/F1065-1)</f>
        <v/>
      </c>
      <c r="O1066" s="19">
        <f>IF(OR(G1066="",G1065=""),"",G1066/G1065-1)</f>
        <v/>
      </c>
      <c r="P1066" s="22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IF(R1066="","",P1066/R1066)</f>
        <v/>
      </c>
      <c r="T1066" s="23">
        <f>IF(R1066="","",Q1066/R1066)</f>
        <v/>
      </c>
      <c r="U1066" s="24">
        <f>IF(SUMIFS('Daily NSE Equity Options'!$M:$M,'Daily NSE Equity Options'!$A:$A,$A1066)=0,"",SUMIFS('Daily NSE Equity Options'!$M:$M,'Daily NSE Equity Options'!$A:$A,$A1066))</f>
        <v/>
      </c>
      <c r="V1066" s="9">
        <f>IF(SUMIFS('Daily BSE Equity Options'!$M:$M,'Daily BSE Equity Options'!$A:$A,$A1066)=0,"",SUMIFS('Daily BSE Equity Options'!$M:$M,'Daily BSE Equity Options'!$A:$A,$A1066))</f>
        <v/>
      </c>
      <c r="W1066" s="9">
        <f>IF(OR(U1066="",V1066=""),"",U1066+V1066)</f>
        <v/>
      </c>
      <c r="X1066" s="25">
        <f>IF(W1066="","",U1066/W1066)</f>
        <v/>
      </c>
      <c r="Y1066" s="25">
        <f>IF(W1066="","",V1066/W1066)</f>
        <v/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19">
        <f>IF(G1067="","",E1067/G1067)</f>
        <v/>
      </c>
      <c r="I1067" s="19">
        <f>IF(G1067="","",F1067/G1067)</f>
        <v/>
      </c>
      <c r="J1067" s="26">
        <f>IFERROR(IF(OR(E1067="",INDEX(E:E,MATCH(DATE(YEAR($A1067)-1,MONTH($A1067),DAY($A1067)),$A:$A,0))=""),"",E1067/INDEX(E:E,MATCH(DATE(YEAR($A1067)-1,MONTH($A1067),DAY($A1067)),$A:$A,0))-1),"")</f>
        <v/>
      </c>
      <c r="K1067" s="19">
        <f>IFERROR(IF(OR(F1067="",INDEX(F:F,MATCH(DATE(YEAR($A1067)-1,MONTH($A1067),DAY($A1067)),$A:$A,0))=""),"",F1067/INDEX(F:F,MATCH(DATE(YEAR($A1067)-1,MONTH($A1067),DAY($A1067)),$A:$A,0))-1),"")</f>
        <v/>
      </c>
      <c r="L1067" s="19">
        <f>IFERROR(IF(OR(G1067="",INDEX(G:G,MATCH(DATE(YEAR($A1067)-1,MONTH($A1067),DAY($A1067)),$A:$A,0))=""),"",G1067/INDEX(G:G,MATCH(DATE(YEAR($A1067)-1,MONTH($A1067),DAY($A1067)),$A:$A,0))-1),"")</f>
        <v/>
      </c>
      <c r="M1067" s="19">
        <f>IF(OR(E1067="",E1066=""),"",E1067/E1066-1)</f>
        <v/>
      </c>
      <c r="N1067" s="19">
        <f>IF(OR(F1067="",F1066=""),"",F1067/F1066-1)</f>
        <v/>
      </c>
      <c r="O1067" s="19">
        <f>IF(OR(G1067="",G1066=""),"",G1067/G1066-1)</f>
        <v/>
      </c>
      <c r="P1067" s="22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IF(R1067="","",P1067/R1067)</f>
        <v/>
      </c>
      <c r="T1067" s="23">
        <f>IF(R1067="","",Q1067/R1067)</f>
        <v/>
      </c>
      <c r="U1067" s="24">
        <f>IF(SUMIFS('Daily NSE Equity Options'!$M:$M,'Daily NSE Equity Options'!$A:$A,$A1067)=0,"",SUMIFS('Daily NSE Equity Options'!$M:$M,'Daily NSE Equity Options'!$A:$A,$A1067))</f>
        <v/>
      </c>
      <c r="V1067" s="9">
        <f>IF(SUMIFS('Daily BSE Equity Options'!$M:$M,'Daily BSE Equity Options'!$A:$A,$A1067)=0,"",SUMIFS('Daily BSE Equity Options'!$M:$M,'Daily BSE Equity Options'!$A:$A,$A1067))</f>
        <v/>
      </c>
      <c r="W1067" s="9">
        <f>IF(OR(U1067="",V1067=""),"",U1067+V1067)</f>
        <v/>
      </c>
      <c r="X1067" s="25">
        <f>IF(W1067="","",U1067/W1067)</f>
        <v/>
      </c>
      <c r="Y1067" s="25">
        <f>IF(W1067="","",V1067/W1067)</f>
        <v/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19">
        <f>IF(G1068="","",E1068/G1068)</f>
        <v/>
      </c>
      <c r="I1068" s="19">
        <f>IF(G1068="","",F1068/G1068)</f>
        <v/>
      </c>
      <c r="J1068" s="26">
        <f>IFERROR(IF(OR(E1068="",INDEX(E:E,MATCH(DATE(YEAR($A1068)-1,MONTH($A1068),DAY($A1068)),$A:$A,0))=""),"",E1068/INDEX(E:E,MATCH(DATE(YEAR($A1068)-1,MONTH($A1068),DAY($A1068)),$A:$A,0))-1),"")</f>
        <v/>
      </c>
      <c r="K1068" s="19">
        <f>IFERROR(IF(OR(F1068="",INDEX(F:F,MATCH(DATE(YEAR($A1068)-1,MONTH($A1068),DAY($A1068)),$A:$A,0))=""),"",F1068/INDEX(F:F,MATCH(DATE(YEAR($A1068)-1,MONTH($A1068),DAY($A1068)),$A:$A,0))-1),"")</f>
        <v/>
      </c>
      <c r="L1068" s="19">
        <f>IFERROR(IF(OR(G1068="",INDEX(G:G,MATCH(DATE(YEAR($A1068)-1,MONTH($A1068),DAY($A1068)),$A:$A,0))=""),"",G1068/INDEX(G:G,MATCH(DATE(YEAR($A1068)-1,MONTH($A1068),DAY($A1068)),$A:$A,0))-1),"")</f>
        <v/>
      </c>
      <c r="M1068" s="19">
        <f>IF(OR(E1068="",E1067=""),"",E1068/E1067-1)</f>
        <v/>
      </c>
      <c r="N1068" s="19">
        <f>IF(OR(F1068="",F1067=""),"",F1068/F1067-1)</f>
        <v/>
      </c>
      <c r="O1068" s="19">
        <f>IF(OR(G1068="",G1067=""),"",G1068/G1067-1)</f>
        <v/>
      </c>
      <c r="P1068" s="22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IF(R1068="","",P1068/R1068)</f>
        <v/>
      </c>
      <c r="T1068" s="23">
        <f>IF(R1068="","",Q1068/R1068)</f>
        <v/>
      </c>
      <c r="U1068" s="24">
        <f>IF(SUMIFS('Daily NSE Equity Options'!$M:$M,'Daily NSE Equity Options'!$A:$A,$A1068)=0,"",SUMIFS('Daily NSE Equity Options'!$M:$M,'Daily NSE Equity Options'!$A:$A,$A1068))</f>
        <v/>
      </c>
      <c r="V1068" s="9">
        <f>IF(SUMIFS('Daily BSE Equity Options'!$M:$M,'Daily BSE Equity Options'!$A:$A,$A1068)=0,"",SUMIFS('Daily BSE Equity Options'!$M:$M,'Daily BSE Equity Options'!$A:$A,$A1068))</f>
        <v/>
      </c>
      <c r="W1068" s="9">
        <f>IF(OR(U1068="",V1068=""),"",U1068+V1068)</f>
        <v/>
      </c>
      <c r="X1068" s="25">
        <f>IF(W1068="","",U1068/W1068)</f>
        <v/>
      </c>
      <c r="Y1068" s="25">
        <f>IF(W1068="","",V1068/W1068)</f>
        <v/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19">
        <f>IF(G1069="","",E1069/G1069)</f>
        <v/>
      </c>
      <c r="I1069" s="19">
        <f>IF(G1069="","",F1069/G1069)</f>
        <v/>
      </c>
      <c r="J1069" s="26">
        <f>IFERROR(IF(OR(E1069="",INDEX(E:E,MATCH(DATE(YEAR($A1069)-1,MONTH($A1069),DAY($A1069)),$A:$A,0))=""),"",E1069/INDEX(E:E,MATCH(DATE(YEAR($A1069)-1,MONTH($A1069),DAY($A1069)),$A:$A,0))-1),"")</f>
        <v/>
      </c>
      <c r="K1069" s="19">
        <f>IFERROR(IF(OR(F1069="",INDEX(F:F,MATCH(DATE(YEAR($A1069)-1,MONTH($A1069),DAY($A1069)),$A:$A,0))=""),"",F1069/INDEX(F:F,MATCH(DATE(YEAR($A1069)-1,MONTH($A1069),DAY($A1069)),$A:$A,0))-1),"")</f>
        <v/>
      </c>
      <c r="L1069" s="19">
        <f>IFERROR(IF(OR(G1069="",INDEX(G:G,MATCH(DATE(YEAR($A1069)-1,MONTH($A1069),DAY($A1069)),$A:$A,0))=""),"",G1069/INDEX(G:G,MATCH(DATE(YEAR($A1069)-1,MONTH($A1069),DAY($A1069)),$A:$A,0))-1),"")</f>
        <v/>
      </c>
      <c r="M1069" s="19">
        <f>IF(OR(E1069="",E1068=""),"",E1069/E1068-1)</f>
        <v/>
      </c>
      <c r="N1069" s="19">
        <f>IF(OR(F1069="",F1068=""),"",F1069/F1068-1)</f>
        <v/>
      </c>
      <c r="O1069" s="19">
        <f>IF(OR(G1069="",G1068=""),"",G1069/G1068-1)</f>
        <v/>
      </c>
      <c r="P1069" s="22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IF(R1069="","",P1069/R1069)</f>
        <v/>
      </c>
      <c r="T1069" s="23">
        <f>IF(R1069="","",Q1069/R1069)</f>
        <v/>
      </c>
      <c r="U1069" s="24">
        <f>IF(SUMIFS('Daily NSE Equity Options'!$M:$M,'Daily NSE Equity Options'!$A:$A,$A1069)=0,"",SUMIFS('Daily NSE Equity Options'!$M:$M,'Daily NSE Equity Options'!$A:$A,$A1069))</f>
        <v/>
      </c>
      <c r="V1069" s="9">
        <f>IF(SUMIFS('Daily BSE Equity Options'!$M:$M,'Daily BSE Equity Options'!$A:$A,$A1069)=0,"",SUMIFS('Daily BSE Equity Options'!$M:$M,'Daily BSE Equity Options'!$A:$A,$A1069))</f>
        <v/>
      </c>
      <c r="W1069" s="9">
        <f>IF(OR(U1069="",V1069=""),"",U1069+V1069)</f>
        <v/>
      </c>
      <c r="X1069" s="25">
        <f>IF(W1069="","",U1069/W1069)</f>
        <v/>
      </c>
      <c r="Y1069" s="25">
        <f>IF(W1069="","",V1069/W1069)</f>
        <v/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19">
        <f>IF(G1070="","",E1070/G1070)</f>
        <v/>
      </c>
      <c r="I1070" s="19">
        <f>IF(G1070="","",F1070/G1070)</f>
        <v/>
      </c>
      <c r="J1070" s="26">
        <f>IFERROR(IF(OR(E1070="",INDEX(E:E,MATCH(DATE(YEAR($A1070)-1,MONTH($A1070),DAY($A1070)),$A:$A,0))=""),"",E1070/INDEX(E:E,MATCH(DATE(YEAR($A1070)-1,MONTH($A1070),DAY($A1070)),$A:$A,0))-1),"")</f>
        <v/>
      </c>
      <c r="K1070" s="19">
        <f>IFERROR(IF(OR(F1070="",INDEX(F:F,MATCH(DATE(YEAR($A1070)-1,MONTH($A1070),DAY($A1070)),$A:$A,0))=""),"",F1070/INDEX(F:F,MATCH(DATE(YEAR($A1070)-1,MONTH($A1070),DAY($A1070)),$A:$A,0))-1),"")</f>
        <v/>
      </c>
      <c r="L1070" s="19">
        <f>IFERROR(IF(OR(G1070="",INDEX(G:G,MATCH(DATE(YEAR($A1070)-1,MONTH($A1070),DAY($A1070)),$A:$A,0))=""),"",G1070/INDEX(G:G,MATCH(DATE(YEAR($A1070)-1,MONTH($A1070),DAY($A1070)),$A:$A,0))-1),"")</f>
        <v/>
      </c>
      <c r="M1070" s="19">
        <f>IF(OR(E1070="",E1069=""),"",E1070/E1069-1)</f>
        <v/>
      </c>
      <c r="N1070" s="19">
        <f>IF(OR(F1070="",F1069=""),"",F1070/F1069-1)</f>
        <v/>
      </c>
      <c r="O1070" s="19">
        <f>IF(OR(G1070="",G1069=""),"",G1070/G1069-1)</f>
        <v/>
      </c>
      <c r="P1070" s="22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IF(R1070="","",P1070/R1070)</f>
        <v/>
      </c>
      <c r="T1070" s="23">
        <f>IF(R1070="","",Q1070/R1070)</f>
        <v/>
      </c>
      <c r="U1070" s="24">
        <f>IF(SUMIFS('Daily NSE Equity Options'!$M:$M,'Daily NSE Equity Options'!$A:$A,$A1070)=0,"",SUMIFS('Daily NSE Equity Options'!$M:$M,'Daily NSE Equity Options'!$A:$A,$A1070))</f>
        <v/>
      </c>
      <c r="V1070" s="9">
        <f>IF(SUMIFS('Daily BSE Equity Options'!$M:$M,'Daily BSE Equity Options'!$A:$A,$A1070)=0,"",SUMIFS('Daily BSE Equity Options'!$M:$M,'Daily BSE Equity Options'!$A:$A,$A1070))</f>
        <v/>
      </c>
      <c r="W1070" s="9">
        <f>IF(OR(U1070="",V1070=""),"",U1070+V1070)</f>
        <v/>
      </c>
      <c r="X1070" s="25">
        <f>IF(W1070="","",U1070/W1070)</f>
        <v/>
      </c>
      <c r="Y1070" s="25">
        <f>IF(W1070="","",V1070/W1070)</f>
        <v/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19">
        <f>IF(G1071="","",E1071/G1071)</f>
        <v/>
      </c>
      <c r="I1071" s="19">
        <f>IF(G1071="","",F1071/G1071)</f>
        <v/>
      </c>
      <c r="J1071" s="26">
        <f>IFERROR(IF(OR(E1071="",INDEX(E:E,MATCH(DATE(YEAR($A1071)-1,MONTH($A1071),DAY($A1071)),$A:$A,0))=""),"",E1071/INDEX(E:E,MATCH(DATE(YEAR($A1071)-1,MONTH($A1071),DAY($A1071)),$A:$A,0))-1),"")</f>
        <v/>
      </c>
      <c r="K1071" s="19">
        <f>IFERROR(IF(OR(F1071="",INDEX(F:F,MATCH(DATE(YEAR($A1071)-1,MONTH($A1071),DAY($A1071)),$A:$A,0))=""),"",F1071/INDEX(F:F,MATCH(DATE(YEAR($A1071)-1,MONTH($A1071),DAY($A1071)),$A:$A,0))-1),"")</f>
        <v/>
      </c>
      <c r="L1071" s="19">
        <f>IFERROR(IF(OR(G1071="",INDEX(G:G,MATCH(DATE(YEAR($A1071)-1,MONTH($A1071),DAY($A1071)),$A:$A,0))=""),"",G1071/INDEX(G:G,MATCH(DATE(YEAR($A1071)-1,MONTH($A1071),DAY($A1071)),$A:$A,0))-1),"")</f>
        <v/>
      </c>
      <c r="M1071" s="19">
        <f>IF(OR(E1071="",E1070=""),"",E1071/E1070-1)</f>
        <v/>
      </c>
      <c r="N1071" s="19">
        <f>IF(OR(F1071="",F1070=""),"",F1071/F1070-1)</f>
        <v/>
      </c>
      <c r="O1071" s="19">
        <f>IF(OR(G1071="",G1070=""),"",G1071/G1070-1)</f>
        <v/>
      </c>
      <c r="P1071" s="22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IF(R1071="","",P1071/R1071)</f>
        <v/>
      </c>
      <c r="T1071" s="23">
        <f>IF(R1071="","",Q1071/R1071)</f>
        <v/>
      </c>
      <c r="U1071" s="24">
        <f>IF(SUMIFS('Daily NSE Equity Options'!$M:$M,'Daily NSE Equity Options'!$A:$A,$A1071)=0,"",SUMIFS('Daily NSE Equity Options'!$M:$M,'Daily NSE Equity Options'!$A:$A,$A1071))</f>
        <v/>
      </c>
      <c r="V1071" s="9">
        <f>IF(SUMIFS('Daily BSE Equity Options'!$M:$M,'Daily BSE Equity Options'!$A:$A,$A1071)=0,"",SUMIFS('Daily BSE Equity Options'!$M:$M,'Daily BSE Equity Options'!$A:$A,$A1071))</f>
        <v/>
      </c>
      <c r="W1071" s="9">
        <f>IF(OR(U1071="",V1071=""),"",U1071+V1071)</f>
        <v/>
      </c>
      <c r="X1071" s="25">
        <f>IF(W1071="","",U1071/W1071)</f>
        <v/>
      </c>
      <c r="Y1071" s="25">
        <f>IF(W1071="","",V1071/W1071)</f>
        <v/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19">
        <f>IF(G1072="","",E1072/G1072)</f>
        <v/>
      </c>
      <c r="I1072" s="19">
        <f>IF(G1072="","",F1072/G1072)</f>
        <v/>
      </c>
      <c r="J1072" s="26">
        <f>IFERROR(IF(OR(E1072="",INDEX(E:E,MATCH(DATE(YEAR($A1072)-1,MONTH($A1072),DAY($A1072)),$A:$A,0))=""),"",E1072/INDEX(E:E,MATCH(DATE(YEAR($A1072)-1,MONTH($A1072),DAY($A1072)),$A:$A,0))-1),"")</f>
        <v/>
      </c>
      <c r="K1072" s="19">
        <f>IFERROR(IF(OR(F1072="",INDEX(F:F,MATCH(DATE(YEAR($A1072)-1,MONTH($A1072),DAY($A1072)),$A:$A,0))=""),"",F1072/INDEX(F:F,MATCH(DATE(YEAR($A1072)-1,MONTH($A1072),DAY($A1072)),$A:$A,0))-1),"")</f>
        <v/>
      </c>
      <c r="L1072" s="19">
        <f>IFERROR(IF(OR(G1072="",INDEX(G:G,MATCH(DATE(YEAR($A1072)-1,MONTH($A1072),DAY($A1072)),$A:$A,0))=""),"",G1072/INDEX(G:G,MATCH(DATE(YEAR($A1072)-1,MONTH($A1072),DAY($A1072)),$A:$A,0))-1),"")</f>
        <v/>
      </c>
      <c r="M1072" s="19">
        <f>IF(OR(E1072="",E1071=""),"",E1072/E1071-1)</f>
        <v/>
      </c>
      <c r="N1072" s="19">
        <f>IF(OR(F1072="",F1071=""),"",F1072/F1071-1)</f>
        <v/>
      </c>
      <c r="O1072" s="19">
        <f>IF(OR(G1072="",G1071=""),"",G1072/G1071-1)</f>
        <v/>
      </c>
      <c r="P1072" s="22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IF(R1072="","",P1072/R1072)</f>
        <v/>
      </c>
      <c r="T1072" s="23">
        <f>IF(R1072="","",Q1072/R1072)</f>
        <v/>
      </c>
      <c r="U1072" s="24">
        <f>IF(SUMIFS('Daily NSE Equity Options'!$M:$M,'Daily NSE Equity Options'!$A:$A,$A1072)=0,"",SUMIFS('Daily NSE Equity Options'!$M:$M,'Daily NSE Equity Options'!$A:$A,$A1072))</f>
        <v/>
      </c>
      <c r="V1072" s="9">
        <f>IF(SUMIFS('Daily BSE Equity Options'!$M:$M,'Daily BSE Equity Options'!$A:$A,$A1072)=0,"",SUMIFS('Daily BSE Equity Options'!$M:$M,'Daily BSE Equity Options'!$A:$A,$A1072))</f>
        <v/>
      </c>
      <c r="W1072" s="9">
        <f>IF(OR(U1072="",V1072=""),"",U1072+V1072)</f>
        <v/>
      </c>
      <c r="X1072" s="25">
        <f>IF(W1072="","",U1072/W1072)</f>
        <v/>
      </c>
      <c r="Y1072" s="25">
        <f>IF(W1072="","",V1072/W1072)</f>
        <v/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19">
        <f>IF(G1073="","",E1073/G1073)</f>
        <v/>
      </c>
      <c r="I1073" s="19">
        <f>IF(G1073="","",F1073/G1073)</f>
        <v/>
      </c>
      <c r="J1073" s="26">
        <f>IFERROR(IF(OR(E1073="",INDEX(E:E,MATCH(DATE(YEAR($A1073)-1,MONTH($A1073),DAY($A1073)),$A:$A,0))=""),"",E1073/INDEX(E:E,MATCH(DATE(YEAR($A1073)-1,MONTH($A1073),DAY($A1073)),$A:$A,0))-1),"")</f>
        <v/>
      </c>
      <c r="K1073" s="19">
        <f>IFERROR(IF(OR(F1073="",INDEX(F:F,MATCH(DATE(YEAR($A1073)-1,MONTH($A1073),DAY($A1073)),$A:$A,0))=""),"",F1073/INDEX(F:F,MATCH(DATE(YEAR($A1073)-1,MONTH($A1073),DAY($A1073)),$A:$A,0))-1),"")</f>
        <v/>
      </c>
      <c r="L1073" s="19">
        <f>IFERROR(IF(OR(G1073="",INDEX(G:G,MATCH(DATE(YEAR($A1073)-1,MONTH($A1073),DAY($A1073)),$A:$A,0))=""),"",G1073/INDEX(G:G,MATCH(DATE(YEAR($A1073)-1,MONTH($A1073),DAY($A1073)),$A:$A,0))-1),"")</f>
        <v/>
      </c>
      <c r="M1073" s="19">
        <f>IF(OR(E1073="",E1072=""),"",E1073/E1072-1)</f>
        <v/>
      </c>
      <c r="N1073" s="19">
        <f>IF(OR(F1073="",F1072=""),"",F1073/F1072-1)</f>
        <v/>
      </c>
      <c r="O1073" s="19">
        <f>IF(OR(G1073="",G1072=""),"",G1073/G1072-1)</f>
        <v/>
      </c>
      <c r="P1073" s="22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IF(R1073="","",P1073/R1073)</f>
        <v/>
      </c>
      <c r="T1073" s="23">
        <f>IF(R1073="","",Q1073/R1073)</f>
        <v/>
      </c>
      <c r="U1073" s="24">
        <f>IF(SUMIFS('Daily NSE Equity Options'!$M:$M,'Daily NSE Equity Options'!$A:$A,$A1073)=0,"",SUMIFS('Daily NSE Equity Options'!$M:$M,'Daily NSE Equity Options'!$A:$A,$A1073))</f>
        <v/>
      </c>
      <c r="V1073" s="9">
        <f>IF(SUMIFS('Daily BSE Equity Options'!$M:$M,'Daily BSE Equity Options'!$A:$A,$A1073)=0,"",SUMIFS('Daily BSE Equity Options'!$M:$M,'Daily BSE Equity Options'!$A:$A,$A1073))</f>
        <v/>
      </c>
      <c r="W1073" s="9">
        <f>IF(OR(U1073="",V1073=""),"",U1073+V1073)</f>
        <v/>
      </c>
      <c r="X1073" s="25">
        <f>IF(W1073="","",U1073/W1073)</f>
        <v/>
      </c>
      <c r="Y1073" s="25">
        <f>IF(W1073="","",V1073/W1073)</f>
        <v/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19">
        <f>IF(G1074="","",E1074/G1074)</f>
        <v/>
      </c>
      <c r="I1074" s="19">
        <f>IF(G1074="","",F1074/G1074)</f>
        <v/>
      </c>
      <c r="J1074" s="26">
        <f>IFERROR(IF(OR(E1074="",INDEX(E:E,MATCH(DATE(YEAR($A1074)-1,MONTH($A1074),DAY($A1074)),$A:$A,0))=""),"",E1074/INDEX(E:E,MATCH(DATE(YEAR($A1074)-1,MONTH($A1074),DAY($A1074)),$A:$A,0))-1),"")</f>
        <v/>
      </c>
      <c r="K1074" s="19">
        <f>IFERROR(IF(OR(F1074="",INDEX(F:F,MATCH(DATE(YEAR($A1074)-1,MONTH($A1074),DAY($A1074)),$A:$A,0))=""),"",F1074/INDEX(F:F,MATCH(DATE(YEAR($A1074)-1,MONTH($A1074),DAY($A1074)),$A:$A,0))-1),"")</f>
        <v/>
      </c>
      <c r="L1074" s="19">
        <f>IFERROR(IF(OR(G1074="",INDEX(G:G,MATCH(DATE(YEAR($A1074)-1,MONTH($A1074),DAY($A1074)),$A:$A,0))=""),"",G1074/INDEX(G:G,MATCH(DATE(YEAR($A1074)-1,MONTH($A1074),DAY($A1074)),$A:$A,0))-1),"")</f>
        <v/>
      </c>
      <c r="M1074" s="19">
        <f>IF(OR(E1074="",E1073=""),"",E1074/E1073-1)</f>
        <v/>
      </c>
      <c r="N1074" s="19">
        <f>IF(OR(F1074="",F1073=""),"",F1074/F1073-1)</f>
        <v/>
      </c>
      <c r="O1074" s="19">
        <f>IF(OR(G1074="",G1073=""),"",G1074/G1073-1)</f>
        <v/>
      </c>
      <c r="P1074" s="22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IF(R1074="","",P1074/R1074)</f>
        <v/>
      </c>
      <c r="T1074" s="23">
        <f>IF(R1074="","",Q1074/R1074)</f>
        <v/>
      </c>
      <c r="U1074" s="24">
        <f>IF(SUMIFS('Daily NSE Equity Options'!$M:$M,'Daily NSE Equity Options'!$A:$A,$A1074)=0,"",SUMIFS('Daily NSE Equity Options'!$M:$M,'Daily NSE Equity Options'!$A:$A,$A1074))</f>
        <v/>
      </c>
      <c r="V1074" s="9">
        <f>IF(SUMIFS('Daily BSE Equity Options'!$M:$M,'Daily BSE Equity Options'!$A:$A,$A1074)=0,"",SUMIFS('Daily BSE Equity Options'!$M:$M,'Daily BSE Equity Options'!$A:$A,$A1074))</f>
        <v/>
      </c>
      <c r="W1074" s="9">
        <f>IF(OR(U1074="",V1074=""),"",U1074+V1074)</f>
        <v/>
      </c>
      <c r="X1074" s="25">
        <f>IF(W1074="","",U1074/W1074)</f>
        <v/>
      </c>
      <c r="Y1074" s="25">
        <f>IF(W1074="","",V1074/W1074)</f>
        <v/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19">
        <f>IF(G1075="","",E1075/G1075)</f>
        <v/>
      </c>
      <c r="I1075" s="19">
        <f>IF(G1075="","",F1075/G1075)</f>
        <v/>
      </c>
      <c r="J1075" s="26">
        <f>IFERROR(IF(OR(E1075="",INDEX(E:E,MATCH(DATE(YEAR($A1075)-1,MONTH($A1075),DAY($A1075)),$A:$A,0))=""),"",E1075/INDEX(E:E,MATCH(DATE(YEAR($A1075)-1,MONTH($A1075),DAY($A1075)),$A:$A,0))-1),"")</f>
        <v/>
      </c>
      <c r="K1075" s="19">
        <f>IFERROR(IF(OR(F1075="",INDEX(F:F,MATCH(DATE(YEAR($A1075)-1,MONTH($A1075),DAY($A1075)),$A:$A,0))=""),"",F1075/INDEX(F:F,MATCH(DATE(YEAR($A1075)-1,MONTH($A1075),DAY($A1075)),$A:$A,0))-1),"")</f>
        <v/>
      </c>
      <c r="L1075" s="19">
        <f>IFERROR(IF(OR(G1075="",INDEX(G:G,MATCH(DATE(YEAR($A1075)-1,MONTH($A1075),DAY($A1075)),$A:$A,0))=""),"",G1075/INDEX(G:G,MATCH(DATE(YEAR($A1075)-1,MONTH($A1075),DAY($A1075)),$A:$A,0))-1),"")</f>
        <v/>
      </c>
      <c r="M1075" s="19">
        <f>IF(OR(E1075="",E1074=""),"",E1075/E1074-1)</f>
        <v/>
      </c>
      <c r="N1075" s="19">
        <f>IF(OR(F1075="",F1074=""),"",F1075/F1074-1)</f>
        <v/>
      </c>
      <c r="O1075" s="19">
        <f>IF(OR(G1075="",G1074=""),"",G1075/G1074-1)</f>
        <v/>
      </c>
      <c r="P1075" s="22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IF(R1075="","",P1075/R1075)</f>
        <v/>
      </c>
      <c r="T1075" s="23">
        <f>IF(R1075="","",Q1075/R1075)</f>
        <v/>
      </c>
      <c r="U1075" s="24">
        <f>IF(SUMIFS('Daily NSE Equity Options'!$M:$M,'Daily NSE Equity Options'!$A:$A,$A1075)=0,"",SUMIFS('Daily NSE Equity Options'!$M:$M,'Daily NSE Equity Options'!$A:$A,$A1075))</f>
        <v/>
      </c>
      <c r="V1075" s="9">
        <f>IF(SUMIFS('Daily BSE Equity Options'!$M:$M,'Daily BSE Equity Options'!$A:$A,$A1075)=0,"",SUMIFS('Daily BSE Equity Options'!$M:$M,'Daily BSE Equity Options'!$A:$A,$A1075))</f>
        <v/>
      </c>
      <c r="W1075" s="9">
        <f>IF(OR(U1075="",V1075=""),"",U1075+V1075)</f>
        <v/>
      </c>
      <c r="X1075" s="25">
        <f>IF(W1075="","",U1075/W1075)</f>
        <v/>
      </c>
      <c r="Y1075" s="25">
        <f>IF(W1075="","",V1075/W1075)</f>
        <v/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19">
        <f>IF(G1076="","",E1076/G1076)</f>
        <v/>
      </c>
      <c r="I1076" s="19">
        <f>IF(G1076="","",F1076/G1076)</f>
        <v/>
      </c>
      <c r="J1076" s="26">
        <f>IFERROR(IF(OR(E1076="",INDEX(E:E,MATCH(DATE(YEAR($A1076)-1,MONTH($A1076),DAY($A1076)),$A:$A,0))=""),"",E1076/INDEX(E:E,MATCH(DATE(YEAR($A1076)-1,MONTH($A1076),DAY($A1076)),$A:$A,0))-1),"")</f>
        <v/>
      </c>
      <c r="K1076" s="19">
        <f>IFERROR(IF(OR(F1076="",INDEX(F:F,MATCH(DATE(YEAR($A1076)-1,MONTH($A1076),DAY($A1076)),$A:$A,0))=""),"",F1076/INDEX(F:F,MATCH(DATE(YEAR($A1076)-1,MONTH($A1076),DAY($A1076)),$A:$A,0))-1),"")</f>
        <v/>
      </c>
      <c r="L1076" s="19">
        <f>IFERROR(IF(OR(G1076="",INDEX(G:G,MATCH(DATE(YEAR($A1076)-1,MONTH($A1076),DAY($A1076)),$A:$A,0))=""),"",G1076/INDEX(G:G,MATCH(DATE(YEAR($A1076)-1,MONTH($A1076),DAY($A1076)),$A:$A,0))-1),"")</f>
        <v/>
      </c>
      <c r="M1076" s="19">
        <f>IF(OR(E1076="",E1075=""),"",E1076/E1075-1)</f>
        <v/>
      </c>
      <c r="N1076" s="19">
        <f>IF(OR(F1076="",F1075=""),"",F1076/F1075-1)</f>
        <v/>
      </c>
      <c r="O1076" s="19">
        <f>IF(OR(G1076="",G1075=""),"",G1076/G1075-1)</f>
        <v/>
      </c>
      <c r="P1076" s="22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IF(R1076="","",P1076/R1076)</f>
        <v/>
      </c>
      <c r="T1076" s="23">
        <f>IF(R1076="","",Q1076/R1076)</f>
        <v/>
      </c>
      <c r="U1076" s="24">
        <f>IF(SUMIFS('Daily NSE Equity Options'!$M:$M,'Daily NSE Equity Options'!$A:$A,$A1076)=0,"",SUMIFS('Daily NSE Equity Options'!$M:$M,'Daily NSE Equity Options'!$A:$A,$A1076))</f>
        <v/>
      </c>
      <c r="V1076" s="9">
        <f>IF(SUMIFS('Daily BSE Equity Options'!$M:$M,'Daily BSE Equity Options'!$A:$A,$A1076)=0,"",SUMIFS('Daily BSE Equity Options'!$M:$M,'Daily BSE Equity Options'!$A:$A,$A1076))</f>
        <v/>
      </c>
      <c r="W1076" s="9">
        <f>IF(OR(U1076="",V1076=""),"",U1076+V1076)</f>
        <v/>
      </c>
      <c r="X1076" s="25">
        <f>IF(W1076="","",U1076/W1076)</f>
        <v/>
      </c>
      <c r="Y1076" s="25">
        <f>IF(W1076="","",V1076/W1076)</f>
        <v/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19">
        <f>IF(G1077="","",E1077/G1077)</f>
        <v/>
      </c>
      <c r="I1077" s="19">
        <f>IF(G1077="","",F1077/G1077)</f>
        <v/>
      </c>
      <c r="J1077" s="26">
        <f>IFERROR(IF(OR(E1077="",INDEX(E:E,MATCH(DATE(YEAR($A1077)-1,MONTH($A1077),DAY($A1077)),$A:$A,0))=""),"",E1077/INDEX(E:E,MATCH(DATE(YEAR($A1077)-1,MONTH($A1077),DAY($A1077)),$A:$A,0))-1),"")</f>
        <v/>
      </c>
      <c r="K1077" s="19">
        <f>IFERROR(IF(OR(F1077="",INDEX(F:F,MATCH(DATE(YEAR($A1077)-1,MONTH($A1077),DAY($A1077)),$A:$A,0))=""),"",F1077/INDEX(F:F,MATCH(DATE(YEAR($A1077)-1,MONTH($A1077),DAY($A1077)),$A:$A,0))-1),"")</f>
        <v/>
      </c>
      <c r="L1077" s="19">
        <f>IFERROR(IF(OR(G1077="",INDEX(G:G,MATCH(DATE(YEAR($A1077)-1,MONTH($A1077),DAY($A1077)),$A:$A,0))=""),"",G1077/INDEX(G:G,MATCH(DATE(YEAR($A1077)-1,MONTH($A1077),DAY($A1077)),$A:$A,0))-1),"")</f>
        <v/>
      </c>
      <c r="M1077" s="19">
        <f>IF(OR(E1077="",E1076=""),"",E1077/E1076-1)</f>
        <v/>
      </c>
      <c r="N1077" s="19">
        <f>IF(OR(F1077="",F1076=""),"",F1077/F1076-1)</f>
        <v/>
      </c>
      <c r="O1077" s="19">
        <f>IF(OR(G1077="",G1076=""),"",G1077/G1076-1)</f>
        <v/>
      </c>
      <c r="P1077" s="22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IF(R1077="","",P1077/R1077)</f>
        <v/>
      </c>
      <c r="T1077" s="23">
        <f>IF(R1077="","",Q1077/R1077)</f>
        <v/>
      </c>
      <c r="U1077" s="24">
        <f>IF(SUMIFS('Daily NSE Equity Options'!$M:$M,'Daily NSE Equity Options'!$A:$A,$A1077)=0,"",SUMIFS('Daily NSE Equity Options'!$M:$M,'Daily NSE Equity Options'!$A:$A,$A1077))</f>
        <v/>
      </c>
      <c r="V1077" s="9">
        <f>IF(SUMIFS('Daily BSE Equity Options'!$M:$M,'Daily BSE Equity Options'!$A:$A,$A1077)=0,"",SUMIFS('Daily BSE Equity Options'!$M:$M,'Daily BSE Equity Options'!$A:$A,$A1077))</f>
        <v/>
      </c>
      <c r="W1077" s="9">
        <f>IF(OR(U1077="",V1077=""),"",U1077+V1077)</f>
        <v/>
      </c>
      <c r="X1077" s="25">
        <f>IF(W1077="","",U1077/W1077)</f>
        <v/>
      </c>
      <c r="Y1077" s="25">
        <f>IF(W1077="","",V1077/W1077)</f>
        <v/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19">
        <f>IF(G1078="","",E1078/G1078)</f>
        <v/>
      </c>
      <c r="I1078" s="19">
        <f>IF(G1078="","",F1078/G1078)</f>
        <v/>
      </c>
      <c r="J1078" s="26">
        <f>IFERROR(IF(OR(E1078="",INDEX(E:E,MATCH(DATE(YEAR($A1078)-1,MONTH($A1078),DAY($A1078)),$A:$A,0))=""),"",E1078/INDEX(E:E,MATCH(DATE(YEAR($A1078)-1,MONTH($A1078),DAY($A1078)),$A:$A,0))-1),"")</f>
        <v/>
      </c>
      <c r="K1078" s="19">
        <f>IFERROR(IF(OR(F1078="",INDEX(F:F,MATCH(DATE(YEAR($A1078)-1,MONTH($A1078),DAY($A1078)),$A:$A,0))=""),"",F1078/INDEX(F:F,MATCH(DATE(YEAR($A1078)-1,MONTH($A1078),DAY($A1078)),$A:$A,0))-1),"")</f>
        <v/>
      </c>
      <c r="L1078" s="19">
        <f>IFERROR(IF(OR(G1078="",INDEX(G:G,MATCH(DATE(YEAR($A1078)-1,MONTH($A1078),DAY($A1078)),$A:$A,0))=""),"",G1078/INDEX(G:G,MATCH(DATE(YEAR($A1078)-1,MONTH($A1078),DAY($A1078)),$A:$A,0))-1),"")</f>
        <v/>
      </c>
      <c r="M1078" s="19">
        <f>IF(OR(E1078="",E1077=""),"",E1078/E1077-1)</f>
        <v/>
      </c>
      <c r="N1078" s="19">
        <f>IF(OR(F1078="",F1077=""),"",F1078/F1077-1)</f>
        <v/>
      </c>
      <c r="O1078" s="19">
        <f>IF(OR(G1078="",G1077=""),"",G1078/G1077-1)</f>
        <v/>
      </c>
      <c r="P1078" s="22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IF(R1078="","",P1078/R1078)</f>
        <v/>
      </c>
      <c r="T1078" s="23">
        <f>IF(R1078="","",Q1078/R1078)</f>
        <v/>
      </c>
      <c r="U1078" s="24">
        <f>IF(SUMIFS('Daily NSE Equity Options'!$M:$M,'Daily NSE Equity Options'!$A:$A,$A1078)=0,"",SUMIFS('Daily NSE Equity Options'!$M:$M,'Daily NSE Equity Options'!$A:$A,$A1078))</f>
        <v/>
      </c>
      <c r="V1078" s="9">
        <f>IF(SUMIFS('Daily BSE Equity Options'!$M:$M,'Daily BSE Equity Options'!$A:$A,$A1078)=0,"",SUMIFS('Daily BSE Equity Options'!$M:$M,'Daily BSE Equity Options'!$A:$A,$A1078))</f>
        <v/>
      </c>
      <c r="W1078" s="9">
        <f>IF(OR(U1078="",V1078=""),"",U1078+V1078)</f>
        <v/>
      </c>
      <c r="X1078" s="25">
        <f>IF(W1078="","",U1078/W1078)</f>
        <v/>
      </c>
      <c r="Y1078" s="25">
        <f>IF(W1078="","",V1078/W1078)</f>
        <v/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19">
        <f>IF(G1079="","",E1079/G1079)</f>
        <v/>
      </c>
      <c r="I1079" s="19">
        <f>IF(G1079="","",F1079/G1079)</f>
        <v/>
      </c>
      <c r="J1079" s="26">
        <f>IFERROR(IF(OR(E1079="",INDEX(E:E,MATCH(DATE(YEAR($A1079)-1,MONTH($A1079),DAY($A1079)),$A:$A,0))=""),"",E1079/INDEX(E:E,MATCH(DATE(YEAR($A1079)-1,MONTH($A1079),DAY($A1079)),$A:$A,0))-1),"")</f>
        <v/>
      </c>
      <c r="K1079" s="19">
        <f>IFERROR(IF(OR(F1079="",INDEX(F:F,MATCH(DATE(YEAR($A1079)-1,MONTH($A1079),DAY($A1079)),$A:$A,0))=""),"",F1079/INDEX(F:F,MATCH(DATE(YEAR($A1079)-1,MONTH($A1079),DAY($A1079)),$A:$A,0))-1),"")</f>
        <v/>
      </c>
      <c r="L1079" s="19">
        <f>IFERROR(IF(OR(G1079="",INDEX(G:G,MATCH(DATE(YEAR($A1079)-1,MONTH($A1079),DAY($A1079)),$A:$A,0))=""),"",G1079/INDEX(G:G,MATCH(DATE(YEAR($A1079)-1,MONTH($A1079),DAY($A1079)),$A:$A,0))-1),"")</f>
        <v/>
      </c>
      <c r="M1079" s="19">
        <f>IF(OR(E1079="",E1078=""),"",E1079/E1078-1)</f>
        <v/>
      </c>
      <c r="N1079" s="19">
        <f>IF(OR(F1079="",F1078=""),"",F1079/F1078-1)</f>
        <v/>
      </c>
      <c r="O1079" s="19">
        <f>IF(OR(G1079="",G1078=""),"",G1079/G1078-1)</f>
        <v/>
      </c>
      <c r="P1079" s="22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IF(R1079="","",P1079/R1079)</f>
        <v/>
      </c>
      <c r="T1079" s="23">
        <f>IF(R1079="","",Q1079/R1079)</f>
        <v/>
      </c>
      <c r="U1079" s="24">
        <f>IF(SUMIFS('Daily NSE Equity Options'!$M:$M,'Daily NSE Equity Options'!$A:$A,$A1079)=0,"",SUMIFS('Daily NSE Equity Options'!$M:$M,'Daily NSE Equity Options'!$A:$A,$A1079))</f>
        <v/>
      </c>
      <c r="V1079" s="9">
        <f>IF(SUMIFS('Daily BSE Equity Options'!$M:$M,'Daily BSE Equity Options'!$A:$A,$A1079)=0,"",SUMIFS('Daily BSE Equity Options'!$M:$M,'Daily BSE Equity Options'!$A:$A,$A1079))</f>
        <v/>
      </c>
      <c r="W1079" s="9">
        <f>IF(OR(U1079="",V1079=""),"",U1079+V1079)</f>
        <v/>
      </c>
      <c r="X1079" s="25">
        <f>IF(W1079="","",U1079/W1079)</f>
        <v/>
      </c>
      <c r="Y1079" s="25">
        <f>IF(W1079="","",V1079/W1079)</f>
        <v/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19">
        <f>IF(G1080="","",E1080/G1080)</f>
        <v/>
      </c>
      <c r="I1080" s="19">
        <f>IF(G1080="","",F1080/G1080)</f>
        <v/>
      </c>
      <c r="J1080" s="26">
        <f>IFERROR(IF(OR(E1080="",INDEX(E:E,MATCH(DATE(YEAR($A1080)-1,MONTH($A1080),DAY($A1080)),$A:$A,0))=""),"",E1080/INDEX(E:E,MATCH(DATE(YEAR($A1080)-1,MONTH($A1080),DAY($A1080)),$A:$A,0))-1),"")</f>
        <v/>
      </c>
      <c r="K1080" s="19">
        <f>IFERROR(IF(OR(F1080="",INDEX(F:F,MATCH(DATE(YEAR($A1080)-1,MONTH($A1080),DAY($A1080)),$A:$A,0))=""),"",F1080/INDEX(F:F,MATCH(DATE(YEAR($A1080)-1,MONTH($A1080),DAY($A1080)),$A:$A,0))-1),"")</f>
        <v/>
      </c>
      <c r="L1080" s="19">
        <f>IFERROR(IF(OR(G1080="",INDEX(G:G,MATCH(DATE(YEAR($A1080)-1,MONTH($A1080),DAY($A1080)),$A:$A,0))=""),"",G1080/INDEX(G:G,MATCH(DATE(YEAR($A1080)-1,MONTH($A1080),DAY($A1080)),$A:$A,0))-1),"")</f>
        <v/>
      </c>
      <c r="M1080" s="19">
        <f>IF(OR(E1080="",E1079=""),"",E1080/E1079-1)</f>
        <v/>
      </c>
      <c r="N1080" s="19">
        <f>IF(OR(F1080="",F1079=""),"",F1080/F1079-1)</f>
        <v/>
      </c>
      <c r="O1080" s="19">
        <f>IF(OR(G1080="",G1079=""),"",G1080/G1079-1)</f>
        <v/>
      </c>
      <c r="P1080" s="22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IF(R1080="","",P1080/R1080)</f>
        <v/>
      </c>
      <c r="T1080" s="23">
        <f>IF(R1080="","",Q1080/R1080)</f>
        <v/>
      </c>
      <c r="U1080" s="24">
        <f>IF(SUMIFS('Daily NSE Equity Options'!$M:$M,'Daily NSE Equity Options'!$A:$A,$A1080)=0,"",SUMIFS('Daily NSE Equity Options'!$M:$M,'Daily NSE Equity Options'!$A:$A,$A1080))</f>
        <v/>
      </c>
      <c r="V1080" s="9">
        <f>IF(SUMIFS('Daily BSE Equity Options'!$M:$M,'Daily BSE Equity Options'!$A:$A,$A1080)=0,"",SUMIFS('Daily BSE Equity Options'!$M:$M,'Daily BSE Equity Options'!$A:$A,$A1080))</f>
        <v/>
      </c>
      <c r="W1080" s="9">
        <f>IF(OR(U1080="",V1080=""),"",U1080+V1080)</f>
        <v/>
      </c>
      <c r="X1080" s="25">
        <f>IF(W1080="","",U1080/W1080)</f>
        <v/>
      </c>
      <c r="Y1080" s="25">
        <f>IF(W1080="","",V1080/W1080)</f>
        <v/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19">
        <f>IF(G1081="","",E1081/G1081)</f>
        <v/>
      </c>
      <c r="I1081" s="19">
        <f>IF(G1081="","",F1081/G1081)</f>
        <v/>
      </c>
      <c r="J1081" s="26">
        <f>IFERROR(IF(OR(E1081="",INDEX(E:E,MATCH(DATE(YEAR($A1081)-1,MONTH($A1081),DAY($A1081)),$A:$A,0))=""),"",E1081/INDEX(E:E,MATCH(DATE(YEAR($A1081)-1,MONTH($A1081),DAY($A1081)),$A:$A,0))-1),"")</f>
        <v/>
      </c>
      <c r="K1081" s="19">
        <f>IFERROR(IF(OR(F1081="",INDEX(F:F,MATCH(DATE(YEAR($A1081)-1,MONTH($A1081),DAY($A1081)),$A:$A,0))=""),"",F1081/INDEX(F:F,MATCH(DATE(YEAR($A1081)-1,MONTH($A1081),DAY($A1081)),$A:$A,0))-1),"")</f>
        <v/>
      </c>
      <c r="L1081" s="19">
        <f>IFERROR(IF(OR(G1081="",INDEX(G:G,MATCH(DATE(YEAR($A1081)-1,MONTH($A1081),DAY($A1081)),$A:$A,0))=""),"",G1081/INDEX(G:G,MATCH(DATE(YEAR($A1081)-1,MONTH($A1081),DAY($A1081)),$A:$A,0))-1),"")</f>
        <v/>
      </c>
      <c r="M1081" s="19">
        <f>IF(OR(E1081="",E1080=""),"",E1081/E1080-1)</f>
        <v/>
      </c>
      <c r="N1081" s="19">
        <f>IF(OR(F1081="",F1080=""),"",F1081/F1080-1)</f>
        <v/>
      </c>
      <c r="O1081" s="19">
        <f>IF(OR(G1081="",G1080=""),"",G1081/G1080-1)</f>
        <v/>
      </c>
      <c r="P1081" s="22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IF(R1081="","",P1081/R1081)</f>
        <v/>
      </c>
      <c r="T1081" s="23">
        <f>IF(R1081="","",Q1081/R1081)</f>
        <v/>
      </c>
      <c r="U1081" s="24">
        <f>IF(SUMIFS('Daily NSE Equity Options'!$M:$M,'Daily NSE Equity Options'!$A:$A,$A1081)=0,"",SUMIFS('Daily NSE Equity Options'!$M:$M,'Daily NSE Equity Options'!$A:$A,$A1081))</f>
        <v/>
      </c>
      <c r="V1081" s="9">
        <f>IF(SUMIFS('Daily BSE Equity Options'!$M:$M,'Daily BSE Equity Options'!$A:$A,$A1081)=0,"",SUMIFS('Daily BSE Equity Options'!$M:$M,'Daily BSE Equity Options'!$A:$A,$A1081))</f>
        <v/>
      </c>
      <c r="W1081" s="9">
        <f>IF(OR(U1081="",V1081=""),"",U1081+V1081)</f>
        <v/>
      </c>
      <c r="X1081" s="25">
        <f>IF(W1081="","",U1081/W1081)</f>
        <v/>
      </c>
      <c r="Y1081" s="25">
        <f>IF(W1081="","",V1081/W1081)</f>
        <v/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19">
        <f>IF(G1082="","",E1082/G1082)</f>
        <v/>
      </c>
      <c r="I1082" s="19">
        <f>IF(G1082="","",F1082/G1082)</f>
        <v/>
      </c>
      <c r="J1082" s="26">
        <f>IFERROR(IF(OR(E1082="",INDEX(E:E,MATCH(DATE(YEAR($A1082)-1,MONTH($A1082),DAY($A1082)),$A:$A,0))=""),"",E1082/INDEX(E:E,MATCH(DATE(YEAR($A1082)-1,MONTH($A1082),DAY($A1082)),$A:$A,0))-1),"")</f>
        <v/>
      </c>
      <c r="K1082" s="19">
        <f>IFERROR(IF(OR(F1082="",INDEX(F:F,MATCH(DATE(YEAR($A1082)-1,MONTH($A1082),DAY($A1082)),$A:$A,0))=""),"",F1082/INDEX(F:F,MATCH(DATE(YEAR($A1082)-1,MONTH($A1082),DAY($A1082)),$A:$A,0))-1),"")</f>
        <v/>
      </c>
      <c r="L1082" s="19">
        <f>IFERROR(IF(OR(G1082="",INDEX(G:G,MATCH(DATE(YEAR($A1082)-1,MONTH($A1082),DAY($A1082)),$A:$A,0))=""),"",G1082/INDEX(G:G,MATCH(DATE(YEAR($A1082)-1,MONTH($A1082),DAY($A1082)),$A:$A,0))-1),"")</f>
        <v/>
      </c>
      <c r="M1082" s="19">
        <f>IF(OR(E1082="",E1081=""),"",E1082/E1081-1)</f>
        <v/>
      </c>
      <c r="N1082" s="19">
        <f>IF(OR(F1082="",F1081=""),"",F1082/F1081-1)</f>
        <v/>
      </c>
      <c r="O1082" s="19">
        <f>IF(OR(G1082="",G1081=""),"",G1082/G1081-1)</f>
        <v/>
      </c>
      <c r="P1082" s="22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IF(R1082="","",P1082/R1082)</f>
        <v/>
      </c>
      <c r="T1082" s="23">
        <f>IF(R1082="","",Q1082/R1082)</f>
        <v/>
      </c>
      <c r="U1082" s="24">
        <f>IF(SUMIFS('Daily NSE Equity Options'!$M:$M,'Daily NSE Equity Options'!$A:$A,$A1082)=0,"",SUMIFS('Daily NSE Equity Options'!$M:$M,'Daily NSE Equity Options'!$A:$A,$A1082))</f>
        <v/>
      </c>
      <c r="V1082" s="9">
        <f>IF(SUMIFS('Daily BSE Equity Options'!$M:$M,'Daily BSE Equity Options'!$A:$A,$A1082)=0,"",SUMIFS('Daily BSE Equity Options'!$M:$M,'Daily BSE Equity Options'!$A:$A,$A1082))</f>
        <v/>
      </c>
      <c r="W1082" s="9">
        <f>IF(OR(U1082="",V1082=""),"",U1082+V1082)</f>
        <v/>
      </c>
      <c r="X1082" s="25">
        <f>IF(W1082="","",U1082/W1082)</f>
        <v/>
      </c>
      <c r="Y1082" s="25">
        <f>IF(W1082="","",V1082/W1082)</f>
        <v/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19">
        <f>IF(G1083="","",E1083/G1083)</f>
        <v/>
      </c>
      <c r="I1083" s="19">
        <f>IF(G1083="","",F1083/G1083)</f>
        <v/>
      </c>
      <c r="J1083" s="26">
        <f>IFERROR(IF(OR(E1083="",INDEX(E:E,MATCH(DATE(YEAR($A1083)-1,MONTH($A1083),DAY($A1083)),$A:$A,0))=""),"",E1083/INDEX(E:E,MATCH(DATE(YEAR($A1083)-1,MONTH($A1083),DAY($A1083)),$A:$A,0))-1),"")</f>
        <v/>
      </c>
      <c r="K1083" s="19">
        <f>IFERROR(IF(OR(F1083="",INDEX(F:F,MATCH(DATE(YEAR($A1083)-1,MONTH($A1083),DAY($A1083)),$A:$A,0))=""),"",F1083/INDEX(F:F,MATCH(DATE(YEAR($A1083)-1,MONTH($A1083),DAY($A1083)),$A:$A,0))-1),"")</f>
        <v/>
      </c>
      <c r="L1083" s="19">
        <f>IFERROR(IF(OR(G1083="",INDEX(G:G,MATCH(DATE(YEAR($A1083)-1,MONTH($A1083),DAY($A1083)),$A:$A,0))=""),"",G1083/INDEX(G:G,MATCH(DATE(YEAR($A1083)-1,MONTH($A1083),DAY($A1083)),$A:$A,0))-1),"")</f>
        <v/>
      </c>
      <c r="M1083" s="19">
        <f>IF(OR(E1083="",E1082=""),"",E1083/E1082-1)</f>
        <v/>
      </c>
      <c r="N1083" s="19">
        <f>IF(OR(F1083="",F1082=""),"",F1083/F1082-1)</f>
        <v/>
      </c>
      <c r="O1083" s="19">
        <f>IF(OR(G1083="",G1082=""),"",G1083/G1082-1)</f>
        <v/>
      </c>
      <c r="P1083" s="22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IF(R1083="","",P1083/R1083)</f>
        <v/>
      </c>
      <c r="T1083" s="23">
        <f>IF(R1083="","",Q1083/R1083)</f>
        <v/>
      </c>
      <c r="U1083" s="24">
        <f>IF(SUMIFS('Daily NSE Equity Options'!$M:$M,'Daily NSE Equity Options'!$A:$A,$A1083)=0,"",SUMIFS('Daily NSE Equity Options'!$M:$M,'Daily NSE Equity Options'!$A:$A,$A1083))</f>
        <v/>
      </c>
      <c r="V1083" s="9">
        <f>IF(SUMIFS('Daily BSE Equity Options'!$M:$M,'Daily BSE Equity Options'!$A:$A,$A1083)=0,"",SUMIFS('Daily BSE Equity Options'!$M:$M,'Daily BSE Equity Options'!$A:$A,$A1083))</f>
        <v/>
      </c>
      <c r="W1083" s="9">
        <f>IF(OR(U1083="",V1083=""),"",U1083+V1083)</f>
        <v/>
      </c>
      <c r="X1083" s="25">
        <f>IF(W1083="","",U1083/W1083)</f>
        <v/>
      </c>
      <c r="Y1083" s="25">
        <f>IF(W1083="","",V1083/W1083)</f>
        <v/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19">
        <f>IF(G1084="","",E1084/G1084)</f>
        <v/>
      </c>
      <c r="I1084" s="19">
        <f>IF(G1084="","",F1084/G1084)</f>
        <v/>
      </c>
      <c r="J1084" s="26">
        <f>IFERROR(IF(OR(E1084="",INDEX(E:E,MATCH(DATE(YEAR($A1084)-1,MONTH($A1084),DAY($A1084)),$A:$A,0))=""),"",E1084/INDEX(E:E,MATCH(DATE(YEAR($A1084)-1,MONTH($A1084),DAY($A1084)),$A:$A,0))-1),"")</f>
        <v/>
      </c>
      <c r="K1084" s="19">
        <f>IFERROR(IF(OR(F1084="",INDEX(F:F,MATCH(DATE(YEAR($A1084)-1,MONTH($A1084),DAY($A1084)),$A:$A,0))=""),"",F1084/INDEX(F:F,MATCH(DATE(YEAR($A1084)-1,MONTH($A1084),DAY($A1084)),$A:$A,0))-1),"")</f>
        <v/>
      </c>
      <c r="L1084" s="19">
        <f>IFERROR(IF(OR(G1084="",INDEX(G:G,MATCH(DATE(YEAR($A1084)-1,MONTH($A1084),DAY($A1084)),$A:$A,0))=""),"",G1084/INDEX(G:G,MATCH(DATE(YEAR($A1084)-1,MONTH($A1084),DAY($A1084)),$A:$A,0))-1),"")</f>
        <v/>
      </c>
      <c r="M1084" s="19">
        <f>IF(OR(E1084="",E1083=""),"",E1084/E1083-1)</f>
        <v/>
      </c>
      <c r="N1084" s="19">
        <f>IF(OR(F1084="",F1083=""),"",F1084/F1083-1)</f>
        <v/>
      </c>
      <c r="O1084" s="19">
        <f>IF(OR(G1084="",G1083=""),"",G1084/G1083-1)</f>
        <v/>
      </c>
      <c r="P1084" s="22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IF(R1084="","",P1084/R1084)</f>
        <v/>
      </c>
      <c r="T1084" s="23">
        <f>IF(R1084="","",Q1084/R1084)</f>
        <v/>
      </c>
      <c r="U1084" s="24">
        <f>IF(SUMIFS('Daily NSE Equity Options'!$M:$M,'Daily NSE Equity Options'!$A:$A,$A1084)=0,"",SUMIFS('Daily NSE Equity Options'!$M:$M,'Daily NSE Equity Options'!$A:$A,$A1084))</f>
        <v/>
      </c>
      <c r="V1084" s="9">
        <f>IF(SUMIFS('Daily BSE Equity Options'!$M:$M,'Daily BSE Equity Options'!$A:$A,$A1084)=0,"",SUMIFS('Daily BSE Equity Options'!$M:$M,'Daily BSE Equity Options'!$A:$A,$A1084))</f>
        <v/>
      </c>
      <c r="W1084" s="9">
        <f>IF(OR(U1084="",V1084=""),"",U1084+V1084)</f>
        <v/>
      </c>
      <c r="X1084" s="25">
        <f>IF(W1084="","",U1084/W1084)</f>
        <v/>
      </c>
      <c r="Y1084" s="25">
        <f>IF(W1084="","",V1084/W1084)</f>
        <v/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19">
        <f>IF(G1085="","",E1085/G1085)</f>
        <v/>
      </c>
      <c r="I1085" s="19">
        <f>IF(G1085="","",F1085/G1085)</f>
        <v/>
      </c>
      <c r="J1085" s="26">
        <f>IFERROR(IF(OR(E1085="",INDEX(E:E,MATCH(DATE(YEAR($A1085)-1,MONTH($A1085),DAY($A1085)),$A:$A,0))=""),"",E1085/INDEX(E:E,MATCH(DATE(YEAR($A1085)-1,MONTH($A1085),DAY($A1085)),$A:$A,0))-1),"")</f>
        <v/>
      </c>
      <c r="K1085" s="19">
        <f>IFERROR(IF(OR(F1085="",INDEX(F:F,MATCH(DATE(YEAR($A1085)-1,MONTH($A1085),DAY($A1085)),$A:$A,0))=""),"",F1085/INDEX(F:F,MATCH(DATE(YEAR($A1085)-1,MONTH($A1085),DAY($A1085)),$A:$A,0))-1),"")</f>
        <v/>
      </c>
      <c r="L1085" s="19">
        <f>IFERROR(IF(OR(G1085="",INDEX(G:G,MATCH(DATE(YEAR($A1085)-1,MONTH($A1085),DAY($A1085)),$A:$A,0))=""),"",G1085/INDEX(G:G,MATCH(DATE(YEAR($A1085)-1,MONTH($A1085),DAY($A1085)),$A:$A,0))-1),"")</f>
        <v/>
      </c>
      <c r="M1085" s="19">
        <f>IF(OR(E1085="",E1084=""),"",E1085/E1084-1)</f>
        <v/>
      </c>
      <c r="N1085" s="19">
        <f>IF(OR(F1085="",F1084=""),"",F1085/F1084-1)</f>
        <v/>
      </c>
      <c r="O1085" s="19">
        <f>IF(OR(G1085="",G1084=""),"",G1085/G1084-1)</f>
        <v/>
      </c>
      <c r="P1085" s="22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IF(R1085="","",P1085/R1085)</f>
        <v/>
      </c>
      <c r="T1085" s="23">
        <f>IF(R1085="","",Q1085/R1085)</f>
        <v/>
      </c>
      <c r="U1085" s="24">
        <f>IF(SUMIFS('Daily NSE Equity Options'!$M:$M,'Daily NSE Equity Options'!$A:$A,$A1085)=0,"",SUMIFS('Daily NSE Equity Options'!$M:$M,'Daily NSE Equity Options'!$A:$A,$A1085))</f>
        <v/>
      </c>
      <c r="V1085" s="9">
        <f>IF(SUMIFS('Daily BSE Equity Options'!$M:$M,'Daily BSE Equity Options'!$A:$A,$A1085)=0,"",SUMIFS('Daily BSE Equity Options'!$M:$M,'Daily BSE Equity Options'!$A:$A,$A1085))</f>
        <v/>
      </c>
      <c r="W1085" s="9">
        <f>IF(OR(U1085="",V1085=""),"",U1085+V1085)</f>
        <v/>
      </c>
      <c r="X1085" s="25">
        <f>IF(W1085="","",U1085/W1085)</f>
        <v/>
      </c>
      <c r="Y1085" s="25">
        <f>IF(W1085="","",V1085/W1085)</f>
        <v/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19">
        <f>IF(G1086="","",E1086/G1086)</f>
        <v/>
      </c>
      <c r="I1086" s="19">
        <f>IF(G1086="","",F1086/G1086)</f>
        <v/>
      </c>
      <c r="J1086" s="26">
        <f>IFERROR(IF(OR(E1086="",INDEX(E:E,MATCH(DATE(YEAR($A1086)-1,MONTH($A1086),DAY($A1086)),$A:$A,0))=""),"",E1086/INDEX(E:E,MATCH(DATE(YEAR($A1086)-1,MONTH($A1086),DAY($A1086)),$A:$A,0))-1),"")</f>
        <v/>
      </c>
      <c r="K1086" s="19">
        <f>IFERROR(IF(OR(F1086="",INDEX(F:F,MATCH(DATE(YEAR($A1086)-1,MONTH($A1086),DAY($A1086)),$A:$A,0))=""),"",F1086/INDEX(F:F,MATCH(DATE(YEAR($A1086)-1,MONTH($A1086),DAY($A1086)),$A:$A,0))-1),"")</f>
        <v/>
      </c>
      <c r="L1086" s="19">
        <f>IFERROR(IF(OR(G1086="",INDEX(G:G,MATCH(DATE(YEAR($A1086)-1,MONTH($A1086),DAY($A1086)),$A:$A,0))=""),"",G1086/INDEX(G:G,MATCH(DATE(YEAR($A1086)-1,MONTH($A1086),DAY($A1086)),$A:$A,0))-1),"")</f>
        <v/>
      </c>
      <c r="M1086" s="19">
        <f>IF(OR(E1086="",E1085=""),"",E1086/E1085-1)</f>
        <v/>
      </c>
      <c r="N1086" s="19">
        <f>IF(OR(F1086="",F1085=""),"",F1086/F1085-1)</f>
        <v/>
      </c>
      <c r="O1086" s="19">
        <f>IF(OR(G1086="",G1085=""),"",G1086/G1085-1)</f>
        <v/>
      </c>
      <c r="P1086" s="22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IF(R1086="","",P1086/R1086)</f>
        <v/>
      </c>
      <c r="T1086" s="23">
        <f>IF(R1086="","",Q1086/R1086)</f>
        <v/>
      </c>
      <c r="U1086" s="24">
        <f>IF(SUMIFS('Daily NSE Equity Options'!$M:$M,'Daily NSE Equity Options'!$A:$A,$A1086)=0,"",SUMIFS('Daily NSE Equity Options'!$M:$M,'Daily NSE Equity Options'!$A:$A,$A1086))</f>
        <v/>
      </c>
      <c r="V1086" s="9">
        <f>IF(SUMIFS('Daily BSE Equity Options'!$M:$M,'Daily BSE Equity Options'!$A:$A,$A1086)=0,"",SUMIFS('Daily BSE Equity Options'!$M:$M,'Daily BSE Equity Options'!$A:$A,$A1086))</f>
        <v/>
      </c>
      <c r="W1086" s="9">
        <f>IF(OR(U1086="",V1086=""),"",U1086+V1086)</f>
        <v/>
      </c>
      <c r="X1086" s="25">
        <f>IF(W1086="","",U1086/W1086)</f>
        <v/>
      </c>
      <c r="Y1086" s="25">
        <f>IF(W1086="","",V1086/W1086)</f>
        <v/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19">
        <f>IF(G1087="","",E1087/G1087)</f>
        <v/>
      </c>
      <c r="I1087" s="19">
        <f>IF(G1087="","",F1087/G1087)</f>
        <v/>
      </c>
      <c r="J1087" s="26">
        <f>IFERROR(IF(OR(E1087="",INDEX(E:E,MATCH(DATE(YEAR($A1087)-1,MONTH($A1087),DAY($A1087)),$A:$A,0))=""),"",E1087/INDEX(E:E,MATCH(DATE(YEAR($A1087)-1,MONTH($A1087),DAY($A1087)),$A:$A,0))-1),"")</f>
        <v/>
      </c>
      <c r="K1087" s="19">
        <f>IFERROR(IF(OR(F1087="",INDEX(F:F,MATCH(DATE(YEAR($A1087)-1,MONTH($A1087),DAY($A1087)),$A:$A,0))=""),"",F1087/INDEX(F:F,MATCH(DATE(YEAR($A1087)-1,MONTH($A1087),DAY($A1087)),$A:$A,0))-1),"")</f>
        <v/>
      </c>
      <c r="L1087" s="19">
        <f>IFERROR(IF(OR(G1087="",INDEX(G:G,MATCH(DATE(YEAR($A1087)-1,MONTH($A1087),DAY($A1087)),$A:$A,0))=""),"",G1087/INDEX(G:G,MATCH(DATE(YEAR($A1087)-1,MONTH($A1087),DAY($A1087)),$A:$A,0))-1),"")</f>
        <v/>
      </c>
      <c r="M1087" s="19">
        <f>IF(OR(E1087="",E1086=""),"",E1087/E1086-1)</f>
        <v/>
      </c>
      <c r="N1087" s="19">
        <f>IF(OR(F1087="",F1086=""),"",F1087/F1086-1)</f>
        <v/>
      </c>
      <c r="O1087" s="19">
        <f>IF(OR(G1087="",G1086=""),"",G1087/G1086-1)</f>
        <v/>
      </c>
      <c r="P1087" s="22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IF(R1087="","",P1087/R1087)</f>
        <v/>
      </c>
      <c r="T1087" s="23">
        <f>IF(R1087="","",Q1087/R1087)</f>
        <v/>
      </c>
      <c r="U1087" s="24">
        <f>IF(SUMIFS('Daily NSE Equity Options'!$M:$M,'Daily NSE Equity Options'!$A:$A,$A1087)=0,"",SUMIFS('Daily NSE Equity Options'!$M:$M,'Daily NSE Equity Options'!$A:$A,$A1087))</f>
        <v/>
      </c>
      <c r="V1087" s="9">
        <f>IF(SUMIFS('Daily BSE Equity Options'!$M:$M,'Daily BSE Equity Options'!$A:$A,$A1087)=0,"",SUMIFS('Daily BSE Equity Options'!$M:$M,'Daily BSE Equity Options'!$A:$A,$A1087))</f>
        <v/>
      </c>
      <c r="W1087" s="9">
        <f>IF(OR(U1087="",V1087=""),"",U1087+V1087)</f>
        <v/>
      </c>
      <c r="X1087" s="25">
        <f>IF(W1087="","",U1087/W1087)</f>
        <v/>
      </c>
      <c r="Y1087" s="25">
        <f>IF(W1087="","",V1087/W1087)</f>
        <v/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19">
        <f>IF(G1088="","",E1088/G1088)</f>
        <v/>
      </c>
      <c r="I1088" s="19">
        <f>IF(G1088="","",F1088/G1088)</f>
        <v/>
      </c>
      <c r="J1088" s="26">
        <f>IFERROR(IF(OR(E1088="",INDEX(E:E,MATCH(DATE(YEAR($A1088)-1,MONTH($A1088),DAY($A1088)),$A:$A,0))=""),"",E1088/INDEX(E:E,MATCH(DATE(YEAR($A1088)-1,MONTH($A1088),DAY($A1088)),$A:$A,0))-1),"")</f>
        <v/>
      </c>
      <c r="K1088" s="19">
        <f>IFERROR(IF(OR(F1088="",INDEX(F:F,MATCH(DATE(YEAR($A1088)-1,MONTH($A1088),DAY($A1088)),$A:$A,0))=""),"",F1088/INDEX(F:F,MATCH(DATE(YEAR($A1088)-1,MONTH($A1088),DAY($A1088)),$A:$A,0))-1),"")</f>
        <v/>
      </c>
      <c r="L1088" s="19">
        <f>IFERROR(IF(OR(G1088="",INDEX(G:G,MATCH(DATE(YEAR($A1088)-1,MONTH($A1088),DAY($A1088)),$A:$A,0))=""),"",G1088/INDEX(G:G,MATCH(DATE(YEAR($A1088)-1,MONTH($A1088),DAY($A1088)),$A:$A,0))-1),"")</f>
        <v/>
      </c>
      <c r="M1088" s="19">
        <f>IF(OR(E1088="",E1087=""),"",E1088/E1087-1)</f>
        <v/>
      </c>
      <c r="N1088" s="19">
        <f>IF(OR(F1088="",F1087=""),"",F1088/F1087-1)</f>
        <v/>
      </c>
      <c r="O1088" s="19">
        <f>IF(OR(G1088="",G1087=""),"",G1088/G1087-1)</f>
        <v/>
      </c>
      <c r="P1088" s="22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IF(R1088="","",P1088/R1088)</f>
        <v/>
      </c>
      <c r="T1088" s="23">
        <f>IF(R1088="","",Q1088/R1088)</f>
        <v/>
      </c>
      <c r="U1088" s="24">
        <f>IF(SUMIFS('Daily NSE Equity Options'!$M:$M,'Daily NSE Equity Options'!$A:$A,$A1088)=0,"",SUMIFS('Daily NSE Equity Options'!$M:$M,'Daily NSE Equity Options'!$A:$A,$A1088))</f>
        <v/>
      </c>
      <c r="V1088" s="9">
        <f>IF(SUMIFS('Daily BSE Equity Options'!$M:$M,'Daily BSE Equity Options'!$A:$A,$A1088)=0,"",SUMIFS('Daily BSE Equity Options'!$M:$M,'Daily BSE Equity Options'!$A:$A,$A1088))</f>
        <v/>
      </c>
      <c r="W1088" s="9">
        <f>IF(OR(U1088="",V1088=""),"",U1088+V1088)</f>
        <v/>
      </c>
      <c r="X1088" s="25">
        <f>IF(W1088="","",U1088/W1088)</f>
        <v/>
      </c>
      <c r="Y1088" s="25">
        <f>IF(W1088="","",V1088/W1088)</f>
        <v/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19">
        <f>IF(G1089="","",E1089/G1089)</f>
        <v/>
      </c>
      <c r="I1089" s="19">
        <f>IF(G1089="","",F1089/G1089)</f>
        <v/>
      </c>
      <c r="J1089" s="26">
        <f>IFERROR(IF(OR(E1089="",INDEX(E:E,MATCH(DATE(YEAR($A1089)-1,MONTH($A1089),DAY($A1089)),$A:$A,0))=""),"",E1089/INDEX(E:E,MATCH(DATE(YEAR($A1089)-1,MONTH($A1089),DAY($A1089)),$A:$A,0))-1),"")</f>
        <v/>
      </c>
      <c r="K1089" s="19">
        <f>IFERROR(IF(OR(F1089="",INDEX(F:F,MATCH(DATE(YEAR($A1089)-1,MONTH($A1089),DAY($A1089)),$A:$A,0))=""),"",F1089/INDEX(F:F,MATCH(DATE(YEAR($A1089)-1,MONTH($A1089),DAY($A1089)),$A:$A,0))-1),"")</f>
        <v/>
      </c>
      <c r="L1089" s="19">
        <f>IFERROR(IF(OR(G1089="",INDEX(G:G,MATCH(DATE(YEAR($A1089)-1,MONTH($A1089),DAY($A1089)),$A:$A,0))=""),"",G1089/INDEX(G:G,MATCH(DATE(YEAR($A1089)-1,MONTH($A1089),DAY($A1089)),$A:$A,0))-1),"")</f>
        <v/>
      </c>
      <c r="M1089" s="19">
        <f>IF(OR(E1089="",E1088=""),"",E1089/E1088-1)</f>
        <v/>
      </c>
      <c r="N1089" s="19">
        <f>IF(OR(F1089="",F1088=""),"",F1089/F1088-1)</f>
        <v/>
      </c>
      <c r="O1089" s="19">
        <f>IF(OR(G1089="",G1088=""),"",G1089/G1088-1)</f>
        <v/>
      </c>
      <c r="P1089" s="22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IF(R1089="","",P1089/R1089)</f>
        <v/>
      </c>
      <c r="T1089" s="23">
        <f>IF(R1089="","",Q1089/R1089)</f>
        <v/>
      </c>
      <c r="U1089" s="24">
        <f>IF(SUMIFS('Daily NSE Equity Options'!$M:$M,'Daily NSE Equity Options'!$A:$A,$A1089)=0,"",SUMIFS('Daily NSE Equity Options'!$M:$M,'Daily NSE Equity Options'!$A:$A,$A1089))</f>
        <v/>
      </c>
      <c r="V1089" s="9">
        <f>IF(SUMIFS('Daily BSE Equity Options'!$M:$M,'Daily BSE Equity Options'!$A:$A,$A1089)=0,"",SUMIFS('Daily BSE Equity Options'!$M:$M,'Daily BSE Equity Options'!$A:$A,$A1089))</f>
        <v/>
      </c>
      <c r="W1089" s="9">
        <f>IF(OR(U1089="",V1089=""),"",U1089+V1089)</f>
        <v/>
      </c>
      <c r="X1089" s="25">
        <f>IF(W1089="","",U1089/W1089)</f>
        <v/>
      </c>
      <c r="Y1089" s="25">
        <f>IF(W1089="","",V1089/W1089)</f>
        <v/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19">
        <f>IF(G1090="","",E1090/G1090)</f>
        <v/>
      </c>
      <c r="I1090" s="19">
        <f>IF(G1090="","",F1090/G1090)</f>
        <v/>
      </c>
      <c r="J1090" s="26">
        <f>IFERROR(IF(OR(E1090="",INDEX(E:E,MATCH(DATE(YEAR($A1090)-1,MONTH($A1090),DAY($A1090)),$A:$A,0))=""),"",E1090/INDEX(E:E,MATCH(DATE(YEAR($A1090)-1,MONTH($A1090),DAY($A1090)),$A:$A,0))-1),"")</f>
        <v/>
      </c>
      <c r="K1090" s="19">
        <f>IFERROR(IF(OR(F1090="",INDEX(F:F,MATCH(DATE(YEAR($A1090)-1,MONTH($A1090),DAY($A1090)),$A:$A,0))=""),"",F1090/INDEX(F:F,MATCH(DATE(YEAR($A1090)-1,MONTH($A1090),DAY($A1090)),$A:$A,0))-1),"")</f>
        <v/>
      </c>
      <c r="L1090" s="19">
        <f>IFERROR(IF(OR(G1090="",INDEX(G:G,MATCH(DATE(YEAR($A1090)-1,MONTH($A1090),DAY($A1090)),$A:$A,0))=""),"",G1090/INDEX(G:G,MATCH(DATE(YEAR($A1090)-1,MONTH($A1090),DAY($A1090)),$A:$A,0))-1),"")</f>
        <v/>
      </c>
      <c r="M1090" s="19">
        <f>IF(OR(E1090="",E1089=""),"",E1090/E1089-1)</f>
        <v/>
      </c>
      <c r="N1090" s="19">
        <f>IF(OR(F1090="",F1089=""),"",F1090/F1089-1)</f>
        <v/>
      </c>
      <c r="O1090" s="19">
        <f>IF(OR(G1090="",G1089=""),"",G1090/G1089-1)</f>
        <v/>
      </c>
      <c r="P1090" s="22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IF(R1090="","",P1090/R1090)</f>
        <v/>
      </c>
      <c r="T1090" s="23">
        <f>IF(R1090="","",Q1090/R1090)</f>
        <v/>
      </c>
      <c r="U1090" s="24">
        <f>IF(SUMIFS('Daily NSE Equity Options'!$M:$M,'Daily NSE Equity Options'!$A:$A,$A1090)=0,"",SUMIFS('Daily NSE Equity Options'!$M:$M,'Daily NSE Equity Options'!$A:$A,$A1090))</f>
        <v/>
      </c>
      <c r="V1090" s="9">
        <f>IF(SUMIFS('Daily BSE Equity Options'!$M:$M,'Daily BSE Equity Options'!$A:$A,$A1090)=0,"",SUMIFS('Daily BSE Equity Options'!$M:$M,'Daily BSE Equity Options'!$A:$A,$A1090))</f>
        <v/>
      </c>
      <c r="W1090" s="9">
        <f>IF(OR(U1090="",V1090=""),"",U1090+V1090)</f>
        <v/>
      </c>
      <c r="X1090" s="25">
        <f>IF(W1090="","",U1090/W1090)</f>
        <v/>
      </c>
      <c r="Y1090" s="25">
        <f>IF(W1090="","",V1090/W1090)</f>
        <v/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19">
        <f>IF(G1091="","",E1091/G1091)</f>
        <v/>
      </c>
      <c r="I1091" s="19">
        <f>IF(G1091="","",F1091/G1091)</f>
        <v/>
      </c>
      <c r="J1091" s="26">
        <f>IFERROR(IF(OR(E1091="",INDEX(E:E,MATCH(DATE(YEAR($A1091)-1,MONTH($A1091),DAY($A1091)),$A:$A,0))=""),"",E1091/INDEX(E:E,MATCH(DATE(YEAR($A1091)-1,MONTH($A1091),DAY($A1091)),$A:$A,0))-1),"")</f>
        <v/>
      </c>
      <c r="K1091" s="19">
        <f>IFERROR(IF(OR(F1091="",INDEX(F:F,MATCH(DATE(YEAR($A1091)-1,MONTH($A1091),DAY($A1091)),$A:$A,0))=""),"",F1091/INDEX(F:F,MATCH(DATE(YEAR($A1091)-1,MONTH($A1091),DAY($A1091)),$A:$A,0))-1),"")</f>
        <v/>
      </c>
      <c r="L1091" s="19">
        <f>IFERROR(IF(OR(G1091="",INDEX(G:G,MATCH(DATE(YEAR($A1091)-1,MONTH($A1091),DAY($A1091)),$A:$A,0))=""),"",G1091/INDEX(G:G,MATCH(DATE(YEAR($A1091)-1,MONTH($A1091),DAY($A1091)),$A:$A,0))-1),"")</f>
        <v/>
      </c>
      <c r="M1091" s="19">
        <f>IF(OR(E1091="",E1090=""),"",E1091/E1090-1)</f>
        <v/>
      </c>
      <c r="N1091" s="19">
        <f>IF(OR(F1091="",F1090=""),"",F1091/F1090-1)</f>
        <v/>
      </c>
      <c r="O1091" s="19">
        <f>IF(OR(G1091="",G1090=""),"",G1091/G1090-1)</f>
        <v/>
      </c>
      <c r="P1091" s="22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IF(R1091="","",P1091/R1091)</f>
        <v/>
      </c>
      <c r="T1091" s="23">
        <f>IF(R1091="","",Q1091/R1091)</f>
        <v/>
      </c>
      <c r="U1091" s="24">
        <f>IF(SUMIFS('Daily NSE Equity Options'!$M:$M,'Daily NSE Equity Options'!$A:$A,$A1091)=0,"",SUMIFS('Daily NSE Equity Options'!$M:$M,'Daily NSE Equity Options'!$A:$A,$A1091))</f>
        <v/>
      </c>
      <c r="V1091" s="9">
        <f>IF(SUMIFS('Daily BSE Equity Options'!$M:$M,'Daily BSE Equity Options'!$A:$A,$A1091)=0,"",SUMIFS('Daily BSE Equity Options'!$M:$M,'Daily BSE Equity Options'!$A:$A,$A1091))</f>
        <v/>
      </c>
      <c r="W1091" s="9">
        <f>IF(OR(U1091="",V1091=""),"",U1091+V1091)</f>
        <v/>
      </c>
      <c r="X1091" s="25">
        <f>IF(W1091="","",U1091/W1091)</f>
        <v/>
      </c>
      <c r="Y1091" s="25">
        <f>IF(W1091="","",V1091/W1091)</f>
        <v/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19">
        <f>IF(G1092="","",E1092/G1092)</f>
        <v/>
      </c>
      <c r="I1092" s="19">
        <f>IF(G1092="","",F1092/G1092)</f>
        <v/>
      </c>
      <c r="J1092" s="26">
        <f>IFERROR(IF(OR(E1092="",INDEX(E:E,MATCH(DATE(YEAR($A1092)-1,MONTH($A1092),DAY($A1092)),$A:$A,0))=""),"",E1092/INDEX(E:E,MATCH(DATE(YEAR($A1092)-1,MONTH($A1092),DAY($A1092)),$A:$A,0))-1),"")</f>
        <v/>
      </c>
      <c r="K1092" s="19">
        <f>IFERROR(IF(OR(F1092="",INDEX(F:F,MATCH(DATE(YEAR($A1092)-1,MONTH($A1092),DAY($A1092)),$A:$A,0))=""),"",F1092/INDEX(F:F,MATCH(DATE(YEAR($A1092)-1,MONTH($A1092),DAY($A1092)),$A:$A,0))-1),"")</f>
        <v/>
      </c>
      <c r="L1092" s="19">
        <f>IFERROR(IF(OR(G1092="",INDEX(G:G,MATCH(DATE(YEAR($A1092)-1,MONTH($A1092),DAY($A1092)),$A:$A,0))=""),"",G1092/INDEX(G:G,MATCH(DATE(YEAR($A1092)-1,MONTH($A1092),DAY($A1092)),$A:$A,0))-1),"")</f>
        <v/>
      </c>
      <c r="M1092" s="19">
        <f>IF(OR(E1092="",E1091=""),"",E1092/E1091-1)</f>
        <v/>
      </c>
      <c r="N1092" s="19">
        <f>IF(OR(F1092="",F1091=""),"",F1092/F1091-1)</f>
        <v/>
      </c>
      <c r="O1092" s="19">
        <f>IF(OR(G1092="",G1091=""),"",G1092/G1091-1)</f>
        <v/>
      </c>
      <c r="P1092" s="22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IF(R1092="","",P1092/R1092)</f>
        <v/>
      </c>
      <c r="T1092" s="23">
        <f>IF(R1092="","",Q1092/R1092)</f>
        <v/>
      </c>
      <c r="U1092" s="24">
        <f>IF(SUMIFS('Daily NSE Equity Options'!$M:$M,'Daily NSE Equity Options'!$A:$A,$A1092)=0,"",SUMIFS('Daily NSE Equity Options'!$M:$M,'Daily NSE Equity Options'!$A:$A,$A1092))</f>
        <v/>
      </c>
      <c r="V1092" s="9">
        <f>IF(SUMIFS('Daily BSE Equity Options'!$M:$M,'Daily BSE Equity Options'!$A:$A,$A1092)=0,"",SUMIFS('Daily BSE Equity Options'!$M:$M,'Daily BSE Equity Options'!$A:$A,$A1092))</f>
        <v/>
      </c>
      <c r="W1092" s="9">
        <f>IF(OR(U1092="",V1092=""),"",U1092+V1092)</f>
        <v/>
      </c>
      <c r="X1092" s="25">
        <f>IF(W1092="","",U1092/W1092)</f>
        <v/>
      </c>
      <c r="Y1092" s="25">
        <f>IF(W1092="","",V1092/W1092)</f>
        <v/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19">
        <f>IF(G1093="","",E1093/G1093)</f>
        <v/>
      </c>
      <c r="I1093" s="19">
        <f>IF(G1093="","",F1093/G1093)</f>
        <v/>
      </c>
      <c r="J1093" s="26">
        <f>IFERROR(IF(OR(E1093="",INDEX(E:E,MATCH(DATE(YEAR($A1093)-1,MONTH($A1093),DAY($A1093)),$A:$A,0))=""),"",E1093/INDEX(E:E,MATCH(DATE(YEAR($A1093)-1,MONTH($A1093),DAY($A1093)),$A:$A,0))-1),"")</f>
        <v/>
      </c>
      <c r="K1093" s="19">
        <f>IFERROR(IF(OR(F1093="",INDEX(F:F,MATCH(DATE(YEAR($A1093)-1,MONTH($A1093),DAY($A1093)),$A:$A,0))=""),"",F1093/INDEX(F:F,MATCH(DATE(YEAR($A1093)-1,MONTH($A1093),DAY($A1093)),$A:$A,0))-1),"")</f>
        <v/>
      </c>
      <c r="L1093" s="19">
        <f>IFERROR(IF(OR(G1093="",INDEX(G:G,MATCH(DATE(YEAR($A1093)-1,MONTH($A1093),DAY($A1093)),$A:$A,0))=""),"",G1093/INDEX(G:G,MATCH(DATE(YEAR($A1093)-1,MONTH($A1093),DAY($A1093)),$A:$A,0))-1),"")</f>
        <v/>
      </c>
      <c r="M1093" s="19">
        <f>IF(OR(E1093="",E1092=""),"",E1093/E1092-1)</f>
        <v/>
      </c>
      <c r="N1093" s="19">
        <f>IF(OR(F1093="",F1092=""),"",F1093/F1092-1)</f>
        <v/>
      </c>
      <c r="O1093" s="19">
        <f>IF(OR(G1093="",G1092=""),"",G1093/G1092-1)</f>
        <v/>
      </c>
      <c r="P1093" s="22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IF(R1093="","",P1093/R1093)</f>
        <v/>
      </c>
      <c r="T1093" s="23">
        <f>IF(R1093="","",Q1093/R1093)</f>
        <v/>
      </c>
      <c r="U1093" s="24">
        <f>IF(SUMIFS('Daily NSE Equity Options'!$M:$M,'Daily NSE Equity Options'!$A:$A,$A1093)=0,"",SUMIFS('Daily NSE Equity Options'!$M:$M,'Daily NSE Equity Options'!$A:$A,$A1093))</f>
        <v/>
      </c>
      <c r="V1093" s="9">
        <f>IF(SUMIFS('Daily BSE Equity Options'!$M:$M,'Daily BSE Equity Options'!$A:$A,$A1093)=0,"",SUMIFS('Daily BSE Equity Options'!$M:$M,'Daily BSE Equity Options'!$A:$A,$A1093))</f>
        <v/>
      </c>
      <c r="W1093" s="9">
        <f>IF(OR(U1093="",V1093=""),"",U1093+V1093)</f>
        <v/>
      </c>
      <c r="X1093" s="25">
        <f>IF(W1093="","",U1093/W1093)</f>
        <v/>
      </c>
      <c r="Y1093" s="25">
        <f>IF(W1093="","",V1093/W1093)</f>
        <v/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19">
        <f>IF(G1094="","",E1094/G1094)</f>
        <v/>
      </c>
      <c r="I1094" s="19">
        <f>IF(G1094="","",F1094/G1094)</f>
        <v/>
      </c>
      <c r="J1094" s="26">
        <f>IFERROR(IF(OR(E1094="",INDEX(E:E,MATCH(DATE(YEAR($A1094)-1,MONTH($A1094),DAY($A1094)),$A:$A,0))=""),"",E1094/INDEX(E:E,MATCH(DATE(YEAR($A1094)-1,MONTH($A1094),DAY($A1094)),$A:$A,0))-1),"")</f>
        <v/>
      </c>
      <c r="K1094" s="19">
        <f>IFERROR(IF(OR(F1094="",INDEX(F:F,MATCH(DATE(YEAR($A1094)-1,MONTH($A1094),DAY($A1094)),$A:$A,0))=""),"",F1094/INDEX(F:F,MATCH(DATE(YEAR($A1094)-1,MONTH($A1094),DAY($A1094)),$A:$A,0))-1),"")</f>
        <v/>
      </c>
      <c r="L1094" s="19">
        <f>IFERROR(IF(OR(G1094="",INDEX(G:G,MATCH(DATE(YEAR($A1094)-1,MONTH($A1094),DAY($A1094)),$A:$A,0))=""),"",G1094/INDEX(G:G,MATCH(DATE(YEAR($A1094)-1,MONTH($A1094),DAY($A1094)),$A:$A,0))-1),"")</f>
        <v/>
      </c>
      <c r="M1094" s="19">
        <f>IF(OR(E1094="",E1093=""),"",E1094/E1093-1)</f>
        <v/>
      </c>
      <c r="N1094" s="19">
        <f>IF(OR(F1094="",F1093=""),"",F1094/F1093-1)</f>
        <v/>
      </c>
      <c r="O1094" s="19">
        <f>IF(OR(G1094="",G1093=""),"",G1094/G1093-1)</f>
        <v/>
      </c>
      <c r="P1094" s="22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IF(R1094="","",P1094/R1094)</f>
        <v/>
      </c>
      <c r="T1094" s="23">
        <f>IF(R1094="","",Q1094/R1094)</f>
        <v/>
      </c>
      <c r="U1094" s="24">
        <f>IF(SUMIFS('Daily NSE Equity Options'!$M:$M,'Daily NSE Equity Options'!$A:$A,$A1094)=0,"",SUMIFS('Daily NSE Equity Options'!$M:$M,'Daily NSE Equity Options'!$A:$A,$A1094))</f>
        <v/>
      </c>
      <c r="V1094" s="9">
        <f>IF(SUMIFS('Daily BSE Equity Options'!$M:$M,'Daily BSE Equity Options'!$A:$A,$A1094)=0,"",SUMIFS('Daily BSE Equity Options'!$M:$M,'Daily BSE Equity Options'!$A:$A,$A1094))</f>
        <v/>
      </c>
      <c r="W1094" s="9">
        <f>IF(OR(U1094="",V1094=""),"",U1094+V1094)</f>
        <v/>
      </c>
      <c r="X1094" s="25">
        <f>IF(W1094="","",U1094/W1094)</f>
        <v/>
      </c>
      <c r="Y1094" s="25">
        <f>IF(W1094="","",V1094/W1094)</f>
        <v/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19">
        <f>IF(G1095="","",E1095/G1095)</f>
        <v/>
      </c>
      <c r="I1095" s="19">
        <f>IF(G1095="","",F1095/G1095)</f>
        <v/>
      </c>
      <c r="J1095" s="26">
        <f>IFERROR(IF(OR(E1095="",INDEX(E:E,MATCH(DATE(YEAR($A1095)-1,MONTH($A1095),DAY($A1095)),$A:$A,0))=""),"",E1095/INDEX(E:E,MATCH(DATE(YEAR($A1095)-1,MONTH($A1095),DAY($A1095)),$A:$A,0))-1),"")</f>
        <v/>
      </c>
      <c r="K1095" s="19">
        <f>IFERROR(IF(OR(F1095="",INDEX(F:F,MATCH(DATE(YEAR($A1095)-1,MONTH($A1095),DAY($A1095)),$A:$A,0))=""),"",F1095/INDEX(F:F,MATCH(DATE(YEAR($A1095)-1,MONTH($A1095),DAY($A1095)),$A:$A,0))-1),"")</f>
        <v/>
      </c>
      <c r="L1095" s="19">
        <f>IFERROR(IF(OR(G1095="",INDEX(G:G,MATCH(DATE(YEAR($A1095)-1,MONTH($A1095),DAY($A1095)),$A:$A,0))=""),"",G1095/INDEX(G:G,MATCH(DATE(YEAR($A1095)-1,MONTH($A1095),DAY($A1095)),$A:$A,0))-1),"")</f>
        <v/>
      </c>
      <c r="M1095" s="19">
        <f>IF(OR(E1095="",E1094=""),"",E1095/E1094-1)</f>
        <v/>
      </c>
      <c r="N1095" s="19">
        <f>IF(OR(F1095="",F1094=""),"",F1095/F1094-1)</f>
        <v/>
      </c>
      <c r="O1095" s="19">
        <f>IF(OR(G1095="",G1094=""),"",G1095/G1094-1)</f>
        <v/>
      </c>
      <c r="P1095" s="22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IF(R1095="","",P1095/R1095)</f>
        <v/>
      </c>
      <c r="T1095" s="23">
        <f>IF(R1095="","",Q1095/R1095)</f>
        <v/>
      </c>
      <c r="U1095" s="24">
        <f>IF(SUMIFS('Daily NSE Equity Options'!$M:$M,'Daily NSE Equity Options'!$A:$A,$A1095)=0,"",SUMIFS('Daily NSE Equity Options'!$M:$M,'Daily NSE Equity Options'!$A:$A,$A1095))</f>
        <v/>
      </c>
      <c r="V1095" s="9">
        <f>IF(SUMIFS('Daily BSE Equity Options'!$M:$M,'Daily BSE Equity Options'!$A:$A,$A1095)=0,"",SUMIFS('Daily BSE Equity Options'!$M:$M,'Daily BSE Equity Options'!$A:$A,$A1095))</f>
        <v/>
      </c>
      <c r="W1095" s="9">
        <f>IF(OR(U1095="",V1095=""),"",U1095+V1095)</f>
        <v/>
      </c>
      <c r="X1095" s="25">
        <f>IF(W1095="","",U1095/W1095)</f>
        <v/>
      </c>
      <c r="Y1095" s="25">
        <f>IF(W1095="","",V1095/W1095)</f>
        <v/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19">
        <f>IF(G1096="","",E1096/G1096)</f>
        <v/>
      </c>
      <c r="I1096" s="19">
        <f>IF(G1096="","",F1096/G1096)</f>
        <v/>
      </c>
      <c r="J1096" s="26">
        <f>IFERROR(IF(OR(E1096="",INDEX(E:E,MATCH(DATE(YEAR($A1096)-1,MONTH($A1096),DAY($A1096)),$A:$A,0))=""),"",E1096/INDEX(E:E,MATCH(DATE(YEAR($A1096)-1,MONTH($A1096),DAY($A1096)),$A:$A,0))-1),"")</f>
        <v/>
      </c>
      <c r="K1096" s="19">
        <f>IFERROR(IF(OR(F1096="",INDEX(F:F,MATCH(DATE(YEAR($A1096)-1,MONTH($A1096),DAY($A1096)),$A:$A,0))=""),"",F1096/INDEX(F:F,MATCH(DATE(YEAR($A1096)-1,MONTH($A1096),DAY($A1096)),$A:$A,0))-1),"")</f>
        <v/>
      </c>
      <c r="L1096" s="19">
        <f>IFERROR(IF(OR(G1096="",INDEX(G:G,MATCH(DATE(YEAR($A1096)-1,MONTH($A1096),DAY($A1096)),$A:$A,0))=""),"",G1096/INDEX(G:G,MATCH(DATE(YEAR($A1096)-1,MONTH($A1096),DAY($A1096)),$A:$A,0))-1),"")</f>
        <v/>
      </c>
      <c r="M1096" s="19">
        <f>IF(OR(E1096="",E1095=""),"",E1096/E1095-1)</f>
        <v/>
      </c>
      <c r="N1096" s="19">
        <f>IF(OR(F1096="",F1095=""),"",F1096/F1095-1)</f>
        <v/>
      </c>
      <c r="O1096" s="19">
        <f>IF(OR(G1096="",G1095=""),"",G1096/G1095-1)</f>
        <v/>
      </c>
      <c r="P1096" s="22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IF(R1096="","",P1096/R1096)</f>
        <v/>
      </c>
      <c r="T1096" s="23">
        <f>IF(R1096="","",Q1096/R1096)</f>
        <v/>
      </c>
      <c r="U1096" s="24">
        <f>IF(SUMIFS('Daily NSE Equity Options'!$M:$M,'Daily NSE Equity Options'!$A:$A,$A1096)=0,"",SUMIFS('Daily NSE Equity Options'!$M:$M,'Daily NSE Equity Options'!$A:$A,$A1096))</f>
        <v/>
      </c>
      <c r="V1096" s="9">
        <f>IF(SUMIFS('Daily BSE Equity Options'!$M:$M,'Daily BSE Equity Options'!$A:$A,$A1096)=0,"",SUMIFS('Daily BSE Equity Options'!$M:$M,'Daily BSE Equity Options'!$A:$A,$A1096))</f>
        <v/>
      </c>
      <c r="W1096" s="9">
        <f>IF(OR(U1096="",V1096=""),"",U1096+V1096)</f>
        <v/>
      </c>
      <c r="X1096" s="25">
        <f>IF(W1096="","",U1096/W1096)</f>
        <v/>
      </c>
      <c r="Y1096" s="25">
        <f>IF(W1096="","",V1096/W1096)</f>
        <v/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19">
        <f>IF(G1097="","",E1097/G1097)</f>
        <v/>
      </c>
      <c r="I1097" s="19">
        <f>IF(G1097="","",F1097/G1097)</f>
        <v/>
      </c>
      <c r="J1097" s="26">
        <f>IFERROR(IF(OR(E1097="",INDEX(E:E,MATCH(DATE(YEAR($A1097)-1,MONTH($A1097),DAY($A1097)),$A:$A,0))=""),"",E1097/INDEX(E:E,MATCH(DATE(YEAR($A1097)-1,MONTH($A1097),DAY($A1097)),$A:$A,0))-1),"")</f>
        <v/>
      </c>
      <c r="K1097" s="19">
        <f>IFERROR(IF(OR(F1097="",INDEX(F:F,MATCH(DATE(YEAR($A1097)-1,MONTH($A1097),DAY($A1097)),$A:$A,0))=""),"",F1097/INDEX(F:F,MATCH(DATE(YEAR($A1097)-1,MONTH($A1097),DAY($A1097)),$A:$A,0))-1),"")</f>
        <v/>
      </c>
      <c r="L1097" s="19">
        <f>IFERROR(IF(OR(G1097="",INDEX(G:G,MATCH(DATE(YEAR($A1097)-1,MONTH($A1097),DAY($A1097)),$A:$A,0))=""),"",G1097/INDEX(G:G,MATCH(DATE(YEAR($A1097)-1,MONTH($A1097),DAY($A1097)),$A:$A,0))-1),"")</f>
        <v/>
      </c>
      <c r="M1097" s="19">
        <f>IF(OR(E1097="",E1096=""),"",E1097/E1096-1)</f>
        <v/>
      </c>
      <c r="N1097" s="19">
        <f>IF(OR(F1097="",F1096=""),"",F1097/F1096-1)</f>
        <v/>
      </c>
      <c r="O1097" s="19">
        <f>IF(OR(G1097="",G1096=""),"",G1097/G1096-1)</f>
        <v/>
      </c>
      <c r="P1097" s="22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IF(R1097="","",P1097/R1097)</f>
        <v/>
      </c>
      <c r="T1097" s="23">
        <f>IF(R1097="","",Q1097/R1097)</f>
        <v/>
      </c>
      <c r="U1097" s="24">
        <f>IF(SUMIFS('Daily NSE Equity Options'!$M:$M,'Daily NSE Equity Options'!$A:$A,$A1097)=0,"",SUMIFS('Daily NSE Equity Options'!$M:$M,'Daily NSE Equity Options'!$A:$A,$A1097))</f>
        <v/>
      </c>
      <c r="V1097" s="9">
        <f>IF(SUMIFS('Daily BSE Equity Options'!$M:$M,'Daily BSE Equity Options'!$A:$A,$A1097)=0,"",SUMIFS('Daily BSE Equity Options'!$M:$M,'Daily BSE Equity Options'!$A:$A,$A1097))</f>
        <v/>
      </c>
      <c r="W1097" s="9">
        <f>IF(OR(U1097="",V1097=""),"",U1097+V1097)</f>
        <v/>
      </c>
      <c r="X1097" s="25">
        <f>IF(W1097="","",U1097/W1097)</f>
        <v/>
      </c>
      <c r="Y1097" s="25">
        <f>IF(W1097="","",V1097/W1097)</f>
        <v/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19">
        <f>IF(G1098="","",E1098/G1098)</f>
        <v/>
      </c>
      <c r="I1098" s="19">
        <f>IF(G1098="","",F1098/G1098)</f>
        <v/>
      </c>
      <c r="J1098" s="26">
        <f>IFERROR(IF(OR(E1098="",INDEX(E:E,MATCH(DATE(YEAR($A1098)-1,MONTH($A1098),DAY($A1098)),$A:$A,0))=""),"",E1098/INDEX(E:E,MATCH(DATE(YEAR($A1098)-1,MONTH($A1098),DAY($A1098)),$A:$A,0))-1),"")</f>
        <v/>
      </c>
      <c r="K1098" s="19">
        <f>IFERROR(IF(OR(F1098="",INDEX(F:F,MATCH(DATE(YEAR($A1098)-1,MONTH($A1098),DAY($A1098)),$A:$A,0))=""),"",F1098/INDEX(F:F,MATCH(DATE(YEAR($A1098)-1,MONTH($A1098),DAY($A1098)),$A:$A,0))-1),"")</f>
        <v/>
      </c>
      <c r="L1098" s="19">
        <f>IFERROR(IF(OR(G1098="",INDEX(G:G,MATCH(DATE(YEAR($A1098)-1,MONTH($A1098),DAY($A1098)),$A:$A,0))=""),"",G1098/INDEX(G:G,MATCH(DATE(YEAR($A1098)-1,MONTH($A1098),DAY($A1098)),$A:$A,0))-1),"")</f>
        <v/>
      </c>
      <c r="M1098" s="19">
        <f>IF(OR(E1098="",E1097=""),"",E1098/E1097-1)</f>
        <v/>
      </c>
      <c r="N1098" s="19">
        <f>IF(OR(F1098="",F1097=""),"",F1098/F1097-1)</f>
        <v/>
      </c>
      <c r="O1098" s="19">
        <f>IF(OR(G1098="",G1097=""),"",G1098/G1097-1)</f>
        <v/>
      </c>
      <c r="P1098" s="22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IF(R1098="","",P1098/R1098)</f>
        <v/>
      </c>
      <c r="T1098" s="23">
        <f>IF(R1098="","",Q1098/R1098)</f>
        <v/>
      </c>
      <c r="U1098" s="24">
        <f>IF(SUMIFS('Daily NSE Equity Options'!$M:$M,'Daily NSE Equity Options'!$A:$A,$A1098)=0,"",SUMIFS('Daily NSE Equity Options'!$M:$M,'Daily NSE Equity Options'!$A:$A,$A1098))</f>
        <v/>
      </c>
      <c r="V1098" s="9">
        <f>IF(SUMIFS('Daily BSE Equity Options'!$M:$M,'Daily BSE Equity Options'!$A:$A,$A1098)=0,"",SUMIFS('Daily BSE Equity Options'!$M:$M,'Daily BSE Equity Options'!$A:$A,$A1098))</f>
        <v/>
      </c>
      <c r="W1098" s="9">
        <f>IF(OR(U1098="",V1098=""),"",U1098+V1098)</f>
        <v/>
      </c>
      <c r="X1098" s="25">
        <f>IF(W1098="","",U1098/W1098)</f>
        <v/>
      </c>
      <c r="Y1098" s="25">
        <f>IF(W1098="","",V1098/W1098)</f>
        <v/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19">
        <f>IF(G1099="","",E1099/G1099)</f>
        <v/>
      </c>
      <c r="I1099" s="19">
        <f>IF(G1099="","",F1099/G1099)</f>
        <v/>
      </c>
      <c r="J1099" s="26">
        <f>IFERROR(IF(OR(E1099="",INDEX(E:E,MATCH(DATE(YEAR($A1099)-1,MONTH($A1099),DAY($A1099)),$A:$A,0))=""),"",E1099/INDEX(E:E,MATCH(DATE(YEAR($A1099)-1,MONTH($A1099),DAY($A1099)),$A:$A,0))-1),"")</f>
        <v/>
      </c>
      <c r="K1099" s="19">
        <f>IFERROR(IF(OR(F1099="",INDEX(F:F,MATCH(DATE(YEAR($A1099)-1,MONTH($A1099),DAY($A1099)),$A:$A,0))=""),"",F1099/INDEX(F:F,MATCH(DATE(YEAR($A1099)-1,MONTH($A1099),DAY($A1099)),$A:$A,0))-1),"")</f>
        <v/>
      </c>
      <c r="L1099" s="19">
        <f>IFERROR(IF(OR(G1099="",INDEX(G:G,MATCH(DATE(YEAR($A1099)-1,MONTH($A1099),DAY($A1099)),$A:$A,0))=""),"",G1099/INDEX(G:G,MATCH(DATE(YEAR($A1099)-1,MONTH($A1099),DAY($A1099)),$A:$A,0))-1),"")</f>
        <v/>
      </c>
      <c r="M1099" s="19">
        <f>IF(OR(E1099="",E1098=""),"",E1099/E1098-1)</f>
        <v/>
      </c>
      <c r="N1099" s="19">
        <f>IF(OR(F1099="",F1098=""),"",F1099/F1098-1)</f>
        <v/>
      </c>
      <c r="O1099" s="19">
        <f>IF(OR(G1099="",G1098=""),"",G1099/G1098-1)</f>
        <v/>
      </c>
      <c r="P1099" s="22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IF(R1099="","",P1099/R1099)</f>
        <v/>
      </c>
      <c r="T1099" s="23">
        <f>IF(R1099="","",Q1099/R1099)</f>
        <v/>
      </c>
      <c r="U1099" s="24">
        <f>IF(SUMIFS('Daily NSE Equity Options'!$M:$M,'Daily NSE Equity Options'!$A:$A,$A1099)=0,"",SUMIFS('Daily NSE Equity Options'!$M:$M,'Daily NSE Equity Options'!$A:$A,$A1099))</f>
        <v/>
      </c>
      <c r="V1099" s="9">
        <f>IF(SUMIFS('Daily BSE Equity Options'!$M:$M,'Daily BSE Equity Options'!$A:$A,$A1099)=0,"",SUMIFS('Daily BSE Equity Options'!$M:$M,'Daily BSE Equity Options'!$A:$A,$A1099))</f>
        <v/>
      </c>
      <c r="W1099" s="9">
        <f>IF(OR(U1099="",V1099=""),"",U1099+V1099)</f>
        <v/>
      </c>
      <c r="X1099" s="25">
        <f>IF(W1099="","",U1099/W1099)</f>
        <v/>
      </c>
      <c r="Y1099" s="25">
        <f>IF(W1099="","",V1099/W1099)</f>
        <v/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19">
        <f>IF(G1100="","",E1100/G1100)</f>
        <v/>
      </c>
      <c r="I1100" s="19">
        <f>IF(G1100="","",F1100/G1100)</f>
        <v/>
      </c>
      <c r="J1100" s="26">
        <f>IFERROR(IF(OR(E1100="",INDEX(E:E,MATCH(DATE(YEAR($A1100)-1,MONTH($A1100),DAY($A1100)),$A:$A,0))=""),"",E1100/INDEX(E:E,MATCH(DATE(YEAR($A1100)-1,MONTH($A1100),DAY($A1100)),$A:$A,0))-1),"")</f>
        <v/>
      </c>
      <c r="K1100" s="19">
        <f>IFERROR(IF(OR(F1100="",INDEX(F:F,MATCH(DATE(YEAR($A1100)-1,MONTH($A1100),DAY($A1100)),$A:$A,0))=""),"",F1100/INDEX(F:F,MATCH(DATE(YEAR($A1100)-1,MONTH($A1100),DAY($A1100)),$A:$A,0))-1),"")</f>
        <v/>
      </c>
      <c r="L1100" s="19">
        <f>IFERROR(IF(OR(G1100="",INDEX(G:G,MATCH(DATE(YEAR($A1100)-1,MONTH($A1100),DAY($A1100)),$A:$A,0))=""),"",G1100/INDEX(G:G,MATCH(DATE(YEAR($A1100)-1,MONTH($A1100),DAY($A1100)),$A:$A,0))-1),"")</f>
        <v/>
      </c>
      <c r="M1100" s="19">
        <f>IF(OR(E1100="",E1099=""),"",E1100/E1099-1)</f>
        <v/>
      </c>
      <c r="N1100" s="19">
        <f>IF(OR(F1100="",F1099=""),"",F1100/F1099-1)</f>
        <v/>
      </c>
      <c r="O1100" s="19">
        <f>IF(OR(G1100="",G1099=""),"",G1100/G1099-1)</f>
        <v/>
      </c>
      <c r="P1100" s="22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IF(R1100="","",P1100/R1100)</f>
        <v/>
      </c>
      <c r="T1100" s="23">
        <f>IF(R1100="","",Q1100/R1100)</f>
        <v/>
      </c>
      <c r="U1100" s="24">
        <f>IF(SUMIFS('Daily NSE Equity Options'!$M:$M,'Daily NSE Equity Options'!$A:$A,$A1100)=0,"",SUMIFS('Daily NSE Equity Options'!$M:$M,'Daily NSE Equity Options'!$A:$A,$A1100))</f>
        <v/>
      </c>
      <c r="V1100" s="9">
        <f>IF(SUMIFS('Daily BSE Equity Options'!$M:$M,'Daily BSE Equity Options'!$A:$A,$A1100)=0,"",SUMIFS('Daily BSE Equity Options'!$M:$M,'Daily BSE Equity Options'!$A:$A,$A1100))</f>
        <v/>
      </c>
      <c r="W1100" s="9">
        <f>IF(OR(U1100="",V1100=""),"",U1100+V1100)</f>
        <v/>
      </c>
      <c r="X1100" s="25">
        <f>IF(W1100="","",U1100/W1100)</f>
        <v/>
      </c>
      <c r="Y1100" s="25">
        <f>IF(W1100="","",V1100/W1100)</f>
        <v/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19">
        <f>IF(G1101="","",E1101/G1101)</f>
        <v/>
      </c>
      <c r="I1101" s="19">
        <f>IF(G1101="","",F1101/G1101)</f>
        <v/>
      </c>
      <c r="J1101" s="26">
        <f>IFERROR(IF(OR(E1101="",INDEX(E:E,MATCH(DATE(YEAR($A1101)-1,MONTH($A1101),DAY($A1101)),$A:$A,0))=""),"",E1101/INDEX(E:E,MATCH(DATE(YEAR($A1101)-1,MONTH($A1101),DAY($A1101)),$A:$A,0))-1),"")</f>
        <v/>
      </c>
      <c r="K1101" s="19">
        <f>IFERROR(IF(OR(F1101="",INDEX(F:F,MATCH(DATE(YEAR($A1101)-1,MONTH($A1101),DAY($A1101)),$A:$A,0))=""),"",F1101/INDEX(F:F,MATCH(DATE(YEAR($A1101)-1,MONTH($A1101),DAY($A1101)),$A:$A,0))-1),"")</f>
        <v/>
      </c>
      <c r="L1101" s="19">
        <f>IFERROR(IF(OR(G1101="",INDEX(G:G,MATCH(DATE(YEAR($A1101)-1,MONTH($A1101),DAY($A1101)),$A:$A,0))=""),"",G1101/INDEX(G:G,MATCH(DATE(YEAR($A1101)-1,MONTH($A1101),DAY($A1101)),$A:$A,0))-1),"")</f>
        <v/>
      </c>
      <c r="M1101" s="19">
        <f>IF(OR(E1101="",E1100=""),"",E1101/E1100-1)</f>
        <v/>
      </c>
      <c r="N1101" s="19">
        <f>IF(OR(F1101="",F1100=""),"",F1101/F1100-1)</f>
        <v/>
      </c>
      <c r="O1101" s="19">
        <f>IF(OR(G1101="",G1100=""),"",G1101/G1100-1)</f>
        <v/>
      </c>
      <c r="P1101" s="22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IF(R1101="","",P1101/R1101)</f>
        <v/>
      </c>
      <c r="T1101" s="23">
        <f>IF(R1101="","",Q1101/R1101)</f>
        <v/>
      </c>
      <c r="U1101" s="24">
        <f>IF(SUMIFS('Daily NSE Equity Options'!$M:$M,'Daily NSE Equity Options'!$A:$A,$A1101)=0,"",SUMIFS('Daily NSE Equity Options'!$M:$M,'Daily NSE Equity Options'!$A:$A,$A1101))</f>
        <v/>
      </c>
      <c r="V1101" s="9">
        <f>IF(SUMIFS('Daily BSE Equity Options'!$M:$M,'Daily BSE Equity Options'!$A:$A,$A1101)=0,"",SUMIFS('Daily BSE Equity Options'!$M:$M,'Daily BSE Equity Options'!$A:$A,$A1101))</f>
        <v/>
      </c>
      <c r="W1101" s="9">
        <f>IF(OR(U1101="",V1101=""),"",U1101+V1101)</f>
        <v/>
      </c>
      <c r="X1101" s="25">
        <f>IF(W1101="","",U1101/W1101)</f>
        <v/>
      </c>
      <c r="Y1101" s="25">
        <f>IF(W1101="","",V1101/W1101)</f>
        <v/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19">
        <f>IF(G1102="","",E1102/G1102)</f>
        <v/>
      </c>
      <c r="I1102" s="19">
        <f>IF(G1102="","",F1102/G1102)</f>
        <v/>
      </c>
      <c r="J1102" s="26">
        <f>IFERROR(IF(OR(E1102="",INDEX(E:E,MATCH(DATE(YEAR($A1102)-1,MONTH($A1102),DAY($A1102)),$A:$A,0))=""),"",E1102/INDEX(E:E,MATCH(DATE(YEAR($A1102)-1,MONTH($A1102),DAY($A1102)),$A:$A,0))-1),"")</f>
        <v/>
      </c>
      <c r="K1102" s="19">
        <f>IFERROR(IF(OR(F1102="",INDEX(F:F,MATCH(DATE(YEAR($A1102)-1,MONTH($A1102),DAY($A1102)),$A:$A,0))=""),"",F1102/INDEX(F:F,MATCH(DATE(YEAR($A1102)-1,MONTH($A1102),DAY($A1102)),$A:$A,0))-1),"")</f>
        <v/>
      </c>
      <c r="L1102" s="19">
        <f>IFERROR(IF(OR(G1102="",INDEX(G:G,MATCH(DATE(YEAR($A1102)-1,MONTH($A1102),DAY($A1102)),$A:$A,0))=""),"",G1102/INDEX(G:G,MATCH(DATE(YEAR($A1102)-1,MONTH($A1102),DAY($A1102)),$A:$A,0))-1),"")</f>
        <v/>
      </c>
      <c r="M1102" s="19">
        <f>IF(OR(E1102="",E1101=""),"",E1102/E1101-1)</f>
        <v/>
      </c>
      <c r="N1102" s="19">
        <f>IF(OR(F1102="",F1101=""),"",F1102/F1101-1)</f>
        <v/>
      </c>
      <c r="O1102" s="19">
        <f>IF(OR(G1102="",G1101=""),"",G1102/G1101-1)</f>
        <v/>
      </c>
      <c r="P1102" s="22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IF(R1102="","",P1102/R1102)</f>
        <v/>
      </c>
      <c r="T1102" s="23">
        <f>IF(R1102="","",Q1102/R1102)</f>
        <v/>
      </c>
      <c r="U1102" s="24">
        <f>IF(SUMIFS('Daily NSE Equity Options'!$M:$M,'Daily NSE Equity Options'!$A:$A,$A1102)=0,"",SUMIFS('Daily NSE Equity Options'!$M:$M,'Daily NSE Equity Options'!$A:$A,$A1102))</f>
        <v/>
      </c>
      <c r="V1102" s="9">
        <f>IF(SUMIFS('Daily BSE Equity Options'!$M:$M,'Daily BSE Equity Options'!$A:$A,$A1102)=0,"",SUMIFS('Daily BSE Equity Options'!$M:$M,'Daily BSE Equity Options'!$A:$A,$A1102))</f>
        <v/>
      </c>
      <c r="W1102" s="9">
        <f>IF(OR(U1102="",V1102=""),"",U1102+V1102)</f>
        <v/>
      </c>
      <c r="X1102" s="25">
        <f>IF(W1102="","",U1102/W1102)</f>
        <v/>
      </c>
      <c r="Y1102" s="25">
        <f>IF(W1102="","",V1102/W1102)</f>
        <v/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19">
        <f>IF(G1103="","",E1103/G1103)</f>
        <v/>
      </c>
      <c r="I1103" s="19">
        <f>IF(G1103="","",F1103/G1103)</f>
        <v/>
      </c>
      <c r="J1103" s="26">
        <f>IFERROR(IF(OR(E1103="",INDEX(E:E,MATCH(DATE(YEAR($A1103)-1,MONTH($A1103),DAY($A1103)),$A:$A,0))=""),"",E1103/INDEX(E:E,MATCH(DATE(YEAR($A1103)-1,MONTH($A1103),DAY($A1103)),$A:$A,0))-1),"")</f>
        <v/>
      </c>
      <c r="K1103" s="19">
        <f>IFERROR(IF(OR(F1103="",INDEX(F:F,MATCH(DATE(YEAR($A1103)-1,MONTH($A1103),DAY($A1103)),$A:$A,0))=""),"",F1103/INDEX(F:F,MATCH(DATE(YEAR($A1103)-1,MONTH($A1103),DAY($A1103)),$A:$A,0))-1),"")</f>
        <v/>
      </c>
      <c r="L1103" s="19">
        <f>IFERROR(IF(OR(G1103="",INDEX(G:G,MATCH(DATE(YEAR($A1103)-1,MONTH($A1103),DAY($A1103)),$A:$A,0))=""),"",G1103/INDEX(G:G,MATCH(DATE(YEAR($A1103)-1,MONTH($A1103),DAY($A1103)),$A:$A,0))-1),"")</f>
        <v/>
      </c>
      <c r="M1103" s="19">
        <f>IF(OR(E1103="",E1102=""),"",E1103/E1102-1)</f>
        <v/>
      </c>
      <c r="N1103" s="19">
        <f>IF(OR(F1103="",F1102=""),"",F1103/F1102-1)</f>
        <v/>
      </c>
      <c r="O1103" s="19">
        <f>IF(OR(G1103="",G1102=""),"",G1103/G1102-1)</f>
        <v/>
      </c>
      <c r="P1103" s="22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IF(R1103="","",P1103/R1103)</f>
        <v/>
      </c>
      <c r="T1103" s="23">
        <f>IF(R1103="","",Q1103/R1103)</f>
        <v/>
      </c>
      <c r="U1103" s="24">
        <f>IF(SUMIFS('Daily NSE Equity Options'!$M:$M,'Daily NSE Equity Options'!$A:$A,$A1103)=0,"",SUMIFS('Daily NSE Equity Options'!$M:$M,'Daily NSE Equity Options'!$A:$A,$A1103))</f>
        <v/>
      </c>
      <c r="V1103" s="9">
        <f>IF(SUMIFS('Daily BSE Equity Options'!$M:$M,'Daily BSE Equity Options'!$A:$A,$A1103)=0,"",SUMIFS('Daily BSE Equity Options'!$M:$M,'Daily BSE Equity Options'!$A:$A,$A1103))</f>
        <v/>
      </c>
      <c r="W1103" s="9">
        <f>IF(OR(U1103="",V1103=""),"",U1103+V1103)</f>
        <v/>
      </c>
      <c r="X1103" s="25">
        <f>IF(W1103="","",U1103/W1103)</f>
        <v/>
      </c>
      <c r="Y1103" s="25">
        <f>IF(W1103="","",V1103/W1103)</f>
        <v/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19">
        <f>IF(G1104="","",E1104/G1104)</f>
        <v/>
      </c>
      <c r="I1104" s="19">
        <f>IF(G1104="","",F1104/G1104)</f>
        <v/>
      </c>
      <c r="J1104" s="26">
        <f>IFERROR(IF(OR(E1104="",INDEX(E:E,MATCH(DATE(YEAR($A1104)-1,MONTH($A1104),DAY($A1104)),$A:$A,0))=""),"",E1104/INDEX(E:E,MATCH(DATE(YEAR($A1104)-1,MONTH($A1104),DAY($A1104)),$A:$A,0))-1),"")</f>
        <v/>
      </c>
      <c r="K1104" s="19">
        <f>IFERROR(IF(OR(F1104="",INDEX(F:F,MATCH(DATE(YEAR($A1104)-1,MONTH($A1104),DAY($A1104)),$A:$A,0))=""),"",F1104/INDEX(F:F,MATCH(DATE(YEAR($A1104)-1,MONTH($A1104),DAY($A1104)),$A:$A,0))-1),"")</f>
        <v/>
      </c>
      <c r="L1104" s="19">
        <f>IFERROR(IF(OR(G1104="",INDEX(G:G,MATCH(DATE(YEAR($A1104)-1,MONTH($A1104),DAY($A1104)),$A:$A,0))=""),"",G1104/INDEX(G:G,MATCH(DATE(YEAR($A1104)-1,MONTH($A1104),DAY($A1104)),$A:$A,0))-1),"")</f>
        <v/>
      </c>
      <c r="M1104" s="19">
        <f>IF(OR(E1104="",E1103=""),"",E1104/E1103-1)</f>
        <v/>
      </c>
      <c r="N1104" s="19">
        <f>IF(OR(F1104="",F1103=""),"",F1104/F1103-1)</f>
        <v/>
      </c>
      <c r="O1104" s="19">
        <f>IF(OR(G1104="",G1103=""),"",G1104/G1103-1)</f>
        <v/>
      </c>
      <c r="P1104" s="22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IF(R1104="","",P1104/R1104)</f>
        <v/>
      </c>
      <c r="T1104" s="23">
        <f>IF(R1104="","",Q1104/R1104)</f>
        <v/>
      </c>
      <c r="U1104" s="24">
        <f>IF(SUMIFS('Daily NSE Equity Options'!$M:$M,'Daily NSE Equity Options'!$A:$A,$A1104)=0,"",SUMIFS('Daily NSE Equity Options'!$M:$M,'Daily NSE Equity Options'!$A:$A,$A1104))</f>
        <v/>
      </c>
      <c r="V1104" s="9">
        <f>IF(SUMIFS('Daily BSE Equity Options'!$M:$M,'Daily BSE Equity Options'!$A:$A,$A1104)=0,"",SUMIFS('Daily BSE Equity Options'!$M:$M,'Daily BSE Equity Options'!$A:$A,$A1104))</f>
        <v/>
      </c>
      <c r="W1104" s="9">
        <f>IF(OR(U1104="",V1104=""),"",U1104+V1104)</f>
        <v/>
      </c>
      <c r="X1104" s="25">
        <f>IF(W1104="","",U1104/W1104)</f>
        <v/>
      </c>
      <c r="Y1104" s="25">
        <f>IF(W1104="","",V1104/W1104)</f>
        <v/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19">
        <f>IF(G1105="","",E1105/G1105)</f>
        <v/>
      </c>
      <c r="I1105" s="19">
        <f>IF(G1105="","",F1105/G1105)</f>
        <v/>
      </c>
      <c r="J1105" s="26">
        <f>IFERROR(IF(OR(E1105="",INDEX(E:E,MATCH(DATE(YEAR($A1105)-1,MONTH($A1105),DAY($A1105)),$A:$A,0))=""),"",E1105/INDEX(E:E,MATCH(DATE(YEAR($A1105)-1,MONTH($A1105),DAY($A1105)),$A:$A,0))-1),"")</f>
        <v/>
      </c>
      <c r="K1105" s="19">
        <f>IFERROR(IF(OR(F1105="",INDEX(F:F,MATCH(DATE(YEAR($A1105)-1,MONTH($A1105),DAY($A1105)),$A:$A,0))=""),"",F1105/INDEX(F:F,MATCH(DATE(YEAR($A1105)-1,MONTH($A1105),DAY($A1105)),$A:$A,0))-1),"")</f>
        <v/>
      </c>
      <c r="L1105" s="19">
        <f>IFERROR(IF(OR(G1105="",INDEX(G:G,MATCH(DATE(YEAR($A1105)-1,MONTH($A1105),DAY($A1105)),$A:$A,0))=""),"",G1105/INDEX(G:G,MATCH(DATE(YEAR($A1105)-1,MONTH($A1105),DAY($A1105)),$A:$A,0))-1),"")</f>
        <v/>
      </c>
      <c r="M1105" s="19">
        <f>IF(OR(E1105="",E1104=""),"",E1105/E1104-1)</f>
        <v/>
      </c>
      <c r="N1105" s="19">
        <f>IF(OR(F1105="",F1104=""),"",F1105/F1104-1)</f>
        <v/>
      </c>
      <c r="O1105" s="19">
        <f>IF(OR(G1105="",G1104=""),"",G1105/G1104-1)</f>
        <v/>
      </c>
      <c r="P1105" s="22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IF(R1105="","",P1105/R1105)</f>
        <v/>
      </c>
      <c r="T1105" s="23">
        <f>IF(R1105="","",Q1105/R1105)</f>
        <v/>
      </c>
      <c r="U1105" s="24">
        <f>IF(SUMIFS('Daily NSE Equity Options'!$M:$M,'Daily NSE Equity Options'!$A:$A,$A1105)=0,"",SUMIFS('Daily NSE Equity Options'!$M:$M,'Daily NSE Equity Options'!$A:$A,$A1105))</f>
        <v/>
      </c>
      <c r="V1105" s="9">
        <f>IF(SUMIFS('Daily BSE Equity Options'!$M:$M,'Daily BSE Equity Options'!$A:$A,$A1105)=0,"",SUMIFS('Daily BSE Equity Options'!$M:$M,'Daily BSE Equity Options'!$A:$A,$A1105))</f>
        <v/>
      </c>
      <c r="W1105" s="9">
        <f>IF(OR(U1105="",V1105=""),"",U1105+V1105)</f>
        <v/>
      </c>
      <c r="X1105" s="25">
        <f>IF(W1105="","",U1105/W1105)</f>
        <v/>
      </c>
      <c r="Y1105" s="25">
        <f>IF(W1105="","",V1105/W1105)</f>
        <v/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19">
        <f>IF(G1106="","",E1106/G1106)</f>
        <v/>
      </c>
      <c r="I1106" s="19">
        <f>IF(G1106="","",F1106/G1106)</f>
        <v/>
      </c>
      <c r="J1106" s="26">
        <f>IFERROR(IF(OR(E1106="",INDEX(E:E,MATCH(DATE(YEAR($A1106)-1,MONTH($A1106),DAY($A1106)),$A:$A,0))=""),"",E1106/INDEX(E:E,MATCH(DATE(YEAR($A1106)-1,MONTH($A1106),DAY($A1106)),$A:$A,0))-1),"")</f>
        <v/>
      </c>
      <c r="K1106" s="19">
        <f>IFERROR(IF(OR(F1106="",INDEX(F:F,MATCH(DATE(YEAR($A1106)-1,MONTH($A1106),DAY($A1106)),$A:$A,0))=""),"",F1106/INDEX(F:F,MATCH(DATE(YEAR($A1106)-1,MONTH($A1106),DAY($A1106)),$A:$A,0))-1),"")</f>
        <v/>
      </c>
      <c r="L1106" s="19">
        <f>IFERROR(IF(OR(G1106="",INDEX(G:G,MATCH(DATE(YEAR($A1106)-1,MONTH($A1106),DAY($A1106)),$A:$A,0))=""),"",G1106/INDEX(G:G,MATCH(DATE(YEAR($A1106)-1,MONTH($A1106),DAY($A1106)),$A:$A,0))-1),"")</f>
        <v/>
      </c>
      <c r="M1106" s="19">
        <f>IF(OR(E1106="",E1105=""),"",E1106/E1105-1)</f>
        <v/>
      </c>
      <c r="N1106" s="19">
        <f>IF(OR(F1106="",F1105=""),"",F1106/F1105-1)</f>
        <v/>
      </c>
      <c r="O1106" s="19">
        <f>IF(OR(G1106="",G1105=""),"",G1106/G1105-1)</f>
        <v/>
      </c>
      <c r="P1106" s="22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IF(R1106="","",P1106/R1106)</f>
        <v/>
      </c>
      <c r="T1106" s="23">
        <f>IF(R1106="","",Q1106/R1106)</f>
        <v/>
      </c>
      <c r="U1106" s="24">
        <f>IF(SUMIFS('Daily NSE Equity Options'!$M:$M,'Daily NSE Equity Options'!$A:$A,$A1106)=0,"",SUMIFS('Daily NSE Equity Options'!$M:$M,'Daily NSE Equity Options'!$A:$A,$A1106))</f>
        <v/>
      </c>
      <c r="V1106" s="9">
        <f>IF(SUMIFS('Daily BSE Equity Options'!$M:$M,'Daily BSE Equity Options'!$A:$A,$A1106)=0,"",SUMIFS('Daily BSE Equity Options'!$M:$M,'Daily BSE Equity Options'!$A:$A,$A1106))</f>
        <v/>
      </c>
      <c r="W1106" s="9">
        <f>IF(OR(U1106="",V1106=""),"",U1106+V1106)</f>
        <v/>
      </c>
      <c r="X1106" s="25">
        <f>IF(W1106="","",U1106/W1106)</f>
        <v/>
      </c>
      <c r="Y1106" s="25">
        <f>IF(W1106="","",V1106/W1106)</f>
        <v/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19">
        <f>IF(G1107="","",E1107/G1107)</f>
        <v/>
      </c>
      <c r="I1107" s="19">
        <f>IF(G1107="","",F1107/G1107)</f>
        <v/>
      </c>
      <c r="J1107" s="26">
        <f>IFERROR(IF(OR(E1107="",INDEX(E:E,MATCH(DATE(YEAR($A1107)-1,MONTH($A1107),DAY($A1107)),$A:$A,0))=""),"",E1107/INDEX(E:E,MATCH(DATE(YEAR($A1107)-1,MONTH($A1107),DAY($A1107)),$A:$A,0))-1),"")</f>
        <v/>
      </c>
      <c r="K1107" s="19">
        <f>IFERROR(IF(OR(F1107="",INDEX(F:F,MATCH(DATE(YEAR($A1107)-1,MONTH($A1107),DAY($A1107)),$A:$A,0))=""),"",F1107/INDEX(F:F,MATCH(DATE(YEAR($A1107)-1,MONTH($A1107),DAY($A1107)),$A:$A,0))-1),"")</f>
        <v/>
      </c>
      <c r="L1107" s="19">
        <f>IFERROR(IF(OR(G1107="",INDEX(G:G,MATCH(DATE(YEAR($A1107)-1,MONTH($A1107),DAY($A1107)),$A:$A,0))=""),"",G1107/INDEX(G:G,MATCH(DATE(YEAR($A1107)-1,MONTH($A1107),DAY($A1107)),$A:$A,0))-1),"")</f>
        <v/>
      </c>
      <c r="M1107" s="19">
        <f>IF(OR(E1107="",E1106=""),"",E1107/E1106-1)</f>
        <v/>
      </c>
      <c r="N1107" s="19">
        <f>IF(OR(F1107="",F1106=""),"",F1107/F1106-1)</f>
        <v/>
      </c>
      <c r="O1107" s="19">
        <f>IF(OR(G1107="",G1106=""),"",G1107/G1106-1)</f>
        <v/>
      </c>
      <c r="P1107" s="22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IF(R1107="","",P1107/R1107)</f>
        <v/>
      </c>
      <c r="T1107" s="23">
        <f>IF(R1107="","",Q1107/R1107)</f>
        <v/>
      </c>
      <c r="U1107" s="24">
        <f>IF(SUMIFS('Daily NSE Equity Options'!$M:$M,'Daily NSE Equity Options'!$A:$A,$A1107)=0,"",SUMIFS('Daily NSE Equity Options'!$M:$M,'Daily NSE Equity Options'!$A:$A,$A1107))</f>
        <v/>
      </c>
      <c r="V1107" s="9">
        <f>IF(SUMIFS('Daily BSE Equity Options'!$M:$M,'Daily BSE Equity Options'!$A:$A,$A1107)=0,"",SUMIFS('Daily BSE Equity Options'!$M:$M,'Daily BSE Equity Options'!$A:$A,$A1107))</f>
        <v/>
      </c>
      <c r="W1107" s="9">
        <f>IF(OR(U1107="",V1107=""),"",U1107+V1107)</f>
        <v/>
      </c>
      <c r="X1107" s="25">
        <f>IF(W1107="","",U1107/W1107)</f>
        <v/>
      </c>
      <c r="Y1107" s="25">
        <f>IF(W1107="","",V1107/W1107)</f>
        <v/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19">
        <f>IF(G1108="","",E1108/G1108)</f>
        <v/>
      </c>
      <c r="I1108" s="19">
        <f>IF(G1108="","",F1108/G1108)</f>
        <v/>
      </c>
      <c r="J1108" s="26">
        <f>IFERROR(IF(OR(E1108="",INDEX(E:E,MATCH(DATE(YEAR($A1108)-1,MONTH($A1108),DAY($A1108)),$A:$A,0))=""),"",E1108/INDEX(E:E,MATCH(DATE(YEAR($A1108)-1,MONTH($A1108),DAY($A1108)),$A:$A,0))-1),"")</f>
        <v/>
      </c>
      <c r="K1108" s="19">
        <f>IFERROR(IF(OR(F1108="",INDEX(F:F,MATCH(DATE(YEAR($A1108)-1,MONTH($A1108),DAY($A1108)),$A:$A,0))=""),"",F1108/INDEX(F:F,MATCH(DATE(YEAR($A1108)-1,MONTH($A1108),DAY($A1108)),$A:$A,0))-1),"")</f>
        <v/>
      </c>
      <c r="L1108" s="19">
        <f>IFERROR(IF(OR(G1108="",INDEX(G:G,MATCH(DATE(YEAR($A1108)-1,MONTH($A1108),DAY($A1108)),$A:$A,0))=""),"",G1108/INDEX(G:G,MATCH(DATE(YEAR($A1108)-1,MONTH($A1108),DAY($A1108)),$A:$A,0))-1),"")</f>
        <v/>
      </c>
      <c r="M1108" s="19">
        <f>IF(OR(E1108="",E1107=""),"",E1108/E1107-1)</f>
        <v/>
      </c>
      <c r="N1108" s="19">
        <f>IF(OR(F1108="",F1107=""),"",F1108/F1107-1)</f>
        <v/>
      </c>
      <c r="O1108" s="19">
        <f>IF(OR(G1108="",G1107=""),"",G1108/G1107-1)</f>
        <v/>
      </c>
      <c r="P1108" s="22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IF(R1108="","",P1108/R1108)</f>
        <v/>
      </c>
      <c r="T1108" s="23">
        <f>IF(R1108="","",Q1108/R1108)</f>
        <v/>
      </c>
      <c r="U1108" s="24">
        <f>IF(SUMIFS('Daily NSE Equity Options'!$M:$M,'Daily NSE Equity Options'!$A:$A,$A1108)=0,"",SUMIFS('Daily NSE Equity Options'!$M:$M,'Daily NSE Equity Options'!$A:$A,$A1108))</f>
        <v/>
      </c>
      <c r="V1108" s="9">
        <f>IF(SUMIFS('Daily BSE Equity Options'!$M:$M,'Daily BSE Equity Options'!$A:$A,$A1108)=0,"",SUMIFS('Daily BSE Equity Options'!$M:$M,'Daily BSE Equity Options'!$A:$A,$A1108))</f>
        <v/>
      </c>
      <c r="W1108" s="9">
        <f>IF(OR(U1108="",V1108=""),"",U1108+V1108)</f>
        <v/>
      </c>
      <c r="X1108" s="25">
        <f>IF(W1108="","",U1108/W1108)</f>
        <v/>
      </c>
      <c r="Y1108" s="25">
        <f>IF(W1108="","",V1108/W1108)</f>
        <v/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19">
        <f>IF(G1109="","",E1109/G1109)</f>
        <v/>
      </c>
      <c r="I1109" s="19">
        <f>IF(G1109="","",F1109/G1109)</f>
        <v/>
      </c>
      <c r="J1109" s="26">
        <f>IFERROR(IF(OR(E1109="",INDEX(E:E,MATCH(DATE(YEAR($A1109)-1,MONTH($A1109),DAY($A1109)),$A:$A,0))=""),"",E1109/INDEX(E:E,MATCH(DATE(YEAR($A1109)-1,MONTH($A1109),DAY($A1109)),$A:$A,0))-1),"")</f>
        <v/>
      </c>
      <c r="K1109" s="19">
        <f>IFERROR(IF(OR(F1109="",INDEX(F:F,MATCH(DATE(YEAR($A1109)-1,MONTH($A1109),DAY($A1109)),$A:$A,0))=""),"",F1109/INDEX(F:F,MATCH(DATE(YEAR($A1109)-1,MONTH($A1109),DAY($A1109)),$A:$A,0))-1),"")</f>
        <v/>
      </c>
      <c r="L1109" s="19">
        <f>IFERROR(IF(OR(G1109="",INDEX(G:G,MATCH(DATE(YEAR($A1109)-1,MONTH($A1109),DAY($A1109)),$A:$A,0))=""),"",G1109/INDEX(G:G,MATCH(DATE(YEAR($A1109)-1,MONTH($A1109),DAY($A1109)),$A:$A,0))-1),"")</f>
        <v/>
      </c>
      <c r="M1109" s="19">
        <f>IF(OR(E1109="",E1108=""),"",E1109/E1108-1)</f>
        <v/>
      </c>
      <c r="N1109" s="19">
        <f>IF(OR(F1109="",F1108=""),"",F1109/F1108-1)</f>
        <v/>
      </c>
      <c r="O1109" s="19">
        <f>IF(OR(G1109="",G1108=""),"",G1109/G1108-1)</f>
        <v/>
      </c>
      <c r="P1109" s="22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IF(R1109="","",P1109/R1109)</f>
        <v/>
      </c>
      <c r="T1109" s="23">
        <f>IF(R1109="","",Q1109/R1109)</f>
        <v/>
      </c>
      <c r="U1109" s="24">
        <f>IF(SUMIFS('Daily NSE Equity Options'!$M:$M,'Daily NSE Equity Options'!$A:$A,$A1109)=0,"",SUMIFS('Daily NSE Equity Options'!$M:$M,'Daily NSE Equity Options'!$A:$A,$A1109))</f>
        <v/>
      </c>
      <c r="V1109" s="9">
        <f>IF(SUMIFS('Daily BSE Equity Options'!$M:$M,'Daily BSE Equity Options'!$A:$A,$A1109)=0,"",SUMIFS('Daily BSE Equity Options'!$M:$M,'Daily BSE Equity Options'!$A:$A,$A1109))</f>
        <v/>
      </c>
      <c r="W1109" s="9">
        <f>IF(OR(U1109="",V1109=""),"",U1109+V1109)</f>
        <v/>
      </c>
      <c r="X1109" s="25">
        <f>IF(W1109="","",U1109/W1109)</f>
        <v/>
      </c>
      <c r="Y1109" s="25">
        <f>IF(W1109="","",V1109/W1109)</f>
        <v/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19">
        <f>IF(G1110="","",E1110/G1110)</f>
        <v/>
      </c>
      <c r="I1110" s="19">
        <f>IF(G1110="","",F1110/G1110)</f>
        <v/>
      </c>
      <c r="J1110" s="26">
        <f>IFERROR(IF(OR(E1110="",INDEX(E:E,MATCH(DATE(YEAR($A1110)-1,MONTH($A1110),DAY($A1110)),$A:$A,0))=""),"",E1110/INDEX(E:E,MATCH(DATE(YEAR($A1110)-1,MONTH($A1110),DAY($A1110)),$A:$A,0))-1),"")</f>
        <v/>
      </c>
      <c r="K1110" s="19">
        <f>IFERROR(IF(OR(F1110="",INDEX(F:F,MATCH(DATE(YEAR($A1110)-1,MONTH($A1110),DAY($A1110)),$A:$A,0))=""),"",F1110/INDEX(F:F,MATCH(DATE(YEAR($A1110)-1,MONTH($A1110),DAY($A1110)),$A:$A,0))-1),"")</f>
        <v/>
      </c>
      <c r="L1110" s="19">
        <f>IFERROR(IF(OR(G1110="",INDEX(G:G,MATCH(DATE(YEAR($A1110)-1,MONTH($A1110),DAY($A1110)),$A:$A,0))=""),"",G1110/INDEX(G:G,MATCH(DATE(YEAR($A1110)-1,MONTH($A1110),DAY($A1110)),$A:$A,0))-1),"")</f>
        <v/>
      </c>
      <c r="M1110" s="19">
        <f>IF(OR(E1110="",E1109=""),"",E1110/E1109-1)</f>
        <v/>
      </c>
      <c r="N1110" s="19">
        <f>IF(OR(F1110="",F1109=""),"",F1110/F1109-1)</f>
        <v/>
      </c>
      <c r="O1110" s="19">
        <f>IF(OR(G1110="",G1109=""),"",G1110/G1109-1)</f>
        <v/>
      </c>
      <c r="P1110" s="22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IF(R1110="","",P1110/R1110)</f>
        <v/>
      </c>
      <c r="T1110" s="23">
        <f>IF(R1110="","",Q1110/R1110)</f>
        <v/>
      </c>
      <c r="U1110" s="24">
        <f>IF(SUMIFS('Daily NSE Equity Options'!$M:$M,'Daily NSE Equity Options'!$A:$A,$A1110)=0,"",SUMIFS('Daily NSE Equity Options'!$M:$M,'Daily NSE Equity Options'!$A:$A,$A1110))</f>
        <v/>
      </c>
      <c r="V1110" s="9">
        <f>IF(SUMIFS('Daily BSE Equity Options'!$M:$M,'Daily BSE Equity Options'!$A:$A,$A1110)=0,"",SUMIFS('Daily BSE Equity Options'!$M:$M,'Daily BSE Equity Options'!$A:$A,$A1110))</f>
        <v/>
      </c>
      <c r="W1110" s="9">
        <f>IF(OR(U1110="",V1110=""),"",U1110+V1110)</f>
        <v/>
      </c>
      <c r="X1110" s="25">
        <f>IF(W1110="","",U1110/W1110)</f>
        <v/>
      </c>
      <c r="Y1110" s="25">
        <f>IF(W1110="","",V1110/W1110)</f>
        <v/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19">
        <f>IF(G1111="","",E1111/G1111)</f>
        <v/>
      </c>
      <c r="I1111" s="19">
        <f>IF(G1111="","",F1111/G1111)</f>
        <v/>
      </c>
      <c r="J1111" s="26">
        <f>IFERROR(IF(OR(E1111="",INDEX(E:E,MATCH(DATE(YEAR($A1111)-1,MONTH($A1111),DAY($A1111)),$A:$A,0))=""),"",E1111/INDEX(E:E,MATCH(DATE(YEAR($A1111)-1,MONTH($A1111),DAY($A1111)),$A:$A,0))-1),"")</f>
        <v/>
      </c>
      <c r="K1111" s="19">
        <f>IFERROR(IF(OR(F1111="",INDEX(F:F,MATCH(DATE(YEAR($A1111)-1,MONTH($A1111),DAY($A1111)),$A:$A,0))=""),"",F1111/INDEX(F:F,MATCH(DATE(YEAR($A1111)-1,MONTH($A1111),DAY($A1111)),$A:$A,0))-1),"")</f>
        <v/>
      </c>
      <c r="L1111" s="19">
        <f>IFERROR(IF(OR(G1111="",INDEX(G:G,MATCH(DATE(YEAR($A1111)-1,MONTH($A1111),DAY($A1111)),$A:$A,0))=""),"",G1111/INDEX(G:G,MATCH(DATE(YEAR($A1111)-1,MONTH($A1111),DAY($A1111)),$A:$A,0))-1),"")</f>
        <v/>
      </c>
      <c r="M1111" s="19">
        <f>IF(OR(E1111="",E1110=""),"",E1111/E1110-1)</f>
        <v/>
      </c>
      <c r="N1111" s="19">
        <f>IF(OR(F1111="",F1110=""),"",F1111/F1110-1)</f>
        <v/>
      </c>
      <c r="O1111" s="19">
        <f>IF(OR(G1111="",G1110=""),"",G1111/G1110-1)</f>
        <v/>
      </c>
      <c r="P1111" s="22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IF(R1111="","",P1111/R1111)</f>
        <v/>
      </c>
      <c r="T1111" s="23">
        <f>IF(R1111="","",Q1111/R1111)</f>
        <v/>
      </c>
      <c r="U1111" s="24">
        <f>IF(SUMIFS('Daily NSE Equity Options'!$M:$M,'Daily NSE Equity Options'!$A:$A,$A1111)=0,"",SUMIFS('Daily NSE Equity Options'!$M:$M,'Daily NSE Equity Options'!$A:$A,$A1111))</f>
        <v/>
      </c>
      <c r="V1111" s="9">
        <f>IF(SUMIFS('Daily BSE Equity Options'!$M:$M,'Daily BSE Equity Options'!$A:$A,$A1111)=0,"",SUMIFS('Daily BSE Equity Options'!$M:$M,'Daily BSE Equity Options'!$A:$A,$A1111))</f>
        <v/>
      </c>
      <c r="W1111" s="9">
        <f>IF(OR(U1111="",V1111=""),"",U1111+V1111)</f>
        <v/>
      </c>
      <c r="X1111" s="25">
        <f>IF(W1111="","",U1111/W1111)</f>
        <v/>
      </c>
      <c r="Y1111" s="25">
        <f>IF(W1111="","",V1111/W1111)</f>
        <v/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19">
        <f>IF(G1112="","",E1112/G1112)</f>
        <v/>
      </c>
      <c r="I1112" s="19">
        <f>IF(G1112="","",F1112/G1112)</f>
        <v/>
      </c>
      <c r="J1112" s="26">
        <f>IFERROR(IF(OR(E1112="",INDEX(E:E,MATCH(DATE(YEAR($A1112)-1,MONTH($A1112),DAY($A1112)),$A:$A,0))=""),"",E1112/INDEX(E:E,MATCH(DATE(YEAR($A1112)-1,MONTH($A1112),DAY($A1112)),$A:$A,0))-1),"")</f>
        <v/>
      </c>
      <c r="K1112" s="19">
        <f>IFERROR(IF(OR(F1112="",INDEX(F:F,MATCH(DATE(YEAR($A1112)-1,MONTH($A1112),DAY($A1112)),$A:$A,0))=""),"",F1112/INDEX(F:F,MATCH(DATE(YEAR($A1112)-1,MONTH($A1112),DAY($A1112)),$A:$A,0))-1),"")</f>
        <v/>
      </c>
      <c r="L1112" s="19">
        <f>IFERROR(IF(OR(G1112="",INDEX(G:G,MATCH(DATE(YEAR($A1112)-1,MONTH($A1112),DAY($A1112)),$A:$A,0))=""),"",G1112/INDEX(G:G,MATCH(DATE(YEAR($A1112)-1,MONTH($A1112),DAY($A1112)),$A:$A,0))-1),"")</f>
        <v/>
      </c>
      <c r="M1112" s="19">
        <f>IF(OR(E1112="",E1111=""),"",E1112/E1111-1)</f>
        <v/>
      </c>
      <c r="N1112" s="19">
        <f>IF(OR(F1112="",F1111=""),"",F1112/F1111-1)</f>
        <v/>
      </c>
      <c r="O1112" s="19">
        <f>IF(OR(G1112="",G1111=""),"",G1112/G1111-1)</f>
        <v/>
      </c>
      <c r="P1112" s="22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IF(R1112="","",P1112/R1112)</f>
        <v/>
      </c>
      <c r="T1112" s="23">
        <f>IF(R1112="","",Q1112/R1112)</f>
        <v/>
      </c>
      <c r="U1112" s="24">
        <f>IF(SUMIFS('Daily NSE Equity Options'!$M:$M,'Daily NSE Equity Options'!$A:$A,$A1112)=0,"",SUMIFS('Daily NSE Equity Options'!$M:$M,'Daily NSE Equity Options'!$A:$A,$A1112))</f>
        <v/>
      </c>
      <c r="V1112" s="9">
        <f>IF(SUMIFS('Daily BSE Equity Options'!$M:$M,'Daily BSE Equity Options'!$A:$A,$A1112)=0,"",SUMIFS('Daily BSE Equity Options'!$M:$M,'Daily BSE Equity Options'!$A:$A,$A1112))</f>
        <v/>
      </c>
      <c r="W1112" s="9">
        <f>IF(OR(U1112="",V1112=""),"",U1112+V1112)</f>
        <v/>
      </c>
      <c r="X1112" s="25">
        <f>IF(W1112="","",U1112/W1112)</f>
        <v/>
      </c>
      <c r="Y1112" s="25">
        <f>IF(W1112="","",V1112/W1112)</f>
        <v/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19">
        <f>IF(G1113="","",E1113/G1113)</f>
        <v/>
      </c>
      <c r="I1113" s="19">
        <f>IF(G1113="","",F1113/G1113)</f>
        <v/>
      </c>
      <c r="J1113" s="26">
        <f>IFERROR(IF(OR(E1113="",INDEX(E:E,MATCH(DATE(YEAR($A1113)-1,MONTH($A1113),DAY($A1113)),$A:$A,0))=""),"",E1113/INDEX(E:E,MATCH(DATE(YEAR($A1113)-1,MONTH($A1113),DAY($A1113)),$A:$A,0))-1),"")</f>
        <v/>
      </c>
      <c r="K1113" s="19">
        <f>IFERROR(IF(OR(F1113="",INDEX(F:F,MATCH(DATE(YEAR($A1113)-1,MONTH($A1113),DAY($A1113)),$A:$A,0))=""),"",F1113/INDEX(F:F,MATCH(DATE(YEAR($A1113)-1,MONTH($A1113),DAY($A1113)),$A:$A,0))-1),"")</f>
        <v/>
      </c>
      <c r="L1113" s="19">
        <f>IFERROR(IF(OR(G1113="",INDEX(G:G,MATCH(DATE(YEAR($A1113)-1,MONTH($A1113),DAY($A1113)),$A:$A,0))=""),"",G1113/INDEX(G:G,MATCH(DATE(YEAR($A1113)-1,MONTH($A1113),DAY($A1113)),$A:$A,0))-1),"")</f>
        <v/>
      </c>
      <c r="M1113" s="19">
        <f>IF(OR(E1113="",E1112=""),"",E1113/E1112-1)</f>
        <v/>
      </c>
      <c r="N1113" s="19">
        <f>IF(OR(F1113="",F1112=""),"",F1113/F1112-1)</f>
        <v/>
      </c>
      <c r="O1113" s="19">
        <f>IF(OR(G1113="",G1112=""),"",G1113/G1112-1)</f>
        <v/>
      </c>
      <c r="P1113" s="22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IF(R1113="","",P1113/R1113)</f>
        <v/>
      </c>
      <c r="T1113" s="23">
        <f>IF(R1113="","",Q1113/R1113)</f>
        <v/>
      </c>
      <c r="U1113" s="24">
        <f>IF(SUMIFS('Daily NSE Equity Options'!$M:$M,'Daily NSE Equity Options'!$A:$A,$A1113)=0,"",SUMIFS('Daily NSE Equity Options'!$M:$M,'Daily NSE Equity Options'!$A:$A,$A1113))</f>
        <v/>
      </c>
      <c r="V1113" s="9">
        <f>IF(SUMIFS('Daily BSE Equity Options'!$M:$M,'Daily BSE Equity Options'!$A:$A,$A1113)=0,"",SUMIFS('Daily BSE Equity Options'!$M:$M,'Daily BSE Equity Options'!$A:$A,$A1113))</f>
        <v/>
      </c>
      <c r="W1113" s="9">
        <f>IF(OR(U1113="",V1113=""),"",U1113+V1113)</f>
        <v/>
      </c>
      <c r="X1113" s="25">
        <f>IF(W1113="","",U1113/W1113)</f>
        <v/>
      </c>
      <c r="Y1113" s="25">
        <f>IF(W1113="","",V1113/W1113)</f>
        <v/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19">
        <f>IF(G1114="","",E1114/G1114)</f>
        <v/>
      </c>
      <c r="I1114" s="19">
        <f>IF(G1114="","",F1114/G1114)</f>
        <v/>
      </c>
      <c r="J1114" s="26">
        <f>IFERROR(IF(OR(E1114="",INDEX(E:E,MATCH(DATE(YEAR($A1114)-1,MONTH($A1114),DAY($A1114)),$A:$A,0))=""),"",E1114/INDEX(E:E,MATCH(DATE(YEAR($A1114)-1,MONTH($A1114),DAY($A1114)),$A:$A,0))-1),"")</f>
        <v/>
      </c>
      <c r="K1114" s="19">
        <f>IFERROR(IF(OR(F1114="",INDEX(F:F,MATCH(DATE(YEAR($A1114)-1,MONTH($A1114),DAY($A1114)),$A:$A,0))=""),"",F1114/INDEX(F:F,MATCH(DATE(YEAR($A1114)-1,MONTH($A1114),DAY($A1114)),$A:$A,0))-1),"")</f>
        <v/>
      </c>
      <c r="L1114" s="19">
        <f>IFERROR(IF(OR(G1114="",INDEX(G:G,MATCH(DATE(YEAR($A1114)-1,MONTH($A1114),DAY($A1114)),$A:$A,0))=""),"",G1114/INDEX(G:G,MATCH(DATE(YEAR($A1114)-1,MONTH($A1114),DAY($A1114)),$A:$A,0))-1),"")</f>
        <v/>
      </c>
      <c r="M1114" s="19">
        <f>IF(OR(E1114="",E1113=""),"",E1114/E1113-1)</f>
        <v/>
      </c>
      <c r="N1114" s="19">
        <f>IF(OR(F1114="",F1113=""),"",F1114/F1113-1)</f>
        <v/>
      </c>
      <c r="O1114" s="19">
        <f>IF(OR(G1114="",G1113=""),"",G1114/G1113-1)</f>
        <v/>
      </c>
      <c r="P1114" s="22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IF(R1114="","",P1114/R1114)</f>
        <v/>
      </c>
      <c r="T1114" s="23">
        <f>IF(R1114="","",Q1114/R1114)</f>
        <v/>
      </c>
      <c r="U1114" s="24">
        <f>IF(SUMIFS('Daily NSE Equity Options'!$M:$M,'Daily NSE Equity Options'!$A:$A,$A1114)=0,"",SUMIFS('Daily NSE Equity Options'!$M:$M,'Daily NSE Equity Options'!$A:$A,$A1114))</f>
        <v/>
      </c>
      <c r="V1114" s="9">
        <f>IF(SUMIFS('Daily BSE Equity Options'!$M:$M,'Daily BSE Equity Options'!$A:$A,$A1114)=0,"",SUMIFS('Daily BSE Equity Options'!$M:$M,'Daily BSE Equity Options'!$A:$A,$A1114))</f>
        <v/>
      </c>
      <c r="W1114" s="9">
        <f>IF(OR(U1114="",V1114=""),"",U1114+V1114)</f>
        <v/>
      </c>
      <c r="X1114" s="25">
        <f>IF(W1114="","",U1114/W1114)</f>
        <v/>
      </c>
      <c r="Y1114" s="25">
        <f>IF(W1114="","",V1114/W1114)</f>
        <v/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19">
        <f>IF(G1115="","",E1115/G1115)</f>
        <v/>
      </c>
      <c r="I1115" s="19">
        <f>IF(G1115="","",F1115/G1115)</f>
        <v/>
      </c>
      <c r="J1115" s="26">
        <f>IFERROR(IF(OR(E1115="",INDEX(E:E,MATCH(DATE(YEAR($A1115)-1,MONTH($A1115),DAY($A1115)),$A:$A,0))=""),"",E1115/INDEX(E:E,MATCH(DATE(YEAR($A1115)-1,MONTH($A1115),DAY($A1115)),$A:$A,0))-1),"")</f>
        <v/>
      </c>
      <c r="K1115" s="19">
        <f>IFERROR(IF(OR(F1115="",INDEX(F:F,MATCH(DATE(YEAR($A1115)-1,MONTH($A1115),DAY($A1115)),$A:$A,0))=""),"",F1115/INDEX(F:F,MATCH(DATE(YEAR($A1115)-1,MONTH($A1115),DAY($A1115)),$A:$A,0))-1),"")</f>
        <v/>
      </c>
      <c r="L1115" s="19">
        <f>IFERROR(IF(OR(G1115="",INDEX(G:G,MATCH(DATE(YEAR($A1115)-1,MONTH($A1115),DAY($A1115)),$A:$A,0))=""),"",G1115/INDEX(G:G,MATCH(DATE(YEAR($A1115)-1,MONTH($A1115),DAY($A1115)),$A:$A,0))-1),"")</f>
        <v/>
      </c>
      <c r="M1115" s="19">
        <f>IF(OR(E1115="",E1114=""),"",E1115/E1114-1)</f>
        <v/>
      </c>
      <c r="N1115" s="19">
        <f>IF(OR(F1115="",F1114=""),"",F1115/F1114-1)</f>
        <v/>
      </c>
      <c r="O1115" s="19">
        <f>IF(OR(G1115="",G1114=""),"",G1115/G1114-1)</f>
        <v/>
      </c>
      <c r="P1115" s="22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IF(R1115="","",P1115/R1115)</f>
        <v/>
      </c>
      <c r="T1115" s="23">
        <f>IF(R1115="","",Q1115/R1115)</f>
        <v/>
      </c>
      <c r="U1115" s="24">
        <f>IF(SUMIFS('Daily NSE Equity Options'!$M:$M,'Daily NSE Equity Options'!$A:$A,$A1115)=0,"",SUMIFS('Daily NSE Equity Options'!$M:$M,'Daily NSE Equity Options'!$A:$A,$A1115))</f>
        <v/>
      </c>
      <c r="V1115" s="9">
        <f>IF(SUMIFS('Daily BSE Equity Options'!$M:$M,'Daily BSE Equity Options'!$A:$A,$A1115)=0,"",SUMIFS('Daily BSE Equity Options'!$M:$M,'Daily BSE Equity Options'!$A:$A,$A1115))</f>
        <v/>
      </c>
      <c r="W1115" s="9">
        <f>IF(OR(U1115="",V1115=""),"",U1115+V1115)</f>
        <v/>
      </c>
      <c r="X1115" s="25">
        <f>IF(W1115="","",U1115/W1115)</f>
        <v/>
      </c>
      <c r="Y1115" s="25">
        <f>IF(W1115="","",V1115/W1115)</f>
        <v/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19">
        <f>IF(G1116="","",E1116/G1116)</f>
        <v/>
      </c>
      <c r="I1116" s="19">
        <f>IF(G1116="","",F1116/G1116)</f>
        <v/>
      </c>
      <c r="J1116" s="26">
        <f>IFERROR(IF(OR(E1116="",INDEX(E:E,MATCH(DATE(YEAR($A1116)-1,MONTH($A1116),DAY($A1116)),$A:$A,0))=""),"",E1116/INDEX(E:E,MATCH(DATE(YEAR($A1116)-1,MONTH($A1116),DAY($A1116)),$A:$A,0))-1),"")</f>
        <v/>
      </c>
      <c r="K1116" s="19">
        <f>IFERROR(IF(OR(F1116="",INDEX(F:F,MATCH(DATE(YEAR($A1116)-1,MONTH($A1116),DAY($A1116)),$A:$A,0))=""),"",F1116/INDEX(F:F,MATCH(DATE(YEAR($A1116)-1,MONTH($A1116),DAY($A1116)),$A:$A,0))-1),"")</f>
        <v/>
      </c>
      <c r="L1116" s="19">
        <f>IFERROR(IF(OR(G1116="",INDEX(G:G,MATCH(DATE(YEAR($A1116)-1,MONTH($A1116),DAY($A1116)),$A:$A,0))=""),"",G1116/INDEX(G:G,MATCH(DATE(YEAR($A1116)-1,MONTH($A1116),DAY($A1116)),$A:$A,0))-1),"")</f>
        <v/>
      </c>
      <c r="M1116" s="19">
        <f>IF(OR(E1116="",E1115=""),"",E1116/E1115-1)</f>
        <v/>
      </c>
      <c r="N1116" s="19">
        <f>IF(OR(F1116="",F1115=""),"",F1116/F1115-1)</f>
        <v/>
      </c>
      <c r="O1116" s="19">
        <f>IF(OR(G1116="",G1115=""),"",G1116/G1115-1)</f>
        <v/>
      </c>
      <c r="P1116" s="22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IF(R1116="","",P1116/R1116)</f>
        <v/>
      </c>
      <c r="T1116" s="23">
        <f>IF(R1116="","",Q1116/R1116)</f>
        <v/>
      </c>
      <c r="U1116" s="24">
        <f>IF(SUMIFS('Daily NSE Equity Options'!$M:$M,'Daily NSE Equity Options'!$A:$A,$A1116)=0,"",SUMIFS('Daily NSE Equity Options'!$M:$M,'Daily NSE Equity Options'!$A:$A,$A1116))</f>
        <v/>
      </c>
      <c r="V1116" s="9">
        <f>IF(SUMIFS('Daily BSE Equity Options'!$M:$M,'Daily BSE Equity Options'!$A:$A,$A1116)=0,"",SUMIFS('Daily BSE Equity Options'!$M:$M,'Daily BSE Equity Options'!$A:$A,$A1116))</f>
        <v/>
      </c>
      <c r="W1116" s="9">
        <f>IF(OR(U1116="",V1116=""),"",U1116+V1116)</f>
        <v/>
      </c>
      <c r="X1116" s="25">
        <f>IF(W1116="","",U1116/W1116)</f>
        <v/>
      </c>
      <c r="Y1116" s="25">
        <f>IF(W1116="","",V1116/W1116)</f>
        <v/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19">
        <f>IF(G1117="","",E1117/G1117)</f>
        <v/>
      </c>
      <c r="I1117" s="19">
        <f>IF(G1117="","",F1117/G1117)</f>
        <v/>
      </c>
      <c r="J1117" s="26">
        <f>IFERROR(IF(OR(E1117="",INDEX(E:E,MATCH(DATE(YEAR($A1117)-1,MONTH($A1117),DAY($A1117)),$A:$A,0))=""),"",E1117/INDEX(E:E,MATCH(DATE(YEAR($A1117)-1,MONTH($A1117),DAY($A1117)),$A:$A,0))-1),"")</f>
        <v/>
      </c>
      <c r="K1117" s="19">
        <f>IFERROR(IF(OR(F1117="",INDEX(F:F,MATCH(DATE(YEAR($A1117)-1,MONTH($A1117),DAY($A1117)),$A:$A,0))=""),"",F1117/INDEX(F:F,MATCH(DATE(YEAR($A1117)-1,MONTH($A1117),DAY($A1117)),$A:$A,0))-1),"")</f>
        <v/>
      </c>
      <c r="L1117" s="19">
        <f>IFERROR(IF(OR(G1117="",INDEX(G:G,MATCH(DATE(YEAR($A1117)-1,MONTH($A1117),DAY($A1117)),$A:$A,0))=""),"",G1117/INDEX(G:G,MATCH(DATE(YEAR($A1117)-1,MONTH($A1117),DAY($A1117)),$A:$A,0))-1),"")</f>
        <v/>
      </c>
      <c r="M1117" s="19">
        <f>IF(OR(E1117="",E1116=""),"",E1117/E1116-1)</f>
        <v/>
      </c>
      <c r="N1117" s="19">
        <f>IF(OR(F1117="",F1116=""),"",F1117/F1116-1)</f>
        <v/>
      </c>
      <c r="O1117" s="19">
        <f>IF(OR(G1117="",G1116=""),"",G1117/G1116-1)</f>
        <v/>
      </c>
      <c r="P1117" s="22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IF(R1117="","",P1117/R1117)</f>
        <v/>
      </c>
      <c r="T1117" s="23">
        <f>IF(R1117="","",Q1117/R1117)</f>
        <v/>
      </c>
      <c r="U1117" s="24">
        <f>IF(SUMIFS('Daily NSE Equity Options'!$M:$M,'Daily NSE Equity Options'!$A:$A,$A1117)=0,"",SUMIFS('Daily NSE Equity Options'!$M:$M,'Daily NSE Equity Options'!$A:$A,$A1117))</f>
        <v/>
      </c>
      <c r="V1117" s="9">
        <f>IF(SUMIFS('Daily BSE Equity Options'!$M:$M,'Daily BSE Equity Options'!$A:$A,$A1117)=0,"",SUMIFS('Daily BSE Equity Options'!$M:$M,'Daily BSE Equity Options'!$A:$A,$A1117))</f>
        <v/>
      </c>
      <c r="W1117" s="9">
        <f>IF(OR(U1117="",V1117=""),"",U1117+V1117)</f>
        <v/>
      </c>
      <c r="X1117" s="25">
        <f>IF(W1117="","",U1117/W1117)</f>
        <v/>
      </c>
      <c r="Y1117" s="25">
        <f>IF(W1117="","",V1117/W1117)</f>
        <v/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19">
        <f>IF(G1118="","",E1118/G1118)</f>
        <v/>
      </c>
      <c r="I1118" s="19">
        <f>IF(G1118="","",F1118/G1118)</f>
        <v/>
      </c>
      <c r="J1118" s="26">
        <f>IFERROR(IF(OR(E1118="",INDEX(E:E,MATCH(DATE(YEAR($A1118)-1,MONTH($A1118),DAY($A1118)),$A:$A,0))=""),"",E1118/INDEX(E:E,MATCH(DATE(YEAR($A1118)-1,MONTH($A1118),DAY($A1118)),$A:$A,0))-1),"")</f>
        <v/>
      </c>
      <c r="K1118" s="19">
        <f>IFERROR(IF(OR(F1118="",INDEX(F:F,MATCH(DATE(YEAR($A1118)-1,MONTH($A1118),DAY($A1118)),$A:$A,0))=""),"",F1118/INDEX(F:F,MATCH(DATE(YEAR($A1118)-1,MONTH($A1118),DAY($A1118)),$A:$A,0))-1),"")</f>
        <v/>
      </c>
      <c r="L1118" s="19">
        <f>IFERROR(IF(OR(G1118="",INDEX(G:G,MATCH(DATE(YEAR($A1118)-1,MONTH($A1118),DAY($A1118)),$A:$A,0))=""),"",G1118/INDEX(G:G,MATCH(DATE(YEAR($A1118)-1,MONTH($A1118),DAY($A1118)),$A:$A,0))-1),"")</f>
        <v/>
      </c>
      <c r="M1118" s="19">
        <f>IF(OR(E1118="",E1117=""),"",E1118/E1117-1)</f>
        <v/>
      </c>
      <c r="N1118" s="19">
        <f>IF(OR(F1118="",F1117=""),"",F1118/F1117-1)</f>
        <v/>
      </c>
      <c r="O1118" s="19">
        <f>IF(OR(G1118="",G1117=""),"",G1118/G1117-1)</f>
        <v/>
      </c>
      <c r="P1118" s="22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IF(R1118="","",P1118/R1118)</f>
        <v/>
      </c>
      <c r="T1118" s="23">
        <f>IF(R1118="","",Q1118/R1118)</f>
        <v/>
      </c>
      <c r="U1118" s="24">
        <f>IF(SUMIFS('Daily NSE Equity Options'!$M:$M,'Daily NSE Equity Options'!$A:$A,$A1118)=0,"",SUMIFS('Daily NSE Equity Options'!$M:$M,'Daily NSE Equity Options'!$A:$A,$A1118))</f>
        <v/>
      </c>
      <c r="V1118" s="9">
        <f>IF(SUMIFS('Daily BSE Equity Options'!$M:$M,'Daily BSE Equity Options'!$A:$A,$A1118)=0,"",SUMIFS('Daily BSE Equity Options'!$M:$M,'Daily BSE Equity Options'!$A:$A,$A1118))</f>
        <v/>
      </c>
      <c r="W1118" s="9">
        <f>IF(OR(U1118="",V1118=""),"",U1118+V1118)</f>
        <v/>
      </c>
      <c r="X1118" s="25">
        <f>IF(W1118="","",U1118/W1118)</f>
        <v/>
      </c>
      <c r="Y1118" s="25">
        <f>IF(W1118="","",V1118/W1118)</f>
        <v/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19">
        <f>IF(G1119="","",E1119/G1119)</f>
        <v/>
      </c>
      <c r="I1119" s="19">
        <f>IF(G1119="","",F1119/G1119)</f>
        <v/>
      </c>
      <c r="J1119" s="26">
        <f>IFERROR(IF(OR(E1119="",INDEX(E:E,MATCH(DATE(YEAR($A1119)-1,MONTH($A1119),DAY($A1119)),$A:$A,0))=""),"",E1119/INDEX(E:E,MATCH(DATE(YEAR($A1119)-1,MONTH($A1119),DAY($A1119)),$A:$A,0))-1),"")</f>
        <v/>
      </c>
      <c r="K1119" s="19">
        <f>IFERROR(IF(OR(F1119="",INDEX(F:F,MATCH(DATE(YEAR($A1119)-1,MONTH($A1119),DAY($A1119)),$A:$A,0))=""),"",F1119/INDEX(F:F,MATCH(DATE(YEAR($A1119)-1,MONTH($A1119),DAY($A1119)),$A:$A,0))-1),"")</f>
        <v/>
      </c>
      <c r="L1119" s="19">
        <f>IFERROR(IF(OR(G1119="",INDEX(G:G,MATCH(DATE(YEAR($A1119)-1,MONTH($A1119),DAY($A1119)),$A:$A,0))=""),"",G1119/INDEX(G:G,MATCH(DATE(YEAR($A1119)-1,MONTH($A1119),DAY($A1119)),$A:$A,0))-1),"")</f>
        <v/>
      </c>
      <c r="M1119" s="19">
        <f>IF(OR(E1119="",E1118=""),"",E1119/E1118-1)</f>
        <v/>
      </c>
      <c r="N1119" s="19">
        <f>IF(OR(F1119="",F1118=""),"",F1119/F1118-1)</f>
        <v/>
      </c>
      <c r="O1119" s="19">
        <f>IF(OR(G1119="",G1118=""),"",G1119/G1118-1)</f>
        <v/>
      </c>
      <c r="P1119" s="22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IF(R1119="","",P1119/R1119)</f>
        <v/>
      </c>
      <c r="T1119" s="23">
        <f>IF(R1119="","",Q1119/R1119)</f>
        <v/>
      </c>
      <c r="U1119" s="24">
        <f>IF(SUMIFS('Daily NSE Equity Options'!$M:$M,'Daily NSE Equity Options'!$A:$A,$A1119)=0,"",SUMIFS('Daily NSE Equity Options'!$M:$M,'Daily NSE Equity Options'!$A:$A,$A1119))</f>
        <v/>
      </c>
      <c r="V1119" s="9">
        <f>IF(SUMIFS('Daily BSE Equity Options'!$M:$M,'Daily BSE Equity Options'!$A:$A,$A1119)=0,"",SUMIFS('Daily BSE Equity Options'!$M:$M,'Daily BSE Equity Options'!$A:$A,$A1119))</f>
        <v/>
      </c>
      <c r="W1119" s="9">
        <f>IF(OR(U1119="",V1119=""),"",U1119+V1119)</f>
        <v/>
      </c>
      <c r="X1119" s="25">
        <f>IF(W1119="","",U1119/W1119)</f>
        <v/>
      </c>
      <c r="Y1119" s="25">
        <f>IF(W1119="","",V1119/W1119)</f>
        <v/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19">
        <f>IF(G1120="","",E1120/G1120)</f>
        <v/>
      </c>
      <c r="I1120" s="19">
        <f>IF(G1120="","",F1120/G1120)</f>
        <v/>
      </c>
      <c r="J1120" s="26">
        <f>IFERROR(IF(OR(E1120="",INDEX(E:E,MATCH(DATE(YEAR($A1120)-1,MONTH($A1120),DAY($A1120)),$A:$A,0))=""),"",E1120/INDEX(E:E,MATCH(DATE(YEAR($A1120)-1,MONTH($A1120),DAY($A1120)),$A:$A,0))-1),"")</f>
        <v/>
      </c>
      <c r="K1120" s="19">
        <f>IFERROR(IF(OR(F1120="",INDEX(F:F,MATCH(DATE(YEAR($A1120)-1,MONTH($A1120),DAY($A1120)),$A:$A,0))=""),"",F1120/INDEX(F:F,MATCH(DATE(YEAR($A1120)-1,MONTH($A1120),DAY($A1120)),$A:$A,0))-1),"")</f>
        <v/>
      </c>
      <c r="L1120" s="19">
        <f>IFERROR(IF(OR(G1120="",INDEX(G:G,MATCH(DATE(YEAR($A1120)-1,MONTH($A1120),DAY($A1120)),$A:$A,0))=""),"",G1120/INDEX(G:G,MATCH(DATE(YEAR($A1120)-1,MONTH($A1120),DAY($A1120)),$A:$A,0))-1),"")</f>
        <v/>
      </c>
      <c r="M1120" s="19">
        <f>IF(OR(E1120="",E1119=""),"",E1120/E1119-1)</f>
        <v/>
      </c>
      <c r="N1120" s="19">
        <f>IF(OR(F1120="",F1119=""),"",F1120/F1119-1)</f>
        <v/>
      </c>
      <c r="O1120" s="19">
        <f>IF(OR(G1120="",G1119=""),"",G1120/G1119-1)</f>
        <v/>
      </c>
      <c r="P1120" s="22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IF(R1120="","",P1120/R1120)</f>
        <v/>
      </c>
      <c r="T1120" s="23">
        <f>IF(R1120="","",Q1120/R1120)</f>
        <v/>
      </c>
      <c r="U1120" s="24">
        <f>IF(SUMIFS('Daily NSE Equity Options'!$M:$M,'Daily NSE Equity Options'!$A:$A,$A1120)=0,"",SUMIFS('Daily NSE Equity Options'!$M:$M,'Daily NSE Equity Options'!$A:$A,$A1120))</f>
        <v/>
      </c>
      <c r="V1120" s="9">
        <f>IF(SUMIFS('Daily BSE Equity Options'!$M:$M,'Daily BSE Equity Options'!$A:$A,$A1120)=0,"",SUMIFS('Daily BSE Equity Options'!$M:$M,'Daily BSE Equity Options'!$A:$A,$A1120))</f>
        <v/>
      </c>
      <c r="W1120" s="9">
        <f>IF(OR(U1120="",V1120=""),"",U1120+V1120)</f>
        <v/>
      </c>
      <c r="X1120" s="25">
        <f>IF(W1120="","",U1120/W1120)</f>
        <v/>
      </c>
      <c r="Y1120" s="25">
        <f>IF(W1120="","",V1120/W1120)</f>
        <v/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19">
        <f>IF(G1121="","",E1121/G1121)</f>
        <v/>
      </c>
      <c r="I1121" s="19">
        <f>IF(G1121="","",F1121/G1121)</f>
        <v/>
      </c>
      <c r="J1121" s="26">
        <f>IFERROR(IF(OR(E1121="",INDEX(E:E,MATCH(DATE(YEAR($A1121)-1,MONTH($A1121),DAY($A1121)),$A:$A,0))=""),"",E1121/INDEX(E:E,MATCH(DATE(YEAR($A1121)-1,MONTH($A1121),DAY($A1121)),$A:$A,0))-1),"")</f>
        <v/>
      </c>
      <c r="K1121" s="19">
        <f>IFERROR(IF(OR(F1121="",INDEX(F:F,MATCH(DATE(YEAR($A1121)-1,MONTH($A1121),DAY($A1121)),$A:$A,0))=""),"",F1121/INDEX(F:F,MATCH(DATE(YEAR($A1121)-1,MONTH($A1121),DAY($A1121)),$A:$A,0))-1),"")</f>
        <v/>
      </c>
      <c r="L1121" s="19">
        <f>IFERROR(IF(OR(G1121="",INDEX(G:G,MATCH(DATE(YEAR($A1121)-1,MONTH($A1121),DAY($A1121)),$A:$A,0))=""),"",G1121/INDEX(G:G,MATCH(DATE(YEAR($A1121)-1,MONTH($A1121),DAY($A1121)),$A:$A,0))-1),"")</f>
        <v/>
      </c>
      <c r="M1121" s="19">
        <f>IF(OR(E1121="",E1120=""),"",E1121/E1120-1)</f>
        <v/>
      </c>
      <c r="N1121" s="19">
        <f>IF(OR(F1121="",F1120=""),"",F1121/F1120-1)</f>
        <v/>
      </c>
      <c r="O1121" s="19">
        <f>IF(OR(G1121="",G1120=""),"",G1121/G1120-1)</f>
        <v/>
      </c>
      <c r="P1121" s="22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IF(R1121="","",P1121/R1121)</f>
        <v/>
      </c>
      <c r="T1121" s="23">
        <f>IF(R1121="","",Q1121/R1121)</f>
        <v/>
      </c>
      <c r="U1121" s="24">
        <f>IF(SUMIFS('Daily NSE Equity Options'!$M:$M,'Daily NSE Equity Options'!$A:$A,$A1121)=0,"",SUMIFS('Daily NSE Equity Options'!$M:$M,'Daily NSE Equity Options'!$A:$A,$A1121))</f>
        <v/>
      </c>
      <c r="V1121" s="9">
        <f>IF(SUMIFS('Daily BSE Equity Options'!$M:$M,'Daily BSE Equity Options'!$A:$A,$A1121)=0,"",SUMIFS('Daily BSE Equity Options'!$M:$M,'Daily BSE Equity Options'!$A:$A,$A1121))</f>
        <v/>
      </c>
      <c r="W1121" s="9">
        <f>IF(OR(U1121="",V1121=""),"",U1121+V1121)</f>
        <v/>
      </c>
      <c r="X1121" s="25">
        <f>IF(W1121="","",U1121/W1121)</f>
        <v/>
      </c>
      <c r="Y1121" s="25">
        <f>IF(W1121="","",V1121/W1121)</f>
        <v/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19">
        <f>IF(G1122="","",E1122/G1122)</f>
        <v/>
      </c>
      <c r="I1122" s="19">
        <f>IF(G1122="","",F1122/G1122)</f>
        <v/>
      </c>
      <c r="J1122" s="26">
        <f>IFERROR(IF(OR(E1122="",INDEX(E:E,MATCH(DATE(YEAR($A1122)-1,MONTH($A1122),DAY($A1122)),$A:$A,0))=""),"",E1122/INDEX(E:E,MATCH(DATE(YEAR($A1122)-1,MONTH($A1122),DAY($A1122)),$A:$A,0))-1),"")</f>
        <v/>
      </c>
      <c r="K1122" s="19">
        <f>IFERROR(IF(OR(F1122="",INDEX(F:F,MATCH(DATE(YEAR($A1122)-1,MONTH($A1122),DAY($A1122)),$A:$A,0))=""),"",F1122/INDEX(F:F,MATCH(DATE(YEAR($A1122)-1,MONTH($A1122),DAY($A1122)),$A:$A,0))-1),"")</f>
        <v/>
      </c>
      <c r="L1122" s="19">
        <f>IFERROR(IF(OR(G1122="",INDEX(G:G,MATCH(DATE(YEAR($A1122)-1,MONTH($A1122),DAY($A1122)),$A:$A,0))=""),"",G1122/INDEX(G:G,MATCH(DATE(YEAR($A1122)-1,MONTH($A1122),DAY($A1122)),$A:$A,0))-1),"")</f>
        <v/>
      </c>
      <c r="M1122" s="19">
        <f>IF(OR(E1122="",E1121=""),"",E1122/E1121-1)</f>
        <v/>
      </c>
      <c r="N1122" s="19">
        <f>IF(OR(F1122="",F1121=""),"",F1122/F1121-1)</f>
        <v/>
      </c>
      <c r="O1122" s="19">
        <f>IF(OR(G1122="",G1121=""),"",G1122/G1121-1)</f>
        <v/>
      </c>
      <c r="P1122" s="22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IF(R1122="","",P1122/R1122)</f>
        <v/>
      </c>
      <c r="T1122" s="23">
        <f>IF(R1122="","",Q1122/R1122)</f>
        <v/>
      </c>
      <c r="U1122" s="24">
        <f>IF(SUMIFS('Daily NSE Equity Options'!$M:$M,'Daily NSE Equity Options'!$A:$A,$A1122)=0,"",SUMIFS('Daily NSE Equity Options'!$M:$M,'Daily NSE Equity Options'!$A:$A,$A1122))</f>
        <v/>
      </c>
      <c r="V1122" s="9">
        <f>IF(SUMIFS('Daily BSE Equity Options'!$M:$M,'Daily BSE Equity Options'!$A:$A,$A1122)=0,"",SUMIFS('Daily BSE Equity Options'!$M:$M,'Daily BSE Equity Options'!$A:$A,$A1122))</f>
        <v/>
      </c>
      <c r="W1122" s="9">
        <f>IF(OR(U1122="",V1122=""),"",U1122+V1122)</f>
        <v/>
      </c>
      <c r="X1122" s="25">
        <f>IF(W1122="","",U1122/W1122)</f>
        <v/>
      </c>
      <c r="Y1122" s="25">
        <f>IF(W1122="","",V1122/W1122)</f>
        <v/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19">
        <f>IF(G1123="","",E1123/G1123)</f>
        <v/>
      </c>
      <c r="I1123" s="19">
        <f>IF(G1123="","",F1123/G1123)</f>
        <v/>
      </c>
      <c r="J1123" s="26">
        <f>IFERROR(IF(OR(E1123="",INDEX(E:E,MATCH(DATE(YEAR($A1123)-1,MONTH($A1123),DAY($A1123)),$A:$A,0))=""),"",E1123/INDEX(E:E,MATCH(DATE(YEAR($A1123)-1,MONTH($A1123),DAY($A1123)),$A:$A,0))-1),"")</f>
        <v/>
      </c>
      <c r="K1123" s="19">
        <f>IFERROR(IF(OR(F1123="",INDEX(F:F,MATCH(DATE(YEAR($A1123)-1,MONTH($A1123),DAY($A1123)),$A:$A,0))=""),"",F1123/INDEX(F:F,MATCH(DATE(YEAR($A1123)-1,MONTH($A1123),DAY($A1123)),$A:$A,0))-1),"")</f>
        <v/>
      </c>
      <c r="L1123" s="19">
        <f>IFERROR(IF(OR(G1123="",INDEX(G:G,MATCH(DATE(YEAR($A1123)-1,MONTH($A1123),DAY($A1123)),$A:$A,0))=""),"",G1123/INDEX(G:G,MATCH(DATE(YEAR($A1123)-1,MONTH($A1123),DAY($A1123)),$A:$A,0))-1),"")</f>
        <v/>
      </c>
      <c r="M1123" s="19">
        <f>IF(OR(E1123="",E1122=""),"",E1123/E1122-1)</f>
        <v/>
      </c>
      <c r="N1123" s="19">
        <f>IF(OR(F1123="",F1122=""),"",F1123/F1122-1)</f>
        <v/>
      </c>
      <c r="O1123" s="19">
        <f>IF(OR(G1123="",G1122=""),"",G1123/G1122-1)</f>
        <v/>
      </c>
      <c r="P1123" s="22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IF(R1123="","",P1123/R1123)</f>
        <v/>
      </c>
      <c r="T1123" s="23">
        <f>IF(R1123="","",Q1123/R1123)</f>
        <v/>
      </c>
      <c r="U1123" s="24">
        <f>IF(SUMIFS('Daily NSE Equity Options'!$M:$M,'Daily NSE Equity Options'!$A:$A,$A1123)=0,"",SUMIFS('Daily NSE Equity Options'!$M:$M,'Daily NSE Equity Options'!$A:$A,$A1123))</f>
        <v/>
      </c>
      <c r="V1123" s="9">
        <f>IF(SUMIFS('Daily BSE Equity Options'!$M:$M,'Daily BSE Equity Options'!$A:$A,$A1123)=0,"",SUMIFS('Daily BSE Equity Options'!$M:$M,'Daily BSE Equity Options'!$A:$A,$A1123))</f>
        <v/>
      </c>
      <c r="W1123" s="9">
        <f>IF(OR(U1123="",V1123=""),"",U1123+V1123)</f>
        <v/>
      </c>
      <c r="X1123" s="25">
        <f>IF(W1123="","",U1123/W1123)</f>
        <v/>
      </c>
      <c r="Y1123" s="25">
        <f>IF(W1123="","",V1123/W1123)</f>
        <v/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19">
        <f>IF(G1124="","",E1124/G1124)</f>
        <v/>
      </c>
      <c r="I1124" s="19">
        <f>IF(G1124="","",F1124/G1124)</f>
        <v/>
      </c>
      <c r="J1124" s="26">
        <f>IFERROR(IF(OR(E1124="",INDEX(E:E,MATCH(DATE(YEAR($A1124)-1,MONTH($A1124),DAY($A1124)),$A:$A,0))=""),"",E1124/INDEX(E:E,MATCH(DATE(YEAR($A1124)-1,MONTH($A1124),DAY($A1124)),$A:$A,0))-1),"")</f>
        <v/>
      </c>
      <c r="K1124" s="19">
        <f>IFERROR(IF(OR(F1124="",INDEX(F:F,MATCH(DATE(YEAR($A1124)-1,MONTH($A1124),DAY($A1124)),$A:$A,0))=""),"",F1124/INDEX(F:F,MATCH(DATE(YEAR($A1124)-1,MONTH($A1124),DAY($A1124)),$A:$A,0))-1),"")</f>
        <v/>
      </c>
      <c r="L1124" s="19">
        <f>IFERROR(IF(OR(G1124="",INDEX(G:G,MATCH(DATE(YEAR($A1124)-1,MONTH($A1124),DAY($A1124)),$A:$A,0))=""),"",G1124/INDEX(G:G,MATCH(DATE(YEAR($A1124)-1,MONTH($A1124),DAY($A1124)),$A:$A,0))-1),"")</f>
        <v/>
      </c>
      <c r="M1124" s="19">
        <f>IF(OR(E1124="",E1123=""),"",E1124/E1123-1)</f>
        <v/>
      </c>
      <c r="N1124" s="19">
        <f>IF(OR(F1124="",F1123=""),"",F1124/F1123-1)</f>
        <v/>
      </c>
      <c r="O1124" s="19">
        <f>IF(OR(G1124="",G1123=""),"",G1124/G1123-1)</f>
        <v/>
      </c>
      <c r="P1124" s="22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IF(R1124="","",P1124/R1124)</f>
        <v/>
      </c>
      <c r="T1124" s="23">
        <f>IF(R1124="","",Q1124/R1124)</f>
        <v/>
      </c>
      <c r="U1124" s="24">
        <f>IF(SUMIFS('Daily NSE Equity Options'!$M:$M,'Daily NSE Equity Options'!$A:$A,$A1124)=0,"",SUMIFS('Daily NSE Equity Options'!$M:$M,'Daily NSE Equity Options'!$A:$A,$A1124))</f>
        <v/>
      </c>
      <c r="V1124" s="9">
        <f>IF(SUMIFS('Daily BSE Equity Options'!$M:$M,'Daily BSE Equity Options'!$A:$A,$A1124)=0,"",SUMIFS('Daily BSE Equity Options'!$M:$M,'Daily BSE Equity Options'!$A:$A,$A1124))</f>
        <v/>
      </c>
      <c r="W1124" s="9">
        <f>IF(OR(U1124="",V1124=""),"",U1124+V1124)</f>
        <v/>
      </c>
      <c r="X1124" s="25">
        <f>IF(W1124="","",U1124/W1124)</f>
        <v/>
      </c>
      <c r="Y1124" s="25">
        <f>IF(W1124="","",V1124/W1124)</f>
        <v/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19">
        <f>IF(G1125="","",E1125/G1125)</f>
        <v/>
      </c>
      <c r="I1125" s="19">
        <f>IF(G1125="","",F1125/G1125)</f>
        <v/>
      </c>
      <c r="J1125" s="26">
        <f>IFERROR(IF(OR(E1125="",INDEX(E:E,MATCH(DATE(YEAR($A1125)-1,MONTH($A1125),DAY($A1125)),$A:$A,0))=""),"",E1125/INDEX(E:E,MATCH(DATE(YEAR($A1125)-1,MONTH($A1125),DAY($A1125)),$A:$A,0))-1),"")</f>
        <v/>
      </c>
      <c r="K1125" s="19">
        <f>IFERROR(IF(OR(F1125="",INDEX(F:F,MATCH(DATE(YEAR($A1125)-1,MONTH($A1125),DAY($A1125)),$A:$A,0))=""),"",F1125/INDEX(F:F,MATCH(DATE(YEAR($A1125)-1,MONTH($A1125),DAY($A1125)),$A:$A,0))-1),"")</f>
        <v/>
      </c>
      <c r="L1125" s="19">
        <f>IFERROR(IF(OR(G1125="",INDEX(G:G,MATCH(DATE(YEAR($A1125)-1,MONTH($A1125),DAY($A1125)),$A:$A,0))=""),"",G1125/INDEX(G:G,MATCH(DATE(YEAR($A1125)-1,MONTH($A1125),DAY($A1125)),$A:$A,0))-1),"")</f>
        <v/>
      </c>
      <c r="M1125" s="19">
        <f>IF(OR(E1125="",E1124=""),"",E1125/E1124-1)</f>
        <v/>
      </c>
      <c r="N1125" s="19">
        <f>IF(OR(F1125="",F1124=""),"",F1125/F1124-1)</f>
        <v/>
      </c>
      <c r="O1125" s="19">
        <f>IF(OR(G1125="",G1124=""),"",G1125/G1124-1)</f>
        <v/>
      </c>
      <c r="P1125" s="22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IF(R1125="","",P1125/R1125)</f>
        <v/>
      </c>
      <c r="T1125" s="23">
        <f>IF(R1125="","",Q1125/R1125)</f>
        <v/>
      </c>
      <c r="U1125" s="24">
        <f>IF(SUMIFS('Daily NSE Equity Options'!$M:$M,'Daily NSE Equity Options'!$A:$A,$A1125)=0,"",SUMIFS('Daily NSE Equity Options'!$M:$M,'Daily NSE Equity Options'!$A:$A,$A1125))</f>
        <v/>
      </c>
      <c r="V1125" s="9">
        <f>IF(SUMIFS('Daily BSE Equity Options'!$M:$M,'Daily BSE Equity Options'!$A:$A,$A1125)=0,"",SUMIFS('Daily BSE Equity Options'!$M:$M,'Daily BSE Equity Options'!$A:$A,$A1125))</f>
        <v/>
      </c>
      <c r="W1125" s="9">
        <f>IF(OR(U1125="",V1125=""),"",U1125+V1125)</f>
        <v/>
      </c>
      <c r="X1125" s="25">
        <f>IF(W1125="","",U1125/W1125)</f>
        <v/>
      </c>
      <c r="Y1125" s="25">
        <f>IF(W1125="","",V1125/W1125)</f>
        <v/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19">
        <f>IF(G1126="","",E1126/G1126)</f>
        <v/>
      </c>
      <c r="I1126" s="19">
        <f>IF(G1126="","",F1126/G1126)</f>
        <v/>
      </c>
      <c r="J1126" s="26">
        <f>IFERROR(IF(OR(E1126="",INDEX(E:E,MATCH(DATE(YEAR($A1126)-1,MONTH($A1126),DAY($A1126)),$A:$A,0))=""),"",E1126/INDEX(E:E,MATCH(DATE(YEAR($A1126)-1,MONTH($A1126),DAY($A1126)),$A:$A,0))-1),"")</f>
        <v/>
      </c>
      <c r="K1126" s="19">
        <f>IFERROR(IF(OR(F1126="",INDEX(F:F,MATCH(DATE(YEAR($A1126)-1,MONTH($A1126),DAY($A1126)),$A:$A,0))=""),"",F1126/INDEX(F:F,MATCH(DATE(YEAR($A1126)-1,MONTH($A1126),DAY($A1126)),$A:$A,0))-1),"")</f>
        <v/>
      </c>
      <c r="L1126" s="19">
        <f>IFERROR(IF(OR(G1126="",INDEX(G:G,MATCH(DATE(YEAR($A1126)-1,MONTH($A1126),DAY($A1126)),$A:$A,0))=""),"",G1126/INDEX(G:G,MATCH(DATE(YEAR($A1126)-1,MONTH($A1126),DAY($A1126)),$A:$A,0))-1),"")</f>
        <v/>
      </c>
      <c r="M1126" s="19">
        <f>IF(OR(E1126="",E1125=""),"",E1126/E1125-1)</f>
        <v/>
      </c>
      <c r="N1126" s="19">
        <f>IF(OR(F1126="",F1125=""),"",F1126/F1125-1)</f>
        <v/>
      </c>
      <c r="O1126" s="19">
        <f>IF(OR(G1126="",G1125=""),"",G1126/G1125-1)</f>
        <v/>
      </c>
      <c r="P1126" s="22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IF(R1126="","",P1126/R1126)</f>
        <v/>
      </c>
      <c r="T1126" s="23">
        <f>IF(R1126="","",Q1126/R1126)</f>
        <v/>
      </c>
      <c r="U1126" s="24">
        <f>IF(SUMIFS('Daily NSE Equity Options'!$M:$M,'Daily NSE Equity Options'!$A:$A,$A1126)=0,"",SUMIFS('Daily NSE Equity Options'!$M:$M,'Daily NSE Equity Options'!$A:$A,$A1126))</f>
        <v/>
      </c>
      <c r="V1126" s="9">
        <f>IF(SUMIFS('Daily BSE Equity Options'!$M:$M,'Daily BSE Equity Options'!$A:$A,$A1126)=0,"",SUMIFS('Daily BSE Equity Options'!$M:$M,'Daily BSE Equity Options'!$A:$A,$A1126))</f>
        <v/>
      </c>
      <c r="W1126" s="9">
        <f>IF(OR(U1126="",V1126=""),"",U1126+V1126)</f>
        <v/>
      </c>
      <c r="X1126" s="25">
        <f>IF(W1126="","",U1126/W1126)</f>
        <v/>
      </c>
      <c r="Y1126" s="25">
        <f>IF(W1126="","",V1126/W1126)</f>
        <v/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19">
        <f>IF(G1127="","",E1127/G1127)</f>
        <v/>
      </c>
      <c r="I1127" s="19">
        <f>IF(G1127="","",F1127/G1127)</f>
        <v/>
      </c>
      <c r="J1127" s="26">
        <f>IFERROR(IF(OR(E1127="",INDEX(E:E,MATCH(DATE(YEAR($A1127)-1,MONTH($A1127),DAY($A1127)),$A:$A,0))=""),"",E1127/INDEX(E:E,MATCH(DATE(YEAR($A1127)-1,MONTH($A1127),DAY($A1127)),$A:$A,0))-1),"")</f>
        <v/>
      </c>
      <c r="K1127" s="19">
        <f>IFERROR(IF(OR(F1127="",INDEX(F:F,MATCH(DATE(YEAR($A1127)-1,MONTH($A1127),DAY($A1127)),$A:$A,0))=""),"",F1127/INDEX(F:F,MATCH(DATE(YEAR($A1127)-1,MONTH($A1127),DAY($A1127)),$A:$A,0))-1),"")</f>
        <v/>
      </c>
      <c r="L1127" s="19">
        <f>IFERROR(IF(OR(G1127="",INDEX(G:G,MATCH(DATE(YEAR($A1127)-1,MONTH($A1127),DAY($A1127)),$A:$A,0))=""),"",G1127/INDEX(G:G,MATCH(DATE(YEAR($A1127)-1,MONTH($A1127),DAY($A1127)),$A:$A,0))-1),"")</f>
        <v/>
      </c>
      <c r="M1127" s="19">
        <f>IF(OR(E1127="",E1126=""),"",E1127/E1126-1)</f>
        <v/>
      </c>
      <c r="N1127" s="19">
        <f>IF(OR(F1127="",F1126=""),"",F1127/F1126-1)</f>
        <v/>
      </c>
      <c r="O1127" s="19">
        <f>IF(OR(G1127="",G1126=""),"",G1127/G1126-1)</f>
        <v/>
      </c>
      <c r="P1127" s="22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IF(R1127="","",P1127/R1127)</f>
        <v/>
      </c>
      <c r="T1127" s="23">
        <f>IF(R1127="","",Q1127/R1127)</f>
        <v/>
      </c>
      <c r="U1127" s="24">
        <f>IF(SUMIFS('Daily NSE Equity Options'!$M:$M,'Daily NSE Equity Options'!$A:$A,$A1127)=0,"",SUMIFS('Daily NSE Equity Options'!$M:$M,'Daily NSE Equity Options'!$A:$A,$A1127))</f>
        <v/>
      </c>
      <c r="V1127" s="9">
        <f>IF(SUMIFS('Daily BSE Equity Options'!$M:$M,'Daily BSE Equity Options'!$A:$A,$A1127)=0,"",SUMIFS('Daily BSE Equity Options'!$M:$M,'Daily BSE Equity Options'!$A:$A,$A1127))</f>
        <v/>
      </c>
      <c r="W1127" s="9">
        <f>IF(OR(U1127="",V1127=""),"",U1127+V1127)</f>
        <v/>
      </c>
      <c r="X1127" s="25">
        <f>IF(W1127="","",U1127/W1127)</f>
        <v/>
      </c>
      <c r="Y1127" s="25">
        <f>IF(W1127="","",V1127/W1127)</f>
        <v/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19">
        <f>IF(G1128="","",E1128/G1128)</f>
        <v/>
      </c>
      <c r="I1128" s="19">
        <f>IF(G1128="","",F1128/G1128)</f>
        <v/>
      </c>
      <c r="J1128" s="26">
        <f>IFERROR(IF(OR(E1128="",INDEX(E:E,MATCH(DATE(YEAR($A1128)-1,MONTH($A1128),DAY($A1128)),$A:$A,0))=""),"",E1128/INDEX(E:E,MATCH(DATE(YEAR($A1128)-1,MONTH($A1128),DAY($A1128)),$A:$A,0))-1),"")</f>
        <v/>
      </c>
      <c r="K1128" s="19">
        <f>IFERROR(IF(OR(F1128="",INDEX(F:F,MATCH(DATE(YEAR($A1128)-1,MONTH($A1128),DAY($A1128)),$A:$A,0))=""),"",F1128/INDEX(F:F,MATCH(DATE(YEAR($A1128)-1,MONTH($A1128),DAY($A1128)),$A:$A,0))-1),"")</f>
        <v/>
      </c>
      <c r="L1128" s="19">
        <f>IFERROR(IF(OR(G1128="",INDEX(G:G,MATCH(DATE(YEAR($A1128)-1,MONTH($A1128),DAY($A1128)),$A:$A,0))=""),"",G1128/INDEX(G:G,MATCH(DATE(YEAR($A1128)-1,MONTH($A1128),DAY($A1128)),$A:$A,0))-1),"")</f>
        <v/>
      </c>
      <c r="M1128" s="19">
        <f>IF(OR(E1128="",E1127=""),"",E1128/E1127-1)</f>
        <v/>
      </c>
      <c r="N1128" s="19">
        <f>IF(OR(F1128="",F1127=""),"",F1128/F1127-1)</f>
        <v/>
      </c>
      <c r="O1128" s="19">
        <f>IF(OR(G1128="",G1127=""),"",G1128/G1127-1)</f>
        <v/>
      </c>
      <c r="P1128" s="22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IF(R1128="","",P1128/R1128)</f>
        <v/>
      </c>
      <c r="T1128" s="23">
        <f>IF(R1128="","",Q1128/R1128)</f>
        <v/>
      </c>
      <c r="U1128" s="24">
        <f>IF(SUMIFS('Daily NSE Equity Options'!$M:$M,'Daily NSE Equity Options'!$A:$A,$A1128)=0,"",SUMIFS('Daily NSE Equity Options'!$M:$M,'Daily NSE Equity Options'!$A:$A,$A1128))</f>
        <v/>
      </c>
      <c r="V1128" s="9">
        <f>IF(SUMIFS('Daily BSE Equity Options'!$M:$M,'Daily BSE Equity Options'!$A:$A,$A1128)=0,"",SUMIFS('Daily BSE Equity Options'!$M:$M,'Daily BSE Equity Options'!$A:$A,$A1128))</f>
        <v/>
      </c>
      <c r="W1128" s="9">
        <f>IF(OR(U1128="",V1128=""),"",U1128+V1128)</f>
        <v/>
      </c>
      <c r="X1128" s="25">
        <f>IF(W1128="","",U1128/W1128)</f>
        <v/>
      </c>
      <c r="Y1128" s="25">
        <f>IF(W1128="","",V1128/W1128)</f>
        <v/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19">
        <f>IF(G1129="","",E1129/G1129)</f>
        <v/>
      </c>
      <c r="I1129" s="19">
        <f>IF(G1129="","",F1129/G1129)</f>
        <v/>
      </c>
      <c r="J1129" s="26">
        <f>IFERROR(IF(OR(E1129="",INDEX(E:E,MATCH(DATE(YEAR($A1129)-1,MONTH($A1129),DAY($A1129)),$A:$A,0))=""),"",E1129/INDEX(E:E,MATCH(DATE(YEAR($A1129)-1,MONTH($A1129),DAY($A1129)),$A:$A,0))-1),"")</f>
        <v/>
      </c>
      <c r="K1129" s="19">
        <f>IFERROR(IF(OR(F1129="",INDEX(F:F,MATCH(DATE(YEAR($A1129)-1,MONTH($A1129),DAY($A1129)),$A:$A,0))=""),"",F1129/INDEX(F:F,MATCH(DATE(YEAR($A1129)-1,MONTH($A1129),DAY($A1129)),$A:$A,0))-1),"")</f>
        <v/>
      </c>
      <c r="L1129" s="19">
        <f>IFERROR(IF(OR(G1129="",INDEX(G:G,MATCH(DATE(YEAR($A1129)-1,MONTH($A1129),DAY($A1129)),$A:$A,0))=""),"",G1129/INDEX(G:G,MATCH(DATE(YEAR($A1129)-1,MONTH($A1129),DAY($A1129)),$A:$A,0))-1),"")</f>
        <v/>
      </c>
      <c r="M1129" s="19">
        <f>IF(OR(E1129="",E1128=""),"",E1129/E1128-1)</f>
        <v/>
      </c>
      <c r="N1129" s="19">
        <f>IF(OR(F1129="",F1128=""),"",F1129/F1128-1)</f>
        <v/>
      </c>
      <c r="O1129" s="19">
        <f>IF(OR(G1129="",G1128=""),"",G1129/G1128-1)</f>
        <v/>
      </c>
      <c r="P1129" s="22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IF(R1129="","",P1129/R1129)</f>
        <v/>
      </c>
      <c r="T1129" s="23">
        <f>IF(R1129="","",Q1129/R1129)</f>
        <v/>
      </c>
      <c r="U1129" s="24">
        <f>IF(SUMIFS('Daily NSE Equity Options'!$M:$M,'Daily NSE Equity Options'!$A:$A,$A1129)=0,"",SUMIFS('Daily NSE Equity Options'!$M:$M,'Daily NSE Equity Options'!$A:$A,$A1129))</f>
        <v/>
      </c>
      <c r="V1129" s="9">
        <f>IF(SUMIFS('Daily BSE Equity Options'!$M:$M,'Daily BSE Equity Options'!$A:$A,$A1129)=0,"",SUMIFS('Daily BSE Equity Options'!$M:$M,'Daily BSE Equity Options'!$A:$A,$A1129))</f>
        <v/>
      </c>
      <c r="W1129" s="9">
        <f>IF(OR(U1129="",V1129=""),"",U1129+V1129)</f>
        <v/>
      </c>
      <c r="X1129" s="25">
        <f>IF(W1129="","",U1129/W1129)</f>
        <v/>
      </c>
      <c r="Y1129" s="25">
        <f>IF(W1129="","",V1129/W1129)</f>
        <v/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19">
        <f>IF(G1130="","",E1130/G1130)</f>
        <v/>
      </c>
      <c r="I1130" s="19">
        <f>IF(G1130="","",F1130/G1130)</f>
        <v/>
      </c>
      <c r="J1130" s="26">
        <f>IFERROR(IF(OR(E1130="",INDEX(E:E,MATCH(DATE(YEAR($A1130)-1,MONTH($A1130),DAY($A1130)),$A:$A,0))=""),"",E1130/INDEX(E:E,MATCH(DATE(YEAR($A1130)-1,MONTH($A1130),DAY($A1130)),$A:$A,0))-1),"")</f>
        <v/>
      </c>
      <c r="K1130" s="19">
        <f>IFERROR(IF(OR(F1130="",INDEX(F:F,MATCH(DATE(YEAR($A1130)-1,MONTH($A1130),DAY($A1130)),$A:$A,0))=""),"",F1130/INDEX(F:F,MATCH(DATE(YEAR($A1130)-1,MONTH($A1130),DAY($A1130)),$A:$A,0))-1),"")</f>
        <v/>
      </c>
      <c r="L1130" s="19">
        <f>IFERROR(IF(OR(G1130="",INDEX(G:G,MATCH(DATE(YEAR($A1130)-1,MONTH($A1130),DAY($A1130)),$A:$A,0))=""),"",G1130/INDEX(G:G,MATCH(DATE(YEAR($A1130)-1,MONTH($A1130),DAY($A1130)),$A:$A,0))-1),"")</f>
        <v/>
      </c>
      <c r="M1130" s="19">
        <f>IF(OR(E1130="",E1129=""),"",E1130/E1129-1)</f>
        <v/>
      </c>
      <c r="N1130" s="19">
        <f>IF(OR(F1130="",F1129=""),"",F1130/F1129-1)</f>
        <v/>
      </c>
      <c r="O1130" s="19">
        <f>IF(OR(G1130="",G1129=""),"",G1130/G1129-1)</f>
        <v/>
      </c>
      <c r="P1130" s="22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IF(R1130="","",P1130/R1130)</f>
        <v/>
      </c>
      <c r="T1130" s="23">
        <f>IF(R1130="","",Q1130/R1130)</f>
        <v/>
      </c>
      <c r="U1130" s="24">
        <f>IF(SUMIFS('Daily NSE Equity Options'!$M:$M,'Daily NSE Equity Options'!$A:$A,$A1130)=0,"",SUMIFS('Daily NSE Equity Options'!$M:$M,'Daily NSE Equity Options'!$A:$A,$A1130))</f>
        <v/>
      </c>
      <c r="V1130" s="9">
        <f>IF(SUMIFS('Daily BSE Equity Options'!$M:$M,'Daily BSE Equity Options'!$A:$A,$A1130)=0,"",SUMIFS('Daily BSE Equity Options'!$M:$M,'Daily BSE Equity Options'!$A:$A,$A1130))</f>
        <v/>
      </c>
      <c r="W1130" s="9">
        <f>IF(OR(U1130="",V1130=""),"",U1130+V1130)</f>
        <v/>
      </c>
      <c r="X1130" s="25">
        <f>IF(W1130="","",U1130/W1130)</f>
        <v/>
      </c>
      <c r="Y1130" s="25">
        <f>IF(W1130="","",V1130/W1130)</f>
        <v/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19">
        <f>IF(G1131="","",E1131/G1131)</f>
        <v/>
      </c>
      <c r="I1131" s="19">
        <f>IF(G1131="","",F1131/G1131)</f>
        <v/>
      </c>
      <c r="J1131" s="26">
        <f>IFERROR(IF(OR(E1131="",INDEX(E:E,MATCH(DATE(YEAR($A1131)-1,MONTH($A1131),DAY($A1131)),$A:$A,0))=""),"",E1131/INDEX(E:E,MATCH(DATE(YEAR($A1131)-1,MONTH($A1131),DAY($A1131)),$A:$A,0))-1),"")</f>
        <v/>
      </c>
      <c r="K1131" s="19">
        <f>IFERROR(IF(OR(F1131="",INDEX(F:F,MATCH(DATE(YEAR($A1131)-1,MONTH($A1131),DAY($A1131)),$A:$A,0))=""),"",F1131/INDEX(F:F,MATCH(DATE(YEAR($A1131)-1,MONTH($A1131),DAY($A1131)),$A:$A,0))-1),"")</f>
        <v/>
      </c>
      <c r="L1131" s="19">
        <f>IFERROR(IF(OR(G1131="",INDEX(G:G,MATCH(DATE(YEAR($A1131)-1,MONTH($A1131),DAY($A1131)),$A:$A,0))=""),"",G1131/INDEX(G:G,MATCH(DATE(YEAR($A1131)-1,MONTH($A1131),DAY($A1131)),$A:$A,0))-1),"")</f>
        <v/>
      </c>
      <c r="M1131" s="19">
        <f>IF(OR(E1131="",E1130=""),"",E1131/E1130-1)</f>
        <v/>
      </c>
      <c r="N1131" s="19">
        <f>IF(OR(F1131="",F1130=""),"",F1131/F1130-1)</f>
        <v/>
      </c>
      <c r="O1131" s="19">
        <f>IF(OR(G1131="",G1130=""),"",G1131/G1130-1)</f>
        <v/>
      </c>
      <c r="P1131" s="22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IF(R1131="","",P1131/R1131)</f>
        <v/>
      </c>
      <c r="T1131" s="23">
        <f>IF(R1131="","",Q1131/R1131)</f>
        <v/>
      </c>
      <c r="U1131" s="24">
        <f>IF(SUMIFS('Daily NSE Equity Options'!$M:$M,'Daily NSE Equity Options'!$A:$A,$A1131)=0,"",SUMIFS('Daily NSE Equity Options'!$M:$M,'Daily NSE Equity Options'!$A:$A,$A1131))</f>
        <v/>
      </c>
      <c r="V1131" s="9">
        <f>IF(SUMIFS('Daily BSE Equity Options'!$M:$M,'Daily BSE Equity Options'!$A:$A,$A1131)=0,"",SUMIFS('Daily BSE Equity Options'!$M:$M,'Daily BSE Equity Options'!$A:$A,$A1131))</f>
        <v/>
      </c>
      <c r="W1131" s="9">
        <f>IF(OR(U1131="",V1131=""),"",U1131+V1131)</f>
        <v/>
      </c>
      <c r="X1131" s="25">
        <f>IF(W1131="","",U1131/W1131)</f>
        <v/>
      </c>
      <c r="Y1131" s="25">
        <f>IF(W1131="","",V1131/W1131)</f>
        <v/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19">
        <f>IF(G1132="","",E1132/G1132)</f>
        <v/>
      </c>
      <c r="I1132" s="19">
        <f>IF(G1132="","",F1132/G1132)</f>
        <v/>
      </c>
      <c r="J1132" s="26">
        <f>IFERROR(IF(OR(E1132="",INDEX(E:E,MATCH(DATE(YEAR($A1132)-1,MONTH($A1132),DAY($A1132)),$A:$A,0))=""),"",E1132/INDEX(E:E,MATCH(DATE(YEAR($A1132)-1,MONTH($A1132),DAY($A1132)),$A:$A,0))-1),"")</f>
        <v/>
      </c>
      <c r="K1132" s="19">
        <f>IFERROR(IF(OR(F1132="",INDEX(F:F,MATCH(DATE(YEAR($A1132)-1,MONTH($A1132),DAY($A1132)),$A:$A,0))=""),"",F1132/INDEX(F:F,MATCH(DATE(YEAR($A1132)-1,MONTH($A1132),DAY($A1132)),$A:$A,0))-1),"")</f>
        <v/>
      </c>
      <c r="L1132" s="19">
        <f>IFERROR(IF(OR(G1132="",INDEX(G:G,MATCH(DATE(YEAR($A1132)-1,MONTH($A1132),DAY($A1132)),$A:$A,0))=""),"",G1132/INDEX(G:G,MATCH(DATE(YEAR($A1132)-1,MONTH($A1132),DAY($A1132)),$A:$A,0))-1),"")</f>
        <v/>
      </c>
      <c r="M1132" s="19">
        <f>IF(OR(E1132="",E1131=""),"",E1132/E1131-1)</f>
        <v/>
      </c>
      <c r="N1132" s="19">
        <f>IF(OR(F1132="",F1131=""),"",F1132/F1131-1)</f>
        <v/>
      </c>
      <c r="O1132" s="19">
        <f>IF(OR(G1132="",G1131=""),"",G1132/G1131-1)</f>
        <v/>
      </c>
      <c r="P1132" s="22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IF(R1132="","",P1132/R1132)</f>
        <v/>
      </c>
      <c r="T1132" s="23">
        <f>IF(R1132="","",Q1132/R1132)</f>
        <v/>
      </c>
      <c r="U1132" s="24">
        <f>IF(SUMIFS('Daily NSE Equity Options'!$M:$M,'Daily NSE Equity Options'!$A:$A,$A1132)=0,"",SUMIFS('Daily NSE Equity Options'!$M:$M,'Daily NSE Equity Options'!$A:$A,$A1132))</f>
        <v/>
      </c>
      <c r="V1132" s="9">
        <f>IF(SUMIFS('Daily BSE Equity Options'!$M:$M,'Daily BSE Equity Options'!$A:$A,$A1132)=0,"",SUMIFS('Daily BSE Equity Options'!$M:$M,'Daily BSE Equity Options'!$A:$A,$A1132))</f>
        <v/>
      </c>
      <c r="W1132" s="9">
        <f>IF(OR(U1132="",V1132=""),"",U1132+V1132)</f>
        <v/>
      </c>
      <c r="X1132" s="25">
        <f>IF(W1132="","",U1132/W1132)</f>
        <v/>
      </c>
      <c r="Y1132" s="25">
        <f>IF(W1132="","",V1132/W1132)</f>
        <v/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19">
        <f>IF(G1133="","",E1133/G1133)</f>
        <v/>
      </c>
      <c r="I1133" s="19">
        <f>IF(G1133="","",F1133/G1133)</f>
        <v/>
      </c>
      <c r="J1133" s="26">
        <f>IFERROR(IF(OR(E1133="",INDEX(E:E,MATCH(DATE(YEAR($A1133)-1,MONTH($A1133),DAY($A1133)),$A:$A,0))=""),"",E1133/INDEX(E:E,MATCH(DATE(YEAR($A1133)-1,MONTH($A1133),DAY($A1133)),$A:$A,0))-1),"")</f>
        <v/>
      </c>
      <c r="K1133" s="19">
        <f>IFERROR(IF(OR(F1133="",INDEX(F:F,MATCH(DATE(YEAR($A1133)-1,MONTH($A1133),DAY($A1133)),$A:$A,0))=""),"",F1133/INDEX(F:F,MATCH(DATE(YEAR($A1133)-1,MONTH($A1133),DAY($A1133)),$A:$A,0))-1),"")</f>
        <v/>
      </c>
      <c r="L1133" s="19">
        <f>IFERROR(IF(OR(G1133="",INDEX(G:G,MATCH(DATE(YEAR($A1133)-1,MONTH($A1133),DAY($A1133)),$A:$A,0))=""),"",G1133/INDEX(G:G,MATCH(DATE(YEAR($A1133)-1,MONTH($A1133),DAY($A1133)),$A:$A,0))-1),"")</f>
        <v/>
      </c>
      <c r="M1133" s="19">
        <f>IF(OR(E1133="",E1132=""),"",E1133/E1132-1)</f>
        <v/>
      </c>
      <c r="N1133" s="19">
        <f>IF(OR(F1133="",F1132=""),"",F1133/F1132-1)</f>
        <v/>
      </c>
      <c r="O1133" s="19">
        <f>IF(OR(G1133="",G1132=""),"",G1133/G1132-1)</f>
        <v/>
      </c>
      <c r="P1133" s="22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IF(R1133="","",P1133/R1133)</f>
        <v/>
      </c>
      <c r="T1133" s="23">
        <f>IF(R1133="","",Q1133/R1133)</f>
        <v/>
      </c>
      <c r="U1133" s="24">
        <f>IF(SUMIFS('Daily NSE Equity Options'!$M:$M,'Daily NSE Equity Options'!$A:$A,$A1133)=0,"",SUMIFS('Daily NSE Equity Options'!$M:$M,'Daily NSE Equity Options'!$A:$A,$A1133))</f>
        <v/>
      </c>
      <c r="V1133" s="9">
        <f>IF(SUMIFS('Daily BSE Equity Options'!$M:$M,'Daily BSE Equity Options'!$A:$A,$A1133)=0,"",SUMIFS('Daily BSE Equity Options'!$M:$M,'Daily BSE Equity Options'!$A:$A,$A1133))</f>
        <v/>
      </c>
      <c r="W1133" s="9">
        <f>IF(OR(U1133="",V1133=""),"",U1133+V1133)</f>
        <v/>
      </c>
      <c r="X1133" s="25">
        <f>IF(W1133="","",U1133/W1133)</f>
        <v/>
      </c>
      <c r="Y1133" s="25">
        <f>IF(W1133="","",V1133/W1133)</f>
        <v/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19">
        <f>IF(G1134="","",E1134/G1134)</f>
        <v/>
      </c>
      <c r="I1134" s="19">
        <f>IF(G1134="","",F1134/G1134)</f>
        <v/>
      </c>
      <c r="J1134" s="26">
        <f>IFERROR(IF(OR(E1134="",INDEX(E:E,MATCH(DATE(YEAR($A1134)-1,MONTH($A1134),DAY($A1134)),$A:$A,0))=""),"",E1134/INDEX(E:E,MATCH(DATE(YEAR($A1134)-1,MONTH($A1134),DAY($A1134)),$A:$A,0))-1),"")</f>
        <v/>
      </c>
      <c r="K1134" s="19">
        <f>IFERROR(IF(OR(F1134="",INDEX(F:F,MATCH(DATE(YEAR($A1134)-1,MONTH($A1134),DAY($A1134)),$A:$A,0))=""),"",F1134/INDEX(F:F,MATCH(DATE(YEAR($A1134)-1,MONTH($A1134),DAY($A1134)),$A:$A,0))-1),"")</f>
        <v/>
      </c>
      <c r="L1134" s="19">
        <f>IFERROR(IF(OR(G1134="",INDEX(G:G,MATCH(DATE(YEAR($A1134)-1,MONTH($A1134),DAY($A1134)),$A:$A,0))=""),"",G1134/INDEX(G:G,MATCH(DATE(YEAR($A1134)-1,MONTH($A1134),DAY($A1134)),$A:$A,0))-1),"")</f>
        <v/>
      </c>
      <c r="M1134" s="19">
        <f>IF(OR(E1134="",E1133=""),"",E1134/E1133-1)</f>
        <v/>
      </c>
      <c r="N1134" s="19">
        <f>IF(OR(F1134="",F1133=""),"",F1134/F1133-1)</f>
        <v/>
      </c>
      <c r="O1134" s="19">
        <f>IF(OR(G1134="",G1133=""),"",G1134/G1133-1)</f>
        <v/>
      </c>
      <c r="P1134" s="22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IF(R1134="","",P1134/R1134)</f>
        <v/>
      </c>
      <c r="T1134" s="23">
        <f>IF(R1134="","",Q1134/R1134)</f>
        <v/>
      </c>
      <c r="U1134" s="24">
        <f>IF(SUMIFS('Daily NSE Equity Options'!$M:$M,'Daily NSE Equity Options'!$A:$A,$A1134)=0,"",SUMIFS('Daily NSE Equity Options'!$M:$M,'Daily NSE Equity Options'!$A:$A,$A1134))</f>
        <v/>
      </c>
      <c r="V1134" s="9">
        <f>IF(SUMIFS('Daily BSE Equity Options'!$M:$M,'Daily BSE Equity Options'!$A:$A,$A1134)=0,"",SUMIFS('Daily BSE Equity Options'!$M:$M,'Daily BSE Equity Options'!$A:$A,$A1134))</f>
        <v/>
      </c>
      <c r="W1134" s="9">
        <f>IF(OR(U1134="",V1134=""),"",U1134+V1134)</f>
        <v/>
      </c>
      <c r="X1134" s="25">
        <f>IF(W1134="","",U1134/W1134)</f>
        <v/>
      </c>
      <c r="Y1134" s="25">
        <f>IF(W1134="","",V1134/W1134)</f>
        <v/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19">
        <f>IF(G1135="","",E1135/G1135)</f>
        <v/>
      </c>
      <c r="I1135" s="19">
        <f>IF(G1135="","",F1135/G1135)</f>
        <v/>
      </c>
      <c r="J1135" s="26">
        <f>IFERROR(IF(OR(E1135="",INDEX(E:E,MATCH(DATE(YEAR($A1135)-1,MONTH($A1135),DAY($A1135)),$A:$A,0))=""),"",E1135/INDEX(E:E,MATCH(DATE(YEAR($A1135)-1,MONTH($A1135),DAY($A1135)),$A:$A,0))-1),"")</f>
        <v/>
      </c>
      <c r="K1135" s="19">
        <f>IFERROR(IF(OR(F1135="",INDEX(F:F,MATCH(DATE(YEAR($A1135)-1,MONTH($A1135),DAY($A1135)),$A:$A,0))=""),"",F1135/INDEX(F:F,MATCH(DATE(YEAR($A1135)-1,MONTH($A1135),DAY($A1135)),$A:$A,0))-1),"")</f>
        <v/>
      </c>
      <c r="L1135" s="19">
        <f>IFERROR(IF(OR(G1135="",INDEX(G:G,MATCH(DATE(YEAR($A1135)-1,MONTH($A1135),DAY($A1135)),$A:$A,0))=""),"",G1135/INDEX(G:G,MATCH(DATE(YEAR($A1135)-1,MONTH($A1135),DAY($A1135)),$A:$A,0))-1),"")</f>
        <v/>
      </c>
      <c r="M1135" s="19">
        <f>IF(OR(E1135="",E1134=""),"",E1135/E1134-1)</f>
        <v/>
      </c>
      <c r="N1135" s="19">
        <f>IF(OR(F1135="",F1134=""),"",F1135/F1134-1)</f>
        <v/>
      </c>
      <c r="O1135" s="19">
        <f>IF(OR(G1135="",G1134=""),"",G1135/G1134-1)</f>
        <v/>
      </c>
      <c r="P1135" s="22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IF(R1135="","",P1135/R1135)</f>
        <v/>
      </c>
      <c r="T1135" s="23">
        <f>IF(R1135="","",Q1135/R1135)</f>
        <v/>
      </c>
      <c r="U1135" s="24">
        <f>IF(SUMIFS('Daily NSE Equity Options'!$M:$M,'Daily NSE Equity Options'!$A:$A,$A1135)=0,"",SUMIFS('Daily NSE Equity Options'!$M:$M,'Daily NSE Equity Options'!$A:$A,$A1135))</f>
        <v/>
      </c>
      <c r="V1135" s="9">
        <f>IF(SUMIFS('Daily BSE Equity Options'!$M:$M,'Daily BSE Equity Options'!$A:$A,$A1135)=0,"",SUMIFS('Daily BSE Equity Options'!$M:$M,'Daily BSE Equity Options'!$A:$A,$A1135))</f>
        <v/>
      </c>
      <c r="W1135" s="9">
        <f>IF(OR(U1135="",V1135=""),"",U1135+V1135)</f>
        <v/>
      </c>
      <c r="X1135" s="25">
        <f>IF(W1135="","",U1135/W1135)</f>
        <v/>
      </c>
      <c r="Y1135" s="25">
        <f>IF(W1135="","",V1135/W1135)</f>
        <v/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19">
        <f>IF(G1136="","",E1136/G1136)</f>
        <v/>
      </c>
      <c r="I1136" s="19">
        <f>IF(G1136="","",F1136/G1136)</f>
        <v/>
      </c>
      <c r="J1136" s="26">
        <f>IFERROR(IF(OR(E1136="",INDEX(E:E,MATCH(DATE(YEAR($A1136)-1,MONTH($A1136),DAY($A1136)),$A:$A,0))=""),"",E1136/INDEX(E:E,MATCH(DATE(YEAR($A1136)-1,MONTH($A1136),DAY($A1136)),$A:$A,0))-1),"")</f>
        <v/>
      </c>
      <c r="K1136" s="19">
        <f>IFERROR(IF(OR(F1136="",INDEX(F:F,MATCH(DATE(YEAR($A1136)-1,MONTH($A1136),DAY($A1136)),$A:$A,0))=""),"",F1136/INDEX(F:F,MATCH(DATE(YEAR($A1136)-1,MONTH($A1136),DAY($A1136)),$A:$A,0))-1),"")</f>
        <v/>
      </c>
      <c r="L1136" s="19">
        <f>IFERROR(IF(OR(G1136="",INDEX(G:G,MATCH(DATE(YEAR($A1136)-1,MONTH($A1136),DAY($A1136)),$A:$A,0))=""),"",G1136/INDEX(G:G,MATCH(DATE(YEAR($A1136)-1,MONTH($A1136),DAY($A1136)),$A:$A,0))-1),"")</f>
        <v/>
      </c>
      <c r="M1136" s="19">
        <f>IF(OR(E1136="",E1135=""),"",E1136/E1135-1)</f>
        <v/>
      </c>
      <c r="N1136" s="19">
        <f>IF(OR(F1136="",F1135=""),"",F1136/F1135-1)</f>
        <v/>
      </c>
      <c r="O1136" s="19">
        <f>IF(OR(G1136="",G1135=""),"",G1136/G1135-1)</f>
        <v/>
      </c>
      <c r="P1136" s="22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IF(R1136="","",P1136/R1136)</f>
        <v/>
      </c>
      <c r="T1136" s="23">
        <f>IF(R1136="","",Q1136/R1136)</f>
        <v/>
      </c>
      <c r="U1136" s="24">
        <f>IF(SUMIFS('Daily NSE Equity Options'!$M:$M,'Daily NSE Equity Options'!$A:$A,$A1136)=0,"",SUMIFS('Daily NSE Equity Options'!$M:$M,'Daily NSE Equity Options'!$A:$A,$A1136))</f>
        <v/>
      </c>
      <c r="V1136" s="9">
        <f>IF(SUMIFS('Daily BSE Equity Options'!$M:$M,'Daily BSE Equity Options'!$A:$A,$A1136)=0,"",SUMIFS('Daily BSE Equity Options'!$M:$M,'Daily BSE Equity Options'!$A:$A,$A1136))</f>
        <v/>
      </c>
      <c r="W1136" s="9">
        <f>IF(OR(U1136="",V1136=""),"",U1136+V1136)</f>
        <v/>
      </c>
      <c r="X1136" s="25">
        <f>IF(W1136="","",U1136/W1136)</f>
        <v/>
      </c>
      <c r="Y1136" s="25">
        <f>IF(W1136="","",V1136/W1136)</f>
        <v/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19">
        <f>IF(G1137="","",E1137/G1137)</f>
        <v/>
      </c>
      <c r="I1137" s="19">
        <f>IF(G1137="","",F1137/G1137)</f>
        <v/>
      </c>
      <c r="J1137" s="26">
        <f>IFERROR(IF(OR(E1137="",INDEX(E:E,MATCH(DATE(YEAR($A1137)-1,MONTH($A1137),DAY($A1137)),$A:$A,0))=""),"",E1137/INDEX(E:E,MATCH(DATE(YEAR($A1137)-1,MONTH($A1137),DAY($A1137)),$A:$A,0))-1),"")</f>
        <v/>
      </c>
      <c r="K1137" s="19">
        <f>IFERROR(IF(OR(F1137="",INDEX(F:F,MATCH(DATE(YEAR($A1137)-1,MONTH($A1137),DAY($A1137)),$A:$A,0))=""),"",F1137/INDEX(F:F,MATCH(DATE(YEAR($A1137)-1,MONTH($A1137),DAY($A1137)),$A:$A,0))-1),"")</f>
        <v/>
      </c>
      <c r="L1137" s="19">
        <f>IFERROR(IF(OR(G1137="",INDEX(G:G,MATCH(DATE(YEAR($A1137)-1,MONTH($A1137),DAY($A1137)),$A:$A,0))=""),"",G1137/INDEX(G:G,MATCH(DATE(YEAR($A1137)-1,MONTH($A1137),DAY($A1137)),$A:$A,0))-1),"")</f>
        <v/>
      </c>
      <c r="M1137" s="19">
        <f>IF(OR(E1137="",E1136=""),"",E1137/E1136-1)</f>
        <v/>
      </c>
      <c r="N1137" s="19">
        <f>IF(OR(F1137="",F1136=""),"",F1137/F1136-1)</f>
        <v/>
      </c>
      <c r="O1137" s="19">
        <f>IF(OR(G1137="",G1136=""),"",G1137/G1136-1)</f>
        <v/>
      </c>
      <c r="P1137" s="22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IF(R1137="","",P1137/R1137)</f>
        <v/>
      </c>
      <c r="T1137" s="23">
        <f>IF(R1137="","",Q1137/R1137)</f>
        <v/>
      </c>
      <c r="U1137" s="24">
        <f>IF(SUMIFS('Daily NSE Equity Options'!$M:$M,'Daily NSE Equity Options'!$A:$A,$A1137)=0,"",SUMIFS('Daily NSE Equity Options'!$M:$M,'Daily NSE Equity Options'!$A:$A,$A1137))</f>
        <v/>
      </c>
      <c r="V1137" s="9">
        <f>IF(SUMIFS('Daily BSE Equity Options'!$M:$M,'Daily BSE Equity Options'!$A:$A,$A1137)=0,"",SUMIFS('Daily BSE Equity Options'!$M:$M,'Daily BSE Equity Options'!$A:$A,$A1137))</f>
        <v/>
      </c>
      <c r="W1137" s="9">
        <f>IF(OR(U1137="",V1137=""),"",U1137+V1137)</f>
        <v/>
      </c>
      <c r="X1137" s="25">
        <f>IF(W1137="","",U1137/W1137)</f>
        <v/>
      </c>
      <c r="Y1137" s="25">
        <f>IF(W1137="","",V1137/W1137)</f>
        <v/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19">
        <f>IF(G1138="","",E1138/G1138)</f>
        <v/>
      </c>
      <c r="I1138" s="19">
        <f>IF(G1138="","",F1138/G1138)</f>
        <v/>
      </c>
      <c r="J1138" s="26">
        <f>IFERROR(IF(OR(E1138="",INDEX(E:E,MATCH(DATE(YEAR($A1138)-1,MONTH($A1138),DAY($A1138)),$A:$A,0))=""),"",E1138/INDEX(E:E,MATCH(DATE(YEAR($A1138)-1,MONTH($A1138),DAY($A1138)),$A:$A,0))-1),"")</f>
        <v/>
      </c>
      <c r="K1138" s="19">
        <f>IFERROR(IF(OR(F1138="",INDEX(F:F,MATCH(DATE(YEAR($A1138)-1,MONTH($A1138),DAY($A1138)),$A:$A,0))=""),"",F1138/INDEX(F:F,MATCH(DATE(YEAR($A1138)-1,MONTH($A1138),DAY($A1138)),$A:$A,0))-1),"")</f>
        <v/>
      </c>
      <c r="L1138" s="19">
        <f>IFERROR(IF(OR(G1138="",INDEX(G:G,MATCH(DATE(YEAR($A1138)-1,MONTH($A1138),DAY($A1138)),$A:$A,0))=""),"",G1138/INDEX(G:G,MATCH(DATE(YEAR($A1138)-1,MONTH($A1138),DAY($A1138)),$A:$A,0))-1),"")</f>
        <v/>
      </c>
      <c r="M1138" s="19">
        <f>IF(OR(E1138="",E1137=""),"",E1138/E1137-1)</f>
        <v/>
      </c>
      <c r="N1138" s="19">
        <f>IF(OR(F1138="",F1137=""),"",F1138/F1137-1)</f>
        <v/>
      </c>
      <c r="O1138" s="19">
        <f>IF(OR(G1138="",G1137=""),"",G1138/G1137-1)</f>
        <v/>
      </c>
      <c r="P1138" s="22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IF(R1138="","",P1138/R1138)</f>
        <v/>
      </c>
      <c r="T1138" s="23">
        <f>IF(R1138="","",Q1138/R1138)</f>
        <v/>
      </c>
      <c r="U1138" s="24">
        <f>IF(SUMIFS('Daily NSE Equity Options'!$M:$M,'Daily NSE Equity Options'!$A:$A,$A1138)=0,"",SUMIFS('Daily NSE Equity Options'!$M:$M,'Daily NSE Equity Options'!$A:$A,$A1138))</f>
        <v/>
      </c>
      <c r="V1138" s="9">
        <f>IF(SUMIFS('Daily BSE Equity Options'!$M:$M,'Daily BSE Equity Options'!$A:$A,$A1138)=0,"",SUMIFS('Daily BSE Equity Options'!$M:$M,'Daily BSE Equity Options'!$A:$A,$A1138))</f>
        <v/>
      </c>
      <c r="W1138" s="9">
        <f>IF(OR(U1138="",V1138=""),"",U1138+V1138)</f>
        <v/>
      </c>
      <c r="X1138" s="25">
        <f>IF(W1138="","",U1138/W1138)</f>
        <v/>
      </c>
      <c r="Y1138" s="25">
        <f>IF(W1138="","",V1138/W1138)</f>
        <v/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19">
        <f>IF(G1139="","",E1139/G1139)</f>
        <v/>
      </c>
      <c r="I1139" s="19">
        <f>IF(G1139="","",F1139/G1139)</f>
        <v/>
      </c>
      <c r="J1139" s="26">
        <f>IFERROR(IF(OR(E1139="",INDEX(E:E,MATCH(DATE(YEAR($A1139)-1,MONTH($A1139),DAY($A1139)),$A:$A,0))=""),"",E1139/INDEX(E:E,MATCH(DATE(YEAR($A1139)-1,MONTH($A1139),DAY($A1139)),$A:$A,0))-1),"")</f>
        <v/>
      </c>
      <c r="K1139" s="19">
        <f>IFERROR(IF(OR(F1139="",INDEX(F:F,MATCH(DATE(YEAR($A1139)-1,MONTH($A1139),DAY($A1139)),$A:$A,0))=""),"",F1139/INDEX(F:F,MATCH(DATE(YEAR($A1139)-1,MONTH($A1139),DAY($A1139)),$A:$A,0))-1),"")</f>
        <v/>
      </c>
      <c r="L1139" s="19">
        <f>IFERROR(IF(OR(G1139="",INDEX(G:G,MATCH(DATE(YEAR($A1139)-1,MONTH($A1139),DAY($A1139)),$A:$A,0))=""),"",G1139/INDEX(G:G,MATCH(DATE(YEAR($A1139)-1,MONTH($A1139),DAY($A1139)),$A:$A,0))-1),"")</f>
        <v/>
      </c>
      <c r="M1139" s="19">
        <f>IF(OR(E1139="",E1138=""),"",E1139/E1138-1)</f>
        <v/>
      </c>
      <c r="N1139" s="19">
        <f>IF(OR(F1139="",F1138=""),"",F1139/F1138-1)</f>
        <v/>
      </c>
      <c r="O1139" s="19">
        <f>IF(OR(G1139="",G1138=""),"",G1139/G1138-1)</f>
        <v/>
      </c>
      <c r="P1139" s="22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IF(R1139="","",P1139/R1139)</f>
        <v/>
      </c>
      <c r="T1139" s="23">
        <f>IF(R1139="","",Q1139/R1139)</f>
        <v/>
      </c>
      <c r="U1139" s="24">
        <f>IF(SUMIFS('Daily NSE Equity Options'!$M:$M,'Daily NSE Equity Options'!$A:$A,$A1139)=0,"",SUMIFS('Daily NSE Equity Options'!$M:$M,'Daily NSE Equity Options'!$A:$A,$A1139))</f>
        <v/>
      </c>
      <c r="V1139" s="9">
        <f>IF(SUMIFS('Daily BSE Equity Options'!$M:$M,'Daily BSE Equity Options'!$A:$A,$A1139)=0,"",SUMIFS('Daily BSE Equity Options'!$M:$M,'Daily BSE Equity Options'!$A:$A,$A1139))</f>
        <v/>
      </c>
      <c r="W1139" s="9">
        <f>IF(OR(U1139="",V1139=""),"",U1139+V1139)</f>
        <v/>
      </c>
      <c r="X1139" s="25">
        <f>IF(W1139="","",U1139/W1139)</f>
        <v/>
      </c>
      <c r="Y1139" s="25">
        <f>IF(W1139="","",V1139/W1139)</f>
        <v/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19">
        <f>IF(G1140="","",E1140/G1140)</f>
        <v/>
      </c>
      <c r="I1140" s="19">
        <f>IF(G1140="","",F1140/G1140)</f>
        <v/>
      </c>
      <c r="J1140" s="26">
        <f>IFERROR(IF(OR(E1140="",INDEX(E:E,MATCH(DATE(YEAR($A1140)-1,MONTH($A1140),DAY($A1140)),$A:$A,0))=""),"",E1140/INDEX(E:E,MATCH(DATE(YEAR($A1140)-1,MONTH($A1140),DAY($A1140)),$A:$A,0))-1),"")</f>
        <v/>
      </c>
      <c r="K1140" s="19">
        <f>IFERROR(IF(OR(F1140="",INDEX(F:F,MATCH(DATE(YEAR($A1140)-1,MONTH($A1140),DAY($A1140)),$A:$A,0))=""),"",F1140/INDEX(F:F,MATCH(DATE(YEAR($A1140)-1,MONTH($A1140),DAY($A1140)),$A:$A,0))-1),"")</f>
        <v/>
      </c>
      <c r="L1140" s="19">
        <f>IFERROR(IF(OR(G1140="",INDEX(G:G,MATCH(DATE(YEAR($A1140)-1,MONTH($A1140),DAY($A1140)),$A:$A,0))=""),"",G1140/INDEX(G:G,MATCH(DATE(YEAR($A1140)-1,MONTH($A1140),DAY($A1140)),$A:$A,0))-1),"")</f>
        <v/>
      </c>
      <c r="M1140" s="19">
        <f>IF(OR(E1140="",E1139=""),"",E1140/E1139-1)</f>
        <v/>
      </c>
      <c r="N1140" s="19">
        <f>IF(OR(F1140="",F1139=""),"",F1140/F1139-1)</f>
        <v/>
      </c>
      <c r="O1140" s="19">
        <f>IF(OR(G1140="",G1139=""),"",G1140/G1139-1)</f>
        <v/>
      </c>
      <c r="P1140" s="22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IF(R1140="","",P1140/R1140)</f>
        <v/>
      </c>
      <c r="T1140" s="23">
        <f>IF(R1140="","",Q1140/R1140)</f>
        <v/>
      </c>
      <c r="U1140" s="24">
        <f>IF(SUMIFS('Daily NSE Equity Options'!$M:$M,'Daily NSE Equity Options'!$A:$A,$A1140)=0,"",SUMIFS('Daily NSE Equity Options'!$M:$M,'Daily NSE Equity Options'!$A:$A,$A1140))</f>
        <v/>
      </c>
      <c r="V1140" s="9">
        <f>IF(SUMIFS('Daily BSE Equity Options'!$M:$M,'Daily BSE Equity Options'!$A:$A,$A1140)=0,"",SUMIFS('Daily BSE Equity Options'!$M:$M,'Daily BSE Equity Options'!$A:$A,$A1140))</f>
        <v/>
      </c>
      <c r="W1140" s="9">
        <f>IF(OR(U1140="",V1140=""),"",U1140+V1140)</f>
        <v/>
      </c>
      <c r="X1140" s="25">
        <f>IF(W1140="","",U1140/W1140)</f>
        <v/>
      </c>
      <c r="Y1140" s="25">
        <f>IF(W1140="","",V1140/W1140)</f>
        <v/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19">
        <f>IF(G1141="","",E1141/G1141)</f>
        <v/>
      </c>
      <c r="I1141" s="19">
        <f>IF(G1141="","",F1141/G1141)</f>
        <v/>
      </c>
      <c r="J1141" s="26">
        <f>IFERROR(IF(OR(E1141="",INDEX(E:E,MATCH(DATE(YEAR($A1141)-1,MONTH($A1141),DAY($A1141)),$A:$A,0))=""),"",E1141/INDEX(E:E,MATCH(DATE(YEAR($A1141)-1,MONTH($A1141),DAY($A1141)),$A:$A,0))-1),"")</f>
        <v/>
      </c>
      <c r="K1141" s="19">
        <f>IFERROR(IF(OR(F1141="",INDEX(F:F,MATCH(DATE(YEAR($A1141)-1,MONTH($A1141),DAY($A1141)),$A:$A,0))=""),"",F1141/INDEX(F:F,MATCH(DATE(YEAR($A1141)-1,MONTH($A1141),DAY($A1141)),$A:$A,0))-1),"")</f>
        <v/>
      </c>
      <c r="L1141" s="19">
        <f>IFERROR(IF(OR(G1141="",INDEX(G:G,MATCH(DATE(YEAR($A1141)-1,MONTH($A1141),DAY($A1141)),$A:$A,0))=""),"",G1141/INDEX(G:G,MATCH(DATE(YEAR($A1141)-1,MONTH($A1141),DAY($A1141)),$A:$A,0))-1),"")</f>
        <v/>
      </c>
      <c r="M1141" s="19">
        <f>IF(OR(E1141="",E1140=""),"",E1141/E1140-1)</f>
        <v/>
      </c>
      <c r="N1141" s="19">
        <f>IF(OR(F1141="",F1140=""),"",F1141/F1140-1)</f>
        <v/>
      </c>
      <c r="O1141" s="19">
        <f>IF(OR(G1141="",G1140=""),"",G1141/G1140-1)</f>
        <v/>
      </c>
      <c r="P1141" s="22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IF(R1141="","",P1141/R1141)</f>
        <v/>
      </c>
      <c r="T1141" s="23">
        <f>IF(R1141="","",Q1141/R1141)</f>
        <v/>
      </c>
      <c r="U1141" s="24">
        <f>IF(SUMIFS('Daily NSE Equity Options'!$M:$M,'Daily NSE Equity Options'!$A:$A,$A1141)=0,"",SUMIFS('Daily NSE Equity Options'!$M:$M,'Daily NSE Equity Options'!$A:$A,$A1141))</f>
        <v/>
      </c>
      <c r="V1141" s="9">
        <f>IF(SUMIFS('Daily BSE Equity Options'!$M:$M,'Daily BSE Equity Options'!$A:$A,$A1141)=0,"",SUMIFS('Daily BSE Equity Options'!$M:$M,'Daily BSE Equity Options'!$A:$A,$A1141))</f>
        <v/>
      </c>
      <c r="W1141" s="9">
        <f>IF(OR(U1141="",V1141=""),"",U1141+V1141)</f>
        <v/>
      </c>
      <c r="X1141" s="25">
        <f>IF(W1141="","",U1141/W1141)</f>
        <v/>
      </c>
      <c r="Y1141" s="25">
        <f>IF(W1141="","",V1141/W1141)</f>
        <v/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19">
        <f>IF(G1142="","",E1142/G1142)</f>
        <v/>
      </c>
      <c r="I1142" s="19">
        <f>IF(G1142="","",F1142/G1142)</f>
        <v/>
      </c>
      <c r="J1142" s="26">
        <f>IFERROR(IF(OR(E1142="",INDEX(E:E,MATCH(DATE(YEAR($A1142)-1,MONTH($A1142),DAY($A1142)),$A:$A,0))=""),"",E1142/INDEX(E:E,MATCH(DATE(YEAR($A1142)-1,MONTH($A1142),DAY($A1142)),$A:$A,0))-1),"")</f>
        <v/>
      </c>
      <c r="K1142" s="19">
        <f>IFERROR(IF(OR(F1142="",INDEX(F:F,MATCH(DATE(YEAR($A1142)-1,MONTH($A1142),DAY($A1142)),$A:$A,0))=""),"",F1142/INDEX(F:F,MATCH(DATE(YEAR($A1142)-1,MONTH($A1142),DAY($A1142)),$A:$A,0))-1),"")</f>
        <v/>
      </c>
      <c r="L1142" s="19">
        <f>IFERROR(IF(OR(G1142="",INDEX(G:G,MATCH(DATE(YEAR($A1142)-1,MONTH($A1142),DAY($A1142)),$A:$A,0))=""),"",G1142/INDEX(G:G,MATCH(DATE(YEAR($A1142)-1,MONTH($A1142),DAY($A1142)),$A:$A,0))-1),"")</f>
        <v/>
      </c>
      <c r="M1142" s="19">
        <f>IF(OR(E1142="",E1141=""),"",E1142/E1141-1)</f>
        <v/>
      </c>
      <c r="N1142" s="19">
        <f>IF(OR(F1142="",F1141=""),"",F1142/F1141-1)</f>
        <v/>
      </c>
      <c r="O1142" s="19">
        <f>IF(OR(G1142="",G1141=""),"",G1142/G1141-1)</f>
        <v/>
      </c>
      <c r="P1142" s="22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IF(R1142="","",P1142/R1142)</f>
        <v/>
      </c>
      <c r="T1142" s="23">
        <f>IF(R1142="","",Q1142/R1142)</f>
        <v/>
      </c>
      <c r="U1142" s="24">
        <f>IF(SUMIFS('Daily NSE Equity Options'!$M:$M,'Daily NSE Equity Options'!$A:$A,$A1142)=0,"",SUMIFS('Daily NSE Equity Options'!$M:$M,'Daily NSE Equity Options'!$A:$A,$A1142))</f>
        <v/>
      </c>
      <c r="V1142" s="9">
        <f>IF(SUMIFS('Daily BSE Equity Options'!$M:$M,'Daily BSE Equity Options'!$A:$A,$A1142)=0,"",SUMIFS('Daily BSE Equity Options'!$M:$M,'Daily BSE Equity Options'!$A:$A,$A1142))</f>
        <v/>
      </c>
      <c r="W1142" s="9">
        <f>IF(OR(U1142="",V1142=""),"",U1142+V1142)</f>
        <v/>
      </c>
      <c r="X1142" s="25">
        <f>IF(W1142="","",U1142/W1142)</f>
        <v/>
      </c>
      <c r="Y1142" s="25">
        <f>IF(W1142="","",V1142/W1142)</f>
        <v/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19">
        <f>IF(G1143="","",E1143/G1143)</f>
        <v/>
      </c>
      <c r="I1143" s="19">
        <f>IF(G1143="","",F1143/G1143)</f>
        <v/>
      </c>
      <c r="J1143" s="26">
        <f>IFERROR(IF(OR(E1143="",INDEX(E:E,MATCH(DATE(YEAR($A1143)-1,MONTH($A1143),DAY($A1143)),$A:$A,0))=""),"",E1143/INDEX(E:E,MATCH(DATE(YEAR($A1143)-1,MONTH($A1143),DAY($A1143)),$A:$A,0))-1),"")</f>
        <v/>
      </c>
      <c r="K1143" s="19">
        <f>IFERROR(IF(OR(F1143="",INDEX(F:F,MATCH(DATE(YEAR($A1143)-1,MONTH($A1143),DAY($A1143)),$A:$A,0))=""),"",F1143/INDEX(F:F,MATCH(DATE(YEAR($A1143)-1,MONTH($A1143),DAY($A1143)),$A:$A,0))-1),"")</f>
        <v/>
      </c>
      <c r="L1143" s="19">
        <f>IFERROR(IF(OR(G1143="",INDEX(G:G,MATCH(DATE(YEAR($A1143)-1,MONTH($A1143),DAY($A1143)),$A:$A,0))=""),"",G1143/INDEX(G:G,MATCH(DATE(YEAR($A1143)-1,MONTH($A1143),DAY($A1143)),$A:$A,0))-1),"")</f>
        <v/>
      </c>
      <c r="M1143" s="19">
        <f>IF(OR(E1143="",E1142=""),"",E1143/E1142-1)</f>
        <v/>
      </c>
      <c r="N1143" s="19">
        <f>IF(OR(F1143="",F1142=""),"",F1143/F1142-1)</f>
        <v/>
      </c>
      <c r="O1143" s="19">
        <f>IF(OR(G1143="",G1142=""),"",G1143/G1142-1)</f>
        <v/>
      </c>
      <c r="P1143" s="22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IF(R1143="","",P1143/R1143)</f>
        <v/>
      </c>
      <c r="T1143" s="23">
        <f>IF(R1143="","",Q1143/R1143)</f>
        <v/>
      </c>
      <c r="U1143" s="24">
        <f>IF(SUMIFS('Daily NSE Equity Options'!$M:$M,'Daily NSE Equity Options'!$A:$A,$A1143)=0,"",SUMIFS('Daily NSE Equity Options'!$M:$M,'Daily NSE Equity Options'!$A:$A,$A1143))</f>
        <v/>
      </c>
      <c r="V1143" s="9">
        <f>IF(SUMIFS('Daily BSE Equity Options'!$M:$M,'Daily BSE Equity Options'!$A:$A,$A1143)=0,"",SUMIFS('Daily BSE Equity Options'!$M:$M,'Daily BSE Equity Options'!$A:$A,$A1143))</f>
        <v/>
      </c>
      <c r="W1143" s="9">
        <f>IF(OR(U1143="",V1143=""),"",U1143+V1143)</f>
        <v/>
      </c>
      <c r="X1143" s="25">
        <f>IF(W1143="","",U1143/W1143)</f>
        <v/>
      </c>
      <c r="Y1143" s="25">
        <f>IF(W1143="","",V1143/W1143)</f>
        <v/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19">
        <f>IF(G1144="","",E1144/G1144)</f>
        <v/>
      </c>
      <c r="I1144" s="19">
        <f>IF(G1144="","",F1144/G1144)</f>
        <v/>
      </c>
      <c r="J1144" s="26">
        <f>IFERROR(IF(OR(E1144="",INDEX(E:E,MATCH(DATE(YEAR($A1144)-1,MONTH($A1144),DAY($A1144)),$A:$A,0))=""),"",E1144/INDEX(E:E,MATCH(DATE(YEAR($A1144)-1,MONTH($A1144),DAY($A1144)),$A:$A,0))-1),"")</f>
        <v/>
      </c>
      <c r="K1144" s="19">
        <f>IFERROR(IF(OR(F1144="",INDEX(F:F,MATCH(DATE(YEAR($A1144)-1,MONTH($A1144),DAY($A1144)),$A:$A,0))=""),"",F1144/INDEX(F:F,MATCH(DATE(YEAR($A1144)-1,MONTH($A1144),DAY($A1144)),$A:$A,0))-1),"")</f>
        <v/>
      </c>
      <c r="L1144" s="19">
        <f>IFERROR(IF(OR(G1144="",INDEX(G:G,MATCH(DATE(YEAR($A1144)-1,MONTH($A1144),DAY($A1144)),$A:$A,0))=""),"",G1144/INDEX(G:G,MATCH(DATE(YEAR($A1144)-1,MONTH($A1144),DAY($A1144)),$A:$A,0))-1),"")</f>
        <v/>
      </c>
      <c r="M1144" s="19">
        <f>IF(OR(E1144="",E1143=""),"",E1144/E1143-1)</f>
        <v/>
      </c>
      <c r="N1144" s="19">
        <f>IF(OR(F1144="",F1143=""),"",F1144/F1143-1)</f>
        <v/>
      </c>
      <c r="O1144" s="19">
        <f>IF(OR(G1144="",G1143=""),"",G1144/G1143-1)</f>
        <v/>
      </c>
      <c r="P1144" s="22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IF(R1144="","",P1144/R1144)</f>
        <v/>
      </c>
      <c r="T1144" s="23">
        <f>IF(R1144="","",Q1144/R1144)</f>
        <v/>
      </c>
      <c r="U1144" s="24">
        <f>IF(SUMIFS('Daily NSE Equity Options'!$M:$M,'Daily NSE Equity Options'!$A:$A,$A1144)=0,"",SUMIFS('Daily NSE Equity Options'!$M:$M,'Daily NSE Equity Options'!$A:$A,$A1144))</f>
        <v/>
      </c>
      <c r="V1144" s="9">
        <f>IF(SUMIFS('Daily BSE Equity Options'!$M:$M,'Daily BSE Equity Options'!$A:$A,$A1144)=0,"",SUMIFS('Daily BSE Equity Options'!$M:$M,'Daily BSE Equity Options'!$A:$A,$A1144))</f>
        <v/>
      </c>
      <c r="W1144" s="9">
        <f>IF(OR(U1144="",V1144=""),"",U1144+V1144)</f>
        <v/>
      </c>
      <c r="X1144" s="25">
        <f>IF(W1144="","",U1144/W1144)</f>
        <v/>
      </c>
      <c r="Y1144" s="25">
        <f>IF(W1144="","",V1144/W1144)</f>
        <v/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19">
        <f>IF(G1145="","",E1145/G1145)</f>
        <v/>
      </c>
      <c r="I1145" s="19">
        <f>IF(G1145="","",F1145/G1145)</f>
        <v/>
      </c>
      <c r="J1145" s="26">
        <f>IFERROR(IF(OR(E1145="",INDEX(E:E,MATCH(DATE(YEAR($A1145)-1,MONTH($A1145),DAY($A1145)),$A:$A,0))=""),"",E1145/INDEX(E:E,MATCH(DATE(YEAR($A1145)-1,MONTH($A1145),DAY($A1145)),$A:$A,0))-1),"")</f>
        <v/>
      </c>
      <c r="K1145" s="19">
        <f>IFERROR(IF(OR(F1145="",INDEX(F:F,MATCH(DATE(YEAR($A1145)-1,MONTH($A1145),DAY($A1145)),$A:$A,0))=""),"",F1145/INDEX(F:F,MATCH(DATE(YEAR($A1145)-1,MONTH($A1145),DAY($A1145)),$A:$A,0))-1),"")</f>
        <v/>
      </c>
      <c r="L1145" s="19">
        <f>IFERROR(IF(OR(G1145="",INDEX(G:G,MATCH(DATE(YEAR($A1145)-1,MONTH($A1145),DAY($A1145)),$A:$A,0))=""),"",G1145/INDEX(G:G,MATCH(DATE(YEAR($A1145)-1,MONTH($A1145),DAY($A1145)),$A:$A,0))-1),"")</f>
        <v/>
      </c>
      <c r="M1145" s="19">
        <f>IF(OR(E1145="",E1144=""),"",E1145/E1144-1)</f>
        <v/>
      </c>
      <c r="N1145" s="19">
        <f>IF(OR(F1145="",F1144=""),"",F1145/F1144-1)</f>
        <v/>
      </c>
      <c r="O1145" s="19">
        <f>IF(OR(G1145="",G1144=""),"",G1145/G1144-1)</f>
        <v/>
      </c>
      <c r="P1145" s="22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IF(R1145="","",P1145/R1145)</f>
        <v/>
      </c>
      <c r="T1145" s="23">
        <f>IF(R1145="","",Q1145/R1145)</f>
        <v/>
      </c>
      <c r="U1145" s="24">
        <f>IF(SUMIFS('Daily NSE Equity Options'!$M:$M,'Daily NSE Equity Options'!$A:$A,$A1145)=0,"",SUMIFS('Daily NSE Equity Options'!$M:$M,'Daily NSE Equity Options'!$A:$A,$A1145))</f>
        <v/>
      </c>
      <c r="V1145" s="9">
        <f>IF(SUMIFS('Daily BSE Equity Options'!$M:$M,'Daily BSE Equity Options'!$A:$A,$A1145)=0,"",SUMIFS('Daily BSE Equity Options'!$M:$M,'Daily BSE Equity Options'!$A:$A,$A1145))</f>
        <v/>
      </c>
      <c r="W1145" s="9">
        <f>IF(OR(U1145="",V1145=""),"",U1145+V1145)</f>
        <v/>
      </c>
      <c r="X1145" s="25">
        <f>IF(W1145="","",U1145/W1145)</f>
        <v/>
      </c>
      <c r="Y1145" s="25">
        <f>IF(W1145="","",V1145/W1145)</f>
        <v/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19">
        <f>IF(G1146="","",E1146/G1146)</f>
        <v/>
      </c>
      <c r="I1146" s="19">
        <f>IF(G1146="","",F1146/G1146)</f>
        <v/>
      </c>
      <c r="J1146" s="26">
        <f>IFERROR(IF(OR(E1146="",INDEX(E:E,MATCH(DATE(YEAR($A1146)-1,MONTH($A1146),DAY($A1146)),$A:$A,0))=""),"",E1146/INDEX(E:E,MATCH(DATE(YEAR($A1146)-1,MONTH($A1146),DAY($A1146)),$A:$A,0))-1),"")</f>
        <v/>
      </c>
      <c r="K1146" s="19">
        <f>IFERROR(IF(OR(F1146="",INDEX(F:F,MATCH(DATE(YEAR($A1146)-1,MONTH($A1146),DAY($A1146)),$A:$A,0))=""),"",F1146/INDEX(F:F,MATCH(DATE(YEAR($A1146)-1,MONTH($A1146),DAY($A1146)),$A:$A,0))-1),"")</f>
        <v/>
      </c>
      <c r="L1146" s="19">
        <f>IFERROR(IF(OR(G1146="",INDEX(G:G,MATCH(DATE(YEAR($A1146)-1,MONTH($A1146),DAY($A1146)),$A:$A,0))=""),"",G1146/INDEX(G:G,MATCH(DATE(YEAR($A1146)-1,MONTH($A1146),DAY($A1146)),$A:$A,0))-1),"")</f>
        <v/>
      </c>
      <c r="M1146" s="19">
        <f>IF(OR(E1146="",E1145=""),"",E1146/E1145-1)</f>
        <v/>
      </c>
      <c r="N1146" s="19">
        <f>IF(OR(F1146="",F1145=""),"",F1146/F1145-1)</f>
        <v/>
      </c>
      <c r="O1146" s="19">
        <f>IF(OR(G1146="",G1145=""),"",G1146/G1145-1)</f>
        <v/>
      </c>
      <c r="P1146" s="22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IF(R1146="","",P1146/R1146)</f>
        <v/>
      </c>
      <c r="T1146" s="23">
        <f>IF(R1146="","",Q1146/R1146)</f>
        <v/>
      </c>
      <c r="U1146" s="24">
        <f>IF(SUMIFS('Daily NSE Equity Options'!$M:$M,'Daily NSE Equity Options'!$A:$A,$A1146)=0,"",SUMIFS('Daily NSE Equity Options'!$M:$M,'Daily NSE Equity Options'!$A:$A,$A1146))</f>
        <v/>
      </c>
      <c r="V1146" s="9">
        <f>IF(SUMIFS('Daily BSE Equity Options'!$M:$M,'Daily BSE Equity Options'!$A:$A,$A1146)=0,"",SUMIFS('Daily BSE Equity Options'!$M:$M,'Daily BSE Equity Options'!$A:$A,$A1146))</f>
        <v/>
      </c>
      <c r="W1146" s="9">
        <f>IF(OR(U1146="",V1146=""),"",U1146+V1146)</f>
        <v/>
      </c>
      <c r="X1146" s="25">
        <f>IF(W1146="","",U1146/W1146)</f>
        <v/>
      </c>
      <c r="Y1146" s="25">
        <f>IF(W1146="","",V1146/W1146)</f>
        <v/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19">
        <f>IF(G1147="","",E1147/G1147)</f>
        <v/>
      </c>
      <c r="I1147" s="19">
        <f>IF(G1147="","",F1147/G1147)</f>
        <v/>
      </c>
      <c r="J1147" s="26">
        <f>IFERROR(IF(OR(E1147="",INDEX(E:E,MATCH(DATE(YEAR($A1147)-1,MONTH($A1147),DAY($A1147)),$A:$A,0))=""),"",E1147/INDEX(E:E,MATCH(DATE(YEAR($A1147)-1,MONTH($A1147),DAY($A1147)),$A:$A,0))-1),"")</f>
        <v/>
      </c>
      <c r="K1147" s="19">
        <f>IFERROR(IF(OR(F1147="",INDEX(F:F,MATCH(DATE(YEAR($A1147)-1,MONTH($A1147),DAY($A1147)),$A:$A,0))=""),"",F1147/INDEX(F:F,MATCH(DATE(YEAR($A1147)-1,MONTH($A1147),DAY($A1147)),$A:$A,0))-1),"")</f>
        <v/>
      </c>
      <c r="L1147" s="19">
        <f>IFERROR(IF(OR(G1147="",INDEX(G:G,MATCH(DATE(YEAR($A1147)-1,MONTH($A1147),DAY($A1147)),$A:$A,0))=""),"",G1147/INDEX(G:G,MATCH(DATE(YEAR($A1147)-1,MONTH($A1147),DAY($A1147)),$A:$A,0))-1),"")</f>
        <v/>
      </c>
      <c r="M1147" s="19">
        <f>IF(OR(E1147="",E1146=""),"",E1147/E1146-1)</f>
        <v/>
      </c>
      <c r="N1147" s="19">
        <f>IF(OR(F1147="",F1146=""),"",F1147/F1146-1)</f>
        <v/>
      </c>
      <c r="O1147" s="19">
        <f>IF(OR(G1147="",G1146=""),"",G1147/G1146-1)</f>
        <v/>
      </c>
      <c r="P1147" s="22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IF(R1147="","",P1147/R1147)</f>
        <v/>
      </c>
      <c r="T1147" s="23">
        <f>IF(R1147="","",Q1147/R1147)</f>
        <v/>
      </c>
      <c r="U1147" s="24">
        <f>IF(SUMIFS('Daily NSE Equity Options'!$M:$M,'Daily NSE Equity Options'!$A:$A,$A1147)=0,"",SUMIFS('Daily NSE Equity Options'!$M:$M,'Daily NSE Equity Options'!$A:$A,$A1147))</f>
        <v/>
      </c>
      <c r="V1147" s="9">
        <f>IF(SUMIFS('Daily BSE Equity Options'!$M:$M,'Daily BSE Equity Options'!$A:$A,$A1147)=0,"",SUMIFS('Daily BSE Equity Options'!$M:$M,'Daily BSE Equity Options'!$A:$A,$A1147))</f>
        <v/>
      </c>
      <c r="W1147" s="9">
        <f>IF(OR(U1147="",V1147=""),"",U1147+V1147)</f>
        <v/>
      </c>
      <c r="X1147" s="25">
        <f>IF(W1147="","",U1147/W1147)</f>
        <v/>
      </c>
      <c r="Y1147" s="25">
        <f>IF(W1147="","",V1147/W1147)</f>
        <v/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19">
        <f>IF(G1148="","",E1148/G1148)</f>
        <v/>
      </c>
      <c r="I1148" s="19">
        <f>IF(G1148="","",F1148/G1148)</f>
        <v/>
      </c>
      <c r="J1148" s="26">
        <f>IFERROR(IF(OR(E1148="",INDEX(E:E,MATCH(DATE(YEAR($A1148)-1,MONTH($A1148),DAY($A1148)),$A:$A,0))=""),"",E1148/INDEX(E:E,MATCH(DATE(YEAR($A1148)-1,MONTH($A1148),DAY($A1148)),$A:$A,0))-1),"")</f>
        <v/>
      </c>
      <c r="K1148" s="19">
        <f>IFERROR(IF(OR(F1148="",INDEX(F:F,MATCH(DATE(YEAR($A1148)-1,MONTH($A1148),DAY($A1148)),$A:$A,0))=""),"",F1148/INDEX(F:F,MATCH(DATE(YEAR($A1148)-1,MONTH($A1148),DAY($A1148)),$A:$A,0))-1),"")</f>
        <v/>
      </c>
      <c r="L1148" s="19">
        <f>IFERROR(IF(OR(G1148="",INDEX(G:G,MATCH(DATE(YEAR($A1148)-1,MONTH($A1148),DAY($A1148)),$A:$A,0))=""),"",G1148/INDEX(G:G,MATCH(DATE(YEAR($A1148)-1,MONTH($A1148),DAY($A1148)),$A:$A,0))-1),"")</f>
        <v/>
      </c>
      <c r="M1148" s="19">
        <f>IF(OR(E1148="",E1147=""),"",E1148/E1147-1)</f>
        <v/>
      </c>
      <c r="N1148" s="19">
        <f>IF(OR(F1148="",F1147=""),"",F1148/F1147-1)</f>
        <v/>
      </c>
      <c r="O1148" s="19">
        <f>IF(OR(G1148="",G1147=""),"",G1148/G1147-1)</f>
        <v/>
      </c>
      <c r="P1148" s="22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IF(R1148="","",P1148/R1148)</f>
        <v/>
      </c>
      <c r="T1148" s="23">
        <f>IF(R1148="","",Q1148/R1148)</f>
        <v/>
      </c>
      <c r="U1148" s="24">
        <f>IF(SUMIFS('Daily NSE Equity Options'!$M:$M,'Daily NSE Equity Options'!$A:$A,$A1148)=0,"",SUMIFS('Daily NSE Equity Options'!$M:$M,'Daily NSE Equity Options'!$A:$A,$A1148))</f>
        <v/>
      </c>
      <c r="V1148" s="9">
        <f>IF(SUMIFS('Daily BSE Equity Options'!$M:$M,'Daily BSE Equity Options'!$A:$A,$A1148)=0,"",SUMIFS('Daily BSE Equity Options'!$M:$M,'Daily BSE Equity Options'!$A:$A,$A1148))</f>
        <v/>
      </c>
      <c r="W1148" s="9">
        <f>IF(OR(U1148="",V1148=""),"",U1148+V1148)</f>
        <v/>
      </c>
      <c r="X1148" s="25">
        <f>IF(W1148="","",U1148/W1148)</f>
        <v/>
      </c>
      <c r="Y1148" s="25">
        <f>IF(W1148="","",V1148/W1148)</f>
        <v/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19">
        <f>IF(G1149="","",E1149/G1149)</f>
        <v/>
      </c>
      <c r="I1149" s="19">
        <f>IF(G1149="","",F1149/G1149)</f>
        <v/>
      </c>
      <c r="J1149" s="26">
        <f>IFERROR(IF(OR(E1149="",INDEX(E:E,MATCH(DATE(YEAR($A1149)-1,MONTH($A1149),DAY($A1149)),$A:$A,0))=""),"",E1149/INDEX(E:E,MATCH(DATE(YEAR($A1149)-1,MONTH($A1149),DAY($A1149)),$A:$A,0))-1),"")</f>
        <v/>
      </c>
      <c r="K1149" s="19">
        <f>IFERROR(IF(OR(F1149="",INDEX(F:F,MATCH(DATE(YEAR($A1149)-1,MONTH($A1149),DAY($A1149)),$A:$A,0))=""),"",F1149/INDEX(F:F,MATCH(DATE(YEAR($A1149)-1,MONTH($A1149),DAY($A1149)),$A:$A,0))-1),"")</f>
        <v/>
      </c>
      <c r="L1149" s="19">
        <f>IFERROR(IF(OR(G1149="",INDEX(G:G,MATCH(DATE(YEAR($A1149)-1,MONTH($A1149),DAY($A1149)),$A:$A,0))=""),"",G1149/INDEX(G:G,MATCH(DATE(YEAR($A1149)-1,MONTH($A1149),DAY($A1149)),$A:$A,0))-1),"")</f>
        <v/>
      </c>
      <c r="M1149" s="19">
        <f>IF(OR(E1149="",E1148=""),"",E1149/E1148-1)</f>
        <v/>
      </c>
      <c r="N1149" s="19">
        <f>IF(OR(F1149="",F1148=""),"",F1149/F1148-1)</f>
        <v/>
      </c>
      <c r="O1149" s="19">
        <f>IF(OR(G1149="",G1148=""),"",G1149/G1148-1)</f>
        <v/>
      </c>
      <c r="P1149" s="22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IF(R1149="","",P1149/R1149)</f>
        <v/>
      </c>
      <c r="T1149" s="23">
        <f>IF(R1149="","",Q1149/R1149)</f>
        <v/>
      </c>
      <c r="U1149" s="24">
        <f>IF(SUMIFS('Daily NSE Equity Options'!$M:$M,'Daily NSE Equity Options'!$A:$A,$A1149)=0,"",SUMIFS('Daily NSE Equity Options'!$M:$M,'Daily NSE Equity Options'!$A:$A,$A1149))</f>
        <v/>
      </c>
      <c r="V1149" s="9">
        <f>IF(SUMIFS('Daily BSE Equity Options'!$M:$M,'Daily BSE Equity Options'!$A:$A,$A1149)=0,"",SUMIFS('Daily BSE Equity Options'!$M:$M,'Daily BSE Equity Options'!$A:$A,$A1149))</f>
        <v/>
      </c>
      <c r="W1149" s="9">
        <f>IF(OR(U1149="",V1149=""),"",U1149+V1149)</f>
        <v/>
      </c>
      <c r="X1149" s="25">
        <f>IF(W1149="","",U1149/W1149)</f>
        <v/>
      </c>
      <c r="Y1149" s="25">
        <f>IF(W1149="","",V1149/W1149)</f>
        <v/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19">
        <f>IF(G1150="","",E1150/G1150)</f>
        <v/>
      </c>
      <c r="I1150" s="19">
        <f>IF(G1150="","",F1150/G1150)</f>
        <v/>
      </c>
      <c r="J1150" s="26">
        <f>IFERROR(IF(OR(E1150="",INDEX(E:E,MATCH(DATE(YEAR($A1150)-1,MONTH($A1150),DAY($A1150)),$A:$A,0))=""),"",E1150/INDEX(E:E,MATCH(DATE(YEAR($A1150)-1,MONTH($A1150),DAY($A1150)),$A:$A,0))-1),"")</f>
        <v/>
      </c>
      <c r="K1150" s="19">
        <f>IFERROR(IF(OR(F1150="",INDEX(F:F,MATCH(DATE(YEAR($A1150)-1,MONTH($A1150),DAY($A1150)),$A:$A,0))=""),"",F1150/INDEX(F:F,MATCH(DATE(YEAR($A1150)-1,MONTH($A1150),DAY($A1150)),$A:$A,0))-1),"")</f>
        <v/>
      </c>
      <c r="L1150" s="19">
        <f>IFERROR(IF(OR(G1150="",INDEX(G:G,MATCH(DATE(YEAR($A1150)-1,MONTH($A1150),DAY($A1150)),$A:$A,0))=""),"",G1150/INDEX(G:G,MATCH(DATE(YEAR($A1150)-1,MONTH($A1150),DAY($A1150)),$A:$A,0))-1),"")</f>
        <v/>
      </c>
      <c r="M1150" s="19">
        <f>IF(OR(E1150="",E1149=""),"",E1150/E1149-1)</f>
        <v/>
      </c>
      <c r="N1150" s="19">
        <f>IF(OR(F1150="",F1149=""),"",F1150/F1149-1)</f>
        <v/>
      </c>
      <c r="O1150" s="19">
        <f>IF(OR(G1150="",G1149=""),"",G1150/G1149-1)</f>
        <v/>
      </c>
      <c r="P1150" s="22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IF(R1150="","",P1150/R1150)</f>
        <v/>
      </c>
      <c r="T1150" s="23">
        <f>IF(R1150="","",Q1150/R1150)</f>
        <v/>
      </c>
      <c r="U1150" s="24">
        <f>IF(SUMIFS('Daily NSE Equity Options'!$M:$M,'Daily NSE Equity Options'!$A:$A,$A1150)=0,"",SUMIFS('Daily NSE Equity Options'!$M:$M,'Daily NSE Equity Options'!$A:$A,$A1150))</f>
        <v/>
      </c>
      <c r="V1150" s="9">
        <f>IF(SUMIFS('Daily BSE Equity Options'!$M:$M,'Daily BSE Equity Options'!$A:$A,$A1150)=0,"",SUMIFS('Daily BSE Equity Options'!$M:$M,'Daily BSE Equity Options'!$A:$A,$A1150))</f>
        <v/>
      </c>
      <c r="W1150" s="9">
        <f>IF(OR(U1150="",V1150=""),"",U1150+V1150)</f>
        <v/>
      </c>
      <c r="X1150" s="25">
        <f>IF(W1150="","",U1150/W1150)</f>
        <v/>
      </c>
      <c r="Y1150" s="25">
        <f>IF(W1150="","",V1150/W1150)</f>
        <v/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19">
        <f>IF(G1151="","",E1151/G1151)</f>
        <v/>
      </c>
      <c r="I1151" s="19">
        <f>IF(G1151="","",F1151/G1151)</f>
        <v/>
      </c>
      <c r="J1151" s="26">
        <f>IFERROR(IF(OR(E1151="",INDEX(E:E,MATCH(DATE(YEAR($A1151)-1,MONTH($A1151),DAY($A1151)),$A:$A,0))=""),"",E1151/INDEX(E:E,MATCH(DATE(YEAR($A1151)-1,MONTH($A1151),DAY($A1151)),$A:$A,0))-1),"")</f>
        <v/>
      </c>
      <c r="K1151" s="19">
        <f>IFERROR(IF(OR(F1151="",INDEX(F:F,MATCH(DATE(YEAR($A1151)-1,MONTH($A1151),DAY($A1151)),$A:$A,0))=""),"",F1151/INDEX(F:F,MATCH(DATE(YEAR($A1151)-1,MONTH($A1151),DAY($A1151)),$A:$A,0))-1),"")</f>
        <v/>
      </c>
      <c r="L1151" s="19">
        <f>IFERROR(IF(OR(G1151="",INDEX(G:G,MATCH(DATE(YEAR($A1151)-1,MONTH($A1151),DAY($A1151)),$A:$A,0))=""),"",G1151/INDEX(G:G,MATCH(DATE(YEAR($A1151)-1,MONTH($A1151),DAY($A1151)),$A:$A,0))-1),"")</f>
        <v/>
      </c>
      <c r="M1151" s="19">
        <f>IF(OR(E1151="",E1150=""),"",E1151/E1150-1)</f>
        <v/>
      </c>
      <c r="N1151" s="19">
        <f>IF(OR(F1151="",F1150=""),"",F1151/F1150-1)</f>
        <v/>
      </c>
      <c r="O1151" s="19">
        <f>IF(OR(G1151="",G1150=""),"",G1151/G1150-1)</f>
        <v/>
      </c>
      <c r="P1151" s="22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IF(R1151="","",P1151/R1151)</f>
        <v/>
      </c>
      <c r="T1151" s="23">
        <f>IF(R1151="","",Q1151/R1151)</f>
        <v/>
      </c>
      <c r="U1151" s="24">
        <f>IF(SUMIFS('Daily NSE Equity Options'!$M:$M,'Daily NSE Equity Options'!$A:$A,$A1151)=0,"",SUMIFS('Daily NSE Equity Options'!$M:$M,'Daily NSE Equity Options'!$A:$A,$A1151))</f>
        <v/>
      </c>
      <c r="V1151" s="9">
        <f>IF(SUMIFS('Daily BSE Equity Options'!$M:$M,'Daily BSE Equity Options'!$A:$A,$A1151)=0,"",SUMIFS('Daily BSE Equity Options'!$M:$M,'Daily BSE Equity Options'!$A:$A,$A1151))</f>
        <v/>
      </c>
      <c r="W1151" s="9">
        <f>IF(OR(U1151="",V1151=""),"",U1151+V1151)</f>
        <v/>
      </c>
      <c r="X1151" s="25">
        <f>IF(W1151="","",U1151/W1151)</f>
        <v/>
      </c>
      <c r="Y1151" s="25">
        <f>IF(W1151="","",V1151/W1151)</f>
        <v/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19">
        <f>IF(G1152="","",E1152/G1152)</f>
        <v/>
      </c>
      <c r="I1152" s="19">
        <f>IF(G1152="","",F1152/G1152)</f>
        <v/>
      </c>
      <c r="J1152" s="26">
        <f>IFERROR(IF(OR(E1152="",INDEX(E:E,MATCH(DATE(YEAR($A1152)-1,MONTH($A1152),DAY($A1152)),$A:$A,0))=""),"",E1152/INDEX(E:E,MATCH(DATE(YEAR($A1152)-1,MONTH($A1152),DAY($A1152)),$A:$A,0))-1),"")</f>
        <v/>
      </c>
      <c r="K1152" s="19">
        <f>IFERROR(IF(OR(F1152="",INDEX(F:F,MATCH(DATE(YEAR($A1152)-1,MONTH($A1152),DAY($A1152)),$A:$A,0))=""),"",F1152/INDEX(F:F,MATCH(DATE(YEAR($A1152)-1,MONTH($A1152),DAY($A1152)),$A:$A,0))-1),"")</f>
        <v/>
      </c>
      <c r="L1152" s="19">
        <f>IFERROR(IF(OR(G1152="",INDEX(G:G,MATCH(DATE(YEAR($A1152)-1,MONTH($A1152),DAY($A1152)),$A:$A,0))=""),"",G1152/INDEX(G:G,MATCH(DATE(YEAR($A1152)-1,MONTH($A1152),DAY($A1152)),$A:$A,0))-1),"")</f>
        <v/>
      </c>
      <c r="M1152" s="19">
        <f>IF(OR(E1152="",E1151=""),"",E1152/E1151-1)</f>
        <v/>
      </c>
      <c r="N1152" s="19">
        <f>IF(OR(F1152="",F1151=""),"",F1152/F1151-1)</f>
        <v/>
      </c>
      <c r="O1152" s="19">
        <f>IF(OR(G1152="",G1151=""),"",G1152/G1151-1)</f>
        <v/>
      </c>
      <c r="P1152" s="22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IF(R1152="","",P1152/R1152)</f>
        <v/>
      </c>
      <c r="T1152" s="23">
        <f>IF(R1152="","",Q1152/R1152)</f>
        <v/>
      </c>
      <c r="U1152" s="24">
        <f>IF(SUMIFS('Daily NSE Equity Options'!$M:$M,'Daily NSE Equity Options'!$A:$A,$A1152)=0,"",SUMIFS('Daily NSE Equity Options'!$M:$M,'Daily NSE Equity Options'!$A:$A,$A1152))</f>
        <v/>
      </c>
      <c r="V1152" s="9">
        <f>IF(SUMIFS('Daily BSE Equity Options'!$M:$M,'Daily BSE Equity Options'!$A:$A,$A1152)=0,"",SUMIFS('Daily BSE Equity Options'!$M:$M,'Daily BSE Equity Options'!$A:$A,$A1152))</f>
        <v/>
      </c>
      <c r="W1152" s="9">
        <f>IF(OR(U1152="",V1152=""),"",U1152+V1152)</f>
        <v/>
      </c>
      <c r="X1152" s="25">
        <f>IF(W1152="","",U1152/W1152)</f>
        <v/>
      </c>
      <c r="Y1152" s="25">
        <f>IF(W1152="","",V1152/W1152)</f>
        <v/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19">
        <f>IF(G1153="","",E1153/G1153)</f>
        <v/>
      </c>
      <c r="I1153" s="19">
        <f>IF(G1153="","",F1153/G1153)</f>
        <v/>
      </c>
      <c r="J1153" s="26">
        <f>IFERROR(IF(OR(E1153="",INDEX(E:E,MATCH(DATE(YEAR($A1153)-1,MONTH($A1153),DAY($A1153)),$A:$A,0))=""),"",E1153/INDEX(E:E,MATCH(DATE(YEAR($A1153)-1,MONTH($A1153),DAY($A1153)),$A:$A,0))-1),"")</f>
        <v/>
      </c>
      <c r="K1153" s="19">
        <f>IFERROR(IF(OR(F1153="",INDEX(F:F,MATCH(DATE(YEAR($A1153)-1,MONTH($A1153),DAY($A1153)),$A:$A,0))=""),"",F1153/INDEX(F:F,MATCH(DATE(YEAR($A1153)-1,MONTH($A1153),DAY($A1153)),$A:$A,0))-1),"")</f>
        <v/>
      </c>
      <c r="L1153" s="19">
        <f>IFERROR(IF(OR(G1153="",INDEX(G:G,MATCH(DATE(YEAR($A1153)-1,MONTH($A1153),DAY($A1153)),$A:$A,0))=""),"",G1153/INDEX(G:G,MATCH(DATE(YEAR($A1153)-1,MONTH($A1153),DAY($A1153)),$A:$A,0))-1),"")</f>
        <v/>
      </c>
      <c r="M1153" s="19">
        <f>IF(OR(E1153="",E1152=""),"",E1153/E1152-1)</f>
        <v/>
      </c>
      <c r="N1153" s="19">
        <f>IF(OR(F1153="",F1152=""),"",F1153/F1152-1)</f>
        <v/>
      </c>
      <c r="O1153" s="19">
        <f>IF(OR(G1153="",G1152=""),"",G1153/G1152-1)</f>
        <v/>
      </c>
      <c r="P1153" s="22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IF(R1153="","",P1153/R1153)</f>
        <v/>
      </c>
      <c r="T1153" s="23">
        <f>IF(R1153="","",Q1153/R1153)</f>
        <v/>
      </c>
      <c r="U1153" s="24">
        <f>IF(SUMIFS('Daily NSE Equity Options'!$M:$M,'Daily NSE Equity Options'!$A:$A,$A1153)=0,"",SUMIFS('Daily NSE Equity Options'!$M:$M,'Daily NSE Equity Options'!$A:$A,$A1153))</f>
        <v/>
      </c>
      <c r="V1153" s="9">
        <f>IF(SUMIFS('Daily BSE Equity Options'!$M:$M,'Daily BSE Equity Options'!$A:$A,$A1153)=0,"",SUMIFS('Daily BSE Equity Options'!$M:$M,'Daily BSE Equity Options'!$A:$A,$A1153))</f>
        <v/>
      </c>
      <c r="W1153" s="9">
        <f>IF(OR(U1153="",V1153=""),"",U1153+V1153)</f>
        <v/>
      </c>
      <c r="X1153" s="25">
        <f>IF(W1153="","",U1153/W1153)</f>
        <v/>
      </c>
      <c r="Y1153" s="25">
        <f>IF(W1153="","",V1153/W1153)</f>
        <v/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19">
        <f>IF(G1154="","",E1154/G1154)</f>
        <v/>
      </c>
      <c r="I1154" s="19">
        <f>IF(G1154="","",F1154/G1154)</f>
        <v/>
      </c>
      <c r="J1154" s="26">
        <f>IFERROR(IF(OR(E1154="",INDEX(E:E,MATCH(DATE(YEAR($A1154)-1,MONTH($A1154),DAY($A1154)),$A:$A,0))=""),"",E1154/INDEX(E:E,MATCH(DATE(YEAR($A1154)-1,MONTH($A1154),DAY($A1154)),$A:$A,0))-1),"")</f>
        <v/>
      </c>
      <c r="K1154" s="19">
        <f>IFERROR(IF(OR(F1154="",INDEX(F:F,MATCH(DATE(YEAR($A1154)-1,MONTH($A1154),DAY($A1154)),$A:$A,0))=""),"",F1154/INDEX(F:F,MATCH(DATE(YEAR($A1154)-1,MONTH($A1154),DAY($A1154)),$A:$A,0))-1),"")</f>
        <v/>
      </c>
      <c r="L1154" s="19">
        <f>IFERROR(IF(OR(G1154="",INDEX(G:G,MATCH(DATE(YEAR($A1154)-1,MONTH($A1154),DAY($A1154)),$A:$A,0))=""),"",G1154/INDEX(G:G,MATCH(DATE(YEAR($A1154)-1,MONTH($A1154),DAY($A1154)),$A:$A,0))-1),"")</f>
        <v/>
      </c>
      <c r="M1154" s="19">
        <f>IF(OR(E1154="",E1153=""),"",E1154/E1153-1)</f>
        <v/>
      </c>
      <c r="N1154" s="19">
        <f>IF(OR(F1154="",F1153=""),"",F1154/F1153-1)</f>
        <v/>
      </c>
      <c r="O1154" s="19">
        <f>IF(OR(G1154="",G1153=""),"",G1154/G1153-1)</f>
        <v/>
      </c>
      <c r="P1154" s="22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IF(R1154="","",P1154/R1154)</f>
        <v/>
      </c>
      <c r="T1154" s="23">
        <f>IF(R1154="","",Q1154/R1154)</f>
        <v/>
      </c>
      <c r="U1154" s="24">
        <f>IF(SUMIFS('Daily NSE Equity Options'!$M:$M,'Daily NSE Equity Options'!$A:$A,$A1154)=0,"",SUMIFS('Daily NSE Equity Options'!$M:$M,'Daily NSE Equity Options'!$A:$A,$A1154))</f>
        <v/>
      </c>
      <c r="V1154" s="9">
        <f>IF(SUMIFS('Daily BSE Equity Options'!$M:$M,'Daily BSE Equity Options'!$A:$A,$A1154)=0,"",SUMIFS('Daily BSE Equity Options'!$M:$M,'Daily BSE Equity Options'!$A:$A,$A1154))</f>
        <v/>
      </c>
      <c r="W1154" s="9">
        <f>IF(OR(U1154="",V1154=""),"",U1154+V1154)</f>
        <v/>
      </c>
      <c r="X1154" s="25">
        <f>IF(W1154="","",U1154/W1154)</f>
        <v/>
      </c>
      <c r="Y1154" s="25">
        <f>IF(W1154="","",V1154/W1154)</f>
        <v/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19">
        <f>IF(G1155="","",E1155/G1155)</f>
        <v/>
      </c>
      <c r="I1155" s="19">
        <f>IF(G1155="","",F1155/G1155)</f>
        <v/>
      </c>
      <c r="J1155" s="26">
        <f>IFERROR(IF(OR(E1155="",INDEX(E:E,MATCH(DATE(YEAR($A1155)-1,MONTH($A1155),DAY($A1155)),$A:$A,0))=""),"",E1155/INDEX(E:E,MATCH(DATE(YEAR($A1155)-1,MONTH($A1155),DAY($A1155)),$A:$A,0))-1),"")</f>
        <v/>
      </c>
      <c r="K1155" s="19">
        <f>IFERROR(IF(OR(F1155="",INDEX(F:F,MATCH(DATE(YEAR($A1155)-1,MONTH($A1155),DAY($A1155)),$A:$A,0))=""),"",F1155/INDEX(F:F,MATCH(DATE(YEAR($A1155)-1,MONTH($A1155),DAY($A1155)),$A:$A,0))-1),"")</f>
        <v/>
      </c>
      <c r="L1155" s="19">
        <f>IFERROR(IF(OR(G1155="",INDEX(G:G,MATCH(DATE(YEAR($A1155)-1,MONTH($A1155),DAY($A1155)),$A:$A,0))=""),"",G1155/INDEX(G:G,MATCH(DATE(YEAR($A1155)-1,MONTH($A1155),DAY($A1155)),$A:$A,0))-1),"")</f>
        <v/>
      </c>
      <c r="M1155" s="19">
        <f>IF(OR(E1155="",E1154=""),"",E1155/E1154-1)</f>
        <v/>
      </c>
      <c r="N1155" s="19">
        <f>IF(OR(F1155="",F1154=""),"",F1155/F1154-1)</f>
        <v/>
      </c>
      <c r="O1155" s="19">
        <f>IF(OR(G1155="",G1154=""),"",G1155/G1154-1)</f>
        <v/>
      </c>
      <c r="P1155" s="22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IF(R1155="","",P1155/R1155)</f>
        <v/>
      </c>
      <c r="T1155" s="23">
        <f>IF(R1155="","",Q1155/R1155)</f>
        <v/>
      </c>
      <c r="U1155" s="24">
        <f>IF(SUMIFS('Daily NSE Equity Options'!$M:$M,'Daily NSE Equity Options'!$A:$A,$A1155)=0,"",SUMIFS('Daily NSE Equity Options'!$M:$M,'Daily NSE Equity Options'!$A:$A,$A1155))</f>
        <v/>
      </c>
      <c r="V1155" s="9">
        <f>IF(SUMIFS('Daily BSE Equity Options'!$M:$M,'Daily BSE Equity Options'!$A:$A,$A1155)=0,"",SUMIFS('Daily BSE Equity Options'!$M:$M,'Daily BSE Equity Options'!$A:$A,$A1155))</f>
        <v/>
      </c>
      <c r="W1155" s="9">
        <f>IF(OR(U1155="",V1155=""),"",U1155+V1155)</f>
        <v/>
      </c>
      <c r="X1155" s="25">
        <f>IF(W1155="","",U1155/W1155)</f>
        <v/>
      </c>
      <c r="Y1155" s="25">
        <f>IF(W1155="","",V1155/W1155)</f>
        <v/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19">
        <f>IF(G1156="","",E1156/G1156)</f>
        <v/>
      </c>
      <c r="I1156" s="19">
        <f>IF(G1156="","",F1156/G1156)</f>
        <v/>
      </c>
      <c r="J1156" s="26">
        <f>IFERROR(IF(OR(E1156="",INDEX(E:E,MATCH(DATE(YEAR($A1156)-1,MONTH($A1156),DAY($A1156)),$A:$A,0))=""),"",E1156/INDEX(E:E,MATCH(DATE(YEAR($A1156)-1,MONTH($A1156),DAY($A1156)),$A:$A,0))-1),"")</f>
        <v/>
      </c>
      <c r="K1156" s="19">
        <f>IFERROR(IF(OR(F1156="",INDEX(F:F,MATCH(DATE(YEAR($A1156)-1,MONTH($A1156),DAY($A1156)),$A:$A,0))=""),"",F1156/INDEX(F:F,MATCH(DATE(YEAR($A1156)-1,MONTH($A1156),DAY($A1156)),$A:$A,0))-1),"")</f>
        <v/>
      </c>
      <c r="L1156" s="19">
        <f>IFERROR(IF(OR(G1156="",INDEX(G:G,MATCH(DATE(YEAR($A1156)-1,MONTH($A1156),DAY($A1156)),$A:$A,0))=""),"",G1156/INDEX(G:G,MATCH(DATE(YEAR($A1156)-1,MONTH($A1156),DAY($A1156)),$A:$A,0))-1),"")</f>
        <v/>
      </c>
      <c r="M1156" s="19">
        <f>IF(OR(E1156="",E1155=""),"",E1156/E1155-1)</f>
        <v/>
      </c>
      <c r="N1156" s="19">
        <f>IF(OR(F1156="",F1155=""),"",F1156/F1155-1)</f>
        <v/>
      </c>
      <c r="O1156" s="19">
        <f>IF(OR(G1156="",G1155=""),"",G1156/G1155-1)</f>
        <v/>
      </c>
      <c r="P1156" s="22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IF(R1156="","",P1156/R1156)</f>
        <v/>
      </c>
      <c r="T1156" s="23">
        <f>IF(R1156="","",Q1156/R1156)</f>
        <v/>
      </c>
      <c r="U1156" s="24">
        <f>IF(SUMIFS('Daily NSE Equity Options'!$M:$M,'Daily NSE Equity Options'!$A:$A,$A1156)=0,"",SUMIFS('Daily NSE Equity Options'!$M:$M,'Daily NSE Equity Options'!$A:$A,$A1156))</f>
        <v/>
      </c>
      <c r="V1156" s="9">
        <f>IF(SUMIFS('Daily BSE Equity Options'!$M:$M,'Daily BSE Equity Options'!$A:$A,$A1156)=0,"",SUMIFS('Daily BSE Equity Options'!$M:$M,'Daily BSE Equity Options'!$A:$A,$A1156))</f>
        <v/>
      </c>
      <c r="W1156" s="9">
        <f>IF(OR(U1156="",V1156=""),"",U1156+V1156)</f>
        <v/>
      </c>
      <c r="X1156" s="25">
        <f>IF(W1156="","",U1156/W1156)</f>
        <v/>
      </c>
      <c r="Y1156" s="25">
        <f>IF(W1156="","",V1156/W1156)</f>
        <v/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19">
        <f>IF(G1157="","",E1157/G1157)</f>
        <v/>
      </c>
      <c r="I1157" s="19">
        <f>IF(G1157="","",F1157/G1157)</f>
        <v/>
      </c>
      <c r="J1157" s="26">
        <f>IFERROR(IF(OR(E1157="",INDEX(E:E,MATCH(DATE(YEAR($A1157)-1,MONTH($A1157),DAY($A1157)),$A:$A,0))=""),"",E1157/INDEX(E:E,MATCH(DATE(YEAR($A1157)-1,MONTH($A1157),DAY($A1157)),$A:$A,0))-1),"")</f>
        <v/>
      </c>
      <c r="K1157" s="19">
        <f>IFERROR(IF(OR(F1157="",INDEX(F:F,MATCH(DATE(YEAR($A1157)-1,MONTH($A1157),DAY($A1157)),$A:$A,0))=""),"",F1157/INDEX(F:F,MATCH(DATE(YEAR($A1157)-1,MONTH($A1157),DAY($A1157)),$A:$A,0))-1),"")</f>
        <v/>
      </c>
      <c r="L1157" s="19">
        <f>IFERROR(IF(OR(G1157="",INDEX(G:G,MATCH(DATE(YEAR($A1157)-1,MONTH($A1157),DAY($A1157)),$A:$A,0))=""),"",G1157/INDEX(G:G,MATCH(DATE(YEAR($A1157)-1,MONTH($A1157),DAY($A1157)),$A:$A,0))-1),"")</f>
        <v/>
      </c>
      <c r="M1157" s="19">
        <f>IF(OR(E1157="",E1156=""),"",E1157/E1156-1)</f>
        <v/>
      </c>
      <c r="N1157" s="19">
        <f>IF(OR(F1157="",F1156=""),"",F1157/F1156-1)</f>
        <v/>
      </c>
      <c r="O1157" s="19">
        <f>IF(OR(G1157="",G1156=""),"",G1157/G1156-1)</f>
        <v/>
      </c>
      <c r="P1157" s="22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IF(R1157="","",P1157/R1157)</f>
        <v/>
      </c>
      <c r="T1157" s="23">
        <f>IF(R1157="","",Q1157/R1157)</f>
        <v/>
      </c>
      <c r="U1157" s="24">
        <f>IF(SUMIFS('Daily NSE Equity Options'!$M:$M,'Daily NSE Equity Options'!$A:$A,$A1157)=0,"",SUMIFS('Daily NSE Equity Options'!$M:$M,'Daily NSE Equity Options'!$A:$A,$A1157))</f>
        <v/>
      </c>
      <c r="V1157" s="9">
        <f>IF(SUMIFS('Daily BSE Equity Options'!$M:$M,'Daily BSE Equity Options'!$A:$A,$A1157)=0,"",SUMIFS('Daily BSE Equity Options'!$M:$M,'Daily BSE Equity Options'!$A:$A,$A1157))</f>
        <v/>
      </c>
      <c r="W1157" s="9">
        <f>IF(OR(U1157="",V1157=""),"",U1157+V1157)</f>
        <v/>
      </c>
      <c r="X1157" s="25">
        <f>IF(W1157="","",U1157/W1157)</f>
        <v/>
      </c>
      <c r="Y1157" s="25">
        <f>IF(W1157="","",V1157/W1157)</f>
        <v/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19">
        <f>IF(G1158="","",E1158/G1158)</f>
        <v/>
      </c>
      <c r="I1158" s="19">
        <f>IF(G1158="","",F1158/G1158)</f>
        <v/>
      </c>
      <c r="J1158" s="26">
        <f>IFERROR(IF(OR(E1158="",INDEX(E:E,MATCH(DATE(YEAR($A1158)-1,MONTH($A1158),DAY($A1158)),$A:$A,0))=""),"",E1158/INDEX(E:E,MATCH(DATE(YEAR($A1158)-1,MONTH($A1158),DAY($A1158)),$A:$A,0))-1),"")</f>
        <v/>
      </c>
      <c r="K1158" s="19">
        <f>IFERROR(IF(OR(F1158="",INDEX(F:F,MATCH(DATE(YEAR($A1158)-1,MONTH($A1158),DAY($A1158)),$A:$A,0))=""),"",F1158/INDEX(F:F,MATCH(DATE(YEAR($A1158)-1,MONTH($A1158),DAY($A1158)),$A:$A,0))-1),"")</f>
        <v/>
      </c>
      <c r="L1158" s="19">
        <f>IFERROR(IF(OR(G1158="",INDEX(G:G,MATCH(DATE(YEAR($A1158)-1,MONTH($A1158),DAY($A1158)),$A:$A,0))=""),"",G1158/INDEX(G:G,MATCH(DATE(YEAR($A1158)-1,MONTH($A1158),DAY($A1158)),$A:$A,0))-1),"")</f>
        <v/>
      </c>
      <c r="M1158" s="19">
        <f>IF(OR(E1158="",E1157=""),"",E1158/E1157-1)</f>
        <v/>
      </c>
      <c r="N1158" s="19">
        <f>IF(OR(F1158="",F1157=""),"",F1158/F1157-1)</f>
        <v/>
      </c>
      <c r="O1158" s="19">
        <f>IF(OR(G1158="",G1157=""),"",G1158/G1157-1)</f>
        <v/>
      </c>
      <c r="P1158" s="22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IF(R1158="","",P1158/R1158)</f>
        <v/>
      </c>
      <c r="T1158" s="23">
        <f>IF(R1158="","",Q1158/R1158)</f>
        <v/>
      </c>
      <c r="U1158" s="24">
        <f>IF(SUMIFS('Daily NSE Equity Options'!$M:$M,'Daily NSE Equity Options'!$A:$A,$A1158)=0,"",SUMIFS('Daily NSE Equity Options'!$M:$M,'Daily NSE Equity Options'!$A:$A,$A1158))</f>
        <v/>
      </c>
      <c r="V1158" s="9">
        <f>IF(SUMIFS('Daily BSE Equity Options'!$M:$M,'Daily BSE Equity Options'!$A:$A,$A1158)=0,"",SUMIFS('Daily BSE Equity Options'!$M:$M,'Daily BSE Equity Options'!$A:$A,$A1158))</f>
        <v/>
      </c>
      <c r="W1158" s="9">
        <f>IF(OR(U1158="",V1158=""),"",U1158+V1158)</f>
        <v/>
      </c>
      <c r="X1158" s="25">
        <f>IF(W1158="","",U1158/W1158)</f>
        <v/>
      </c>
      <c r="Y1158" s="25">
        <f>IF(W1158="","",V1158/W1158)</f>
        <v/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19">
        <f>IF(G1159="","",E1159/G1159)</f>
        <v/>
      </c>
      <c r="I1159" s="19">
        <f>IF(G1159="","",F1159/G1159)</f>
        <v/>
      </c>
      <c r="J1159" s="26">
        <f>IFERROR(IF(OR(E1159="",INDEX(E:E,MATCH(DATE(YEAR($A1159)-1,MONTH($A1159),DAY($A1159)),$A:$A,0))=""),"",E1159/INDEX(E:E,MATCH(DATE(YEAR($A1159)-1,MONTH($A1159),DAY($A1159)),$A:$A,0))-1),"")</f>
        <v/>
      </c>
      <c r="K1159" s="19">
        <f>IFERROR(IF(OR(F1159="",INDEX(F:F,MATCH(DATE(YEAR($A1159)-1,MONTH($A1159),DAY($A1159)),$A:$A,0))=""),"",F1159/INDEX(F:F,MATCH(DATE(YEAR($A1159)-1,MONTH($A1159),DAY($A1159)),$A:$A,0))-1),"")</f>
        <v/>
      </c>
      <c r="L1159" s="19">
        <f>IFERROR(IF(OR(G1159="",INDEX(G:G,MATCH(DATE(YEAR($A1159)-1,MONTH($A1159),DAY($A1159)),$A:$A,0))=""),"",G1159/INDEX(G:G,MATCH(DATE(YEAR($A1159)-1,MONTH($A1159),DAY($A1159)),$A:$A,0))-1),"")</f>
        <v/>
      </c>
      <c r="M1159" s="19">
        <f>IF(OR(E1159="",E1158=""),"",E1159/E1158-1)</f>
        <v/>
      </c>
      <c r="N1159" s="19">
        <f>IF(OR(F1159="",F1158=""),"",F1159/F1158-1)</f>
        <v/>
      </c>
      <c r="O1159" s="19">
        <f>IF(OR(G1159="",G1158=""),"",G1159/G1158-1)</f>
        <v/>
      </c>
      <c r="P1159" s="22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IF(R1159="","",P1159/R1159)</f>
        <v/>
      </c>
      <c r="T1159" s="23">
        <f>IF(R1159="","",Q1159/R1159)</f>
        <v/>
      </c>
      <c r="U1159" s="24">
        <f>IF(SUMIFS('Daily NSE Equity Options'!$M:$M,'Daily NSE Equity Options'!$A:$A,$A1159)=0,"",SUMIFS('Daily NSE Equity Options'!$M:$M,'Daily NSE Equity Options'!$A:$A,$A1159))</f>
        <v/>
      </c>
      <c r="V1159" s="9">
        <f>IF(SUMIFS('Daily BSE Equity Options'!$M:$M,'Daily BSE Equity Options'!$A:$A,$A1159)=0,"",SUMIFS('Daily BSE Equity Options'!$M:$M,'Daily BSE Equity Options'!$A:$A,$A1159))</f>
        <v/>
      </c>
      <c r="W1159" s="9">
        <f>IF(OR(U1159="",V1159=""),"",U1159+V1159)</f>
        <v/>
      </c>
      <c r="X1159" s="25">
        <f>IF(W1159="","",U1159/W1159)</f>
        <v/>
      </c>
      <c r="Y1159" s="25">
        <f>IF(W1159="","",V1159/W1159)</f>
        <v/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19">
        <f>IF(G1160="","",E1160/G1160)</f>
        <v/>
      </c>
      <c r="I1160" s="19">
        <f>IF(G1160="","",F1160/G1160)</f>
        <v/>
      </c>
      <c r="J1160" s="26">
        <f>IFERROR(IF(OR(E1160="",INDEX(E:E,MATCH(DATE(YEAR($A1160)-1,MONTH($A1160),DAY($A1160)),$A:$A,0))=""),"",E1160/INDEX(E:E,MATCH(DATE(YEAR($A1160)-1,MONTH($A1160),DAY($A1160)),$A:$A,0))-1),"")</f>
        <v/>
      </c>
      <c r="K1160" s="19">
        <f>IFERROR(IF(OR(F1160="",INDEX(F:F,MATCH(DATE(YEAR($A1160)-1,MONTH($A1160),DAY($A1160)),$A:$A,0))=""),"",F1160/INDEX(F:F,MATCH(DATE(YEAR($A1160)-1,MONTH($A1160),DAY($A1160)),$A:$A,0))-1),"")</f>
        <v/>
      </c>
      <c r="L1160" s="19">
        <f>IFERROR(IF(OR(G1160="",INDEX(G:G,MATCH(DATE(YEAR($A1160)-1,MONTH($A1160),DAY($A1160)),$A:$A,0))=""),"",G1160/INDEX(G:G,MATCH(DATE(YEAR($A1160)-1,MONTH($A1160),DAY($A1160)),$A:$A,0))-1),"")</f>
        <v/>
      </c>
      <c r="M1160" s="19">
        <f>IF(OR(E1160="",E1159=""),"",E1160/E1159-1)</f>
        <v/>
      </c>
      <c r="N1160" s="19">
        <f>IF(OR(F1160="",F1159=""),"",F1160/F1159-1)</f>
        <v/>
      </c>
      <c r="O1160" s="19">
        <f>IF(OR(G1160="",G1159=""),"",G1160/G1159-1)</f>
        <v/>
      </c>
      <c r="P1160" s="22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IF(R1160="","",P1160/R1160)</f>
        <v/>
      </c>
      <c r="T1160" s="23">
        <f>IF(R1160="","",Q1160/R1160)</f>
        <v/>
      </c>
      <c r="U1160" s="24">
        <f>IF(SUMIFS('Daily NSE Equity Options'!$M:$M,'Daily NSE Equity Options'!$A:$A,$A1160)=0,"",SUMIFS('Daily NSE Equity Options'!$M:$M,'Daily NSE Equity Options'!$A:$A,$A1160))</f>
        <v/>
      </c>
      <c r="V1160" s="9">
        <f>IF(SUMIFS('Daily BSE Equity Options'!$M:$M,'Daily BSE Equity Options'!$A:$A,$A1160)=0,"",SUMIFS('Daily BSE Equity Options'!$M:$M,'Daily BSE Equity Options'!$A:$A,$A1160))</f>
        <v/>
      </c>
      <c r="W1160" s="9">
        <f>IF(OR(U1160="",V1160=""),"",U1160+V1160)</f>
        <v/>
      </c>
      <c r="X1160" s="25">
        <f>IF(W1160="","",U1160/W1160)</f>
        <v/>
      </c>
      <c r="Y1160" s="25">
        <f>IF(W1160="","",V1160/W1160)</f>
        <v/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19">
        <f>IF(G1161="","",E1161/G1161)</f>
        <v/>
      </c>
      <c r="I1161" s="19">
        <f>IF(G1161="","",F1161/G1161)</f>
        <v/>
      </c>
      <c r="J1161" s="26">
        <f>IFERROR(IF(OR(E1161="",INDEX(E:E,MATCH(DATE(YEAR($A1161)-1,MONTH($A1161),DAY($A1161)),$A:$A,0))=""),"",E1161/INDEX(E:E,MATCH(DATE(YEAR($A1161)-1,MONTH($A1161),DAY($A1161)),$A:$A,0))-1),"")</f>
        <v/>
      </c>
      <c r="K1161" s="19">
        <f>IFERROR(IF(OR(F1161="",INDEX(F:F,MATCH(DATE(YEAR($A1161)-1,MONTH($A1161),DAY($A1161)),$A:$A,0))=""),"",F1161/INDEX(F:F,MATCH(DATE(YEAR($A1161)-1,MONTH($A1161),DAY($A1161)),$A:$A,0))-1),"")</f>
        <v/>
      </c>
      <c r="L1161" s="19">
        <f>IFERROR(IF(OR(G1161="",INDEX(G:G,MATCH(DATE(YEAR($A1161)-1,MONTH($A1161),DAY($A1161)),$A:$A,0))=""),"",G1161/INDEX(G:G,MATCH(DATE(YEAR($A1161)-1,MONTH($A1161),DAY($A1161)),$A:$A,0))-1),"")</f>
        <v/>
      </c>
      <c r="M1161" s="19">
        <f>IF(OR(E1161="",E1160=""),"",E1161/E1160-1)</f>
        <v/>
      </c>
      <c r="N1161" s="19">
        <f>IF(OR(F1161="",F1160=""),"",F1161/F1160-1)</f>
        <v/>
      </c>
      <c r="O1161" s="19">
        <f>IF(OR(G1161="",G1160=""),"",G1161/G1160-1)</f>
        <v/>
      </c>
      <c r="P1161" s="22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IF(R1161="","",P1161/R1161)</f>
        <v/>
      </c>
      <c r="T1161" s="23">
        <f>IF(R1161="","",Q1161/R1161)</f>
        <v/>
      </c>
      <c r="U1161" s="24">
        <f>IF(SUMIFS('Daily NSE Equity Options'!$M:$M,'Daily NSE Equity Options'!$A:$A,$A1161)=0,"",SUMIFS('Daily NSE Equity Options'!$M:$M,'Daily NSE Equity Options'!$A:$A,$A1161))</f>
        <v/>
      </c>
      <c r="V1161" s="9">
        <f>IF(SUMIFS('Daily BSE Equity Options'!$M:$M,'Daily BSE Equity Options'!$A:$A,$A1161)=0,"",SUMIFS('Daily BSE Equity Options'!$M:$M,'Daily BSE Equity Options'!$A:$A,$A1161))</f>
        <v/>
      </c>
      <c r="W1161" s="9">
        <f>IF(OR(U1161="",V1161=""),"",U1161+V1161)</f>
        <v/>
      </c>
      <c r="X1161" s="25">
        <f>IF(W1161="","",U1161/W1161)</f>
        <v/>
      </c>
      <c r="Y1161" s="25">
        <f>IF(W1161="","",V1161/W1161)</f>
        <v/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19">
        <f>IF(G1162="","",E1162/G1162)</f>
        <v/>
      </c>
      <c r="I1162" s="19">
        <f>IF(G1162="","",F1162/G1162)</f>
        <v/>
      </c>
      <c r="J1162" s="26">
        <f>IFERROR(IF(OR(E1162="",INDEX(E:E,MATCH(DATE(YEAR($A1162)-1,MONTH($A1162),DAY($A1162)),$A:$A,0))=""),"",E1162/INDEX(E:E,MATCH(DATE(YEAR($A1162)-1,MONTH($A1162),DAY($A1162)),$A:$A,0))-1),"")</f>
        <v/>
      </c>
      <c r="K1162" s="19">
        <f>IFERROR(IF(OR(F1162="",INDEX(F:F,MATCH(DATE(YEAR($A1162)-1,MONTH($A1162),DAY($A1162)),$A:$A,0))=""),"",F1162/INDEX(F:F,MATCH(DATE(YEAR($A1162)-1,MONTH($A1162),DAY($A1162)),$A:$A,0))-1),"")</f>
        <v/>
      </c>
      <c r="L1162" s="19">
        <f>IFERROR(IF(OR(G1162="",INDEX(G:G,MATCH(DATE(YEAR($A1162)-1,MONTH($A1162),DAY($A1162)),$A:$A,0))=""),"",G1162/INDEX(G:G,MATCH(DATE(YEAR($A1162)-1,MONTH($A1162),DAY($A1162)),$A:$A,0))-1),"")</f>
        <v/>
      </c>
      <c r="M1162" s="19">
        <f>IF(OR(E1162="",E1161=""),"",E1162/E1161-1)</f>
        <v/>
      </c>
      <c r="N1162" s="19">
        <f>IF(OR(F1162="",F1161=""),"",F1162/F1161-1)</f>
        <v/>
      </c>
      <c r="O1162" s="19">
        <f>IF(OR(G1162="",G1161=""),"",G1162/G1161-1)</f>
        <v/>
      </c>
      <c r="P1162" s="22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IF(R1162="","",P1162/R1162)</f>
        <v/>
      </c>
      <c r="T1162" s="23">
        <f>IF(R1162="","",Q1162/R1162)</f>
        <v/>
      </c>
      <c r="U1162" s="24">
        <f>IF(SUMIFS('Daily NSE Equity Options'!$M:$M,'Daily NSE Equity Options'!$A:$A,$A1162)=0,"",SUMIFS('Daily NSE Equity Options'!$M:$M,'Daily NSE Equity Options'!$A:$A,$A1162))</f>
        <v/>
      </c>
      <c r="V1162" s="9">
        <f>IF(SUMIFS('Daily BSE Equity Options'!$M:$M,'Daily BSE Equity Options'!$A:$A,$A1162)=0,"",SUMIFS('Daily BSE Equity Options'!$M:$M,'Daily BSE Equity Options'!$A:$A,$A1162))</f>
        <v/>
      </c>
      <c r="W1162" s="9">
        <f>IF(OR(U1162="",V1162=""),"",U1162+V1162)</f>
        <v/>
      </c>
      <c r="X1162" s="25">
        <f>IF(W1162="","",U1162/W1162)</f>
        <v/>
      </c>
      <c r="Y1162" s="25">
        <f>IF(W1162="","",V1162/W1162)</f>
        <v/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19">
        <f>IF(G1163="","",E1163/G1163)</f>
        <v/>
      </c>
      <c r="I1163" s="19">
        <f>IF(G1163="","",F1163/G1163)</f>
        <v/>
      </c>
      <c r="J1163" s="26">
        <f>IFERROR(IF(OR(E1163="",INDEX(E:E,MATCH(DATE(YEAR($A1163)-1,MONTH($A1163),DAY($A1163)),$A:$A,0))=""),"",E1163/INDEX(E:E,MATCH(DATE(YEAR($A1163)-1,MONTH($A1163),DAY($A1163)),$A:$A,0))-1),"")</f>
        <v/>
      </c>
      <c r="K1163" s="19">
        <f>IFERROR(IF(OR(F1163="",INDEX(F:F,MATCH(DATE(YEAR($A1163)-1,MONTH($A1163),DAY($A1163)),$A:$A,0))=""),"",F1163/INDEX(F:F,MATCH(DATE(YEAR($A1163)-1,MONTH($A1163),DAY($A1163)),$A:$A,0))-1),"")</f>
        <v/>
      </c>
      <c r="L1163" s="19">
        <f>IFERROR(IF(OR(G1163="",INDEX(G:G,MATCH(DATE(YEAR($A1163)-1,MONTH($A1163),DAY($A1163)),$A:$A,0))=""),"",G1163/INDEX(G:G,MATCH(DATE(YEAR($A1163)-1,MONTH($A1163),DAY($A1163)),$A:$A,0))-1),"")</f>
        <v/>
      </c>
      <c r="M1163" s="19">
        <f>IF(OR(E1163="",E1162=""),"",E1163/E1162-1)</f>
        <v/>
      </c>
      <c r="N1163" s="19">
        <f>IF(OR(F1163="",F1162=""),"",F1163/F1162-1)</f>
        <v/>
      </c>
      <c r="O1163" s="19">
        <f>IF(OR(G1163="",G1162=""),"",G1163/G1162-1)</f>
        <v/>
      </c>
      <c r="P1163" s="22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IF(R1163="","",P1163/R1163)</f>
        <v/>
      </c>
      <c r="T1163" s="23">
        <f>IF(R1163="","",Q1163/R1163)</f>
        <v/>
      </c>
      <c r="U1163" s="24">
        <f>IF(SUMIFS('Daily NSE Equity Options'!$M:$M,'Daily NSE Equity Options'!$A:$A,$A1163)=0,"",SUMIFS('Daily NSE Equity Options'!$M:$M,'Daily NSE Equity Options'!$A:$A,$A1163))</f>
        <v/>
      </c>
      <c r="V1163" s="9">
        <f>IF(SUMIFS('Daily BSE Equity Options'!$M:$M,'Daily BSE Equity Options'!$A:$A,$A1163)=0,"",SUMIFS('Daily BSE Equity Options'!$M:$M,'Daily BSE Equity Options'!$A:$A,$A1163))</f>
        <v/>
      </c>
      <c r="W1163" s="9">
        <f>IF(OR(U1163="",V1163=""),"",U1163+V1163)</f>
        <v/>
      </c>
      <c r="X1163" s="25">
        <f>IF(W1163="","",U1163/W1163)</f>
        <v/>
      </c>
      <c r="Y1163" s="25">
        <f>IF(W1163="","",V1163/W1163)</f>
        <v/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19">
        <f>IF(G1164="","",E1164/G1164)</f>
        <v/>
      </c>
      <c r="I1164" s="19">
        <f>IF(G1164="","",F1164/G1164)</f>
        <v/>
      </c>
      <c r="J1164" s="26">
        <f>IFERROR(IF(OR(E1164="",INDEX(E:E,MATCH(DATE(YEAR($A1164)-1,MONTH($A1164),DAY($A1164)),$A:$A,0))=""),"",E1164/INDEX(E:E,MATCH(DATE(YEAR($A1164)-1,MONTH($A1164),DAY($A1164)),$A:$A,0))-1),"")</f>
        <v/>
      </c>
      <c r="K1164" s="19">
        <f>IFERROR(IF(OR(F1164="",INDEX(F:F,MATCH(DATE(YEAR($A1164)-1,MONTH($A1164),DAY($A1164)),$A:$A,0))=""),"",F1164/INDEX(F:F,MATCH(DATE(YEAR($A1164)-1,MONTH($A1164),DAY($A1164)),$A:$A,0))-1),"")</f>
        <v/>
      </c>
      <c r="L1164" s="19">
        <f>IFERROR(IF(OR(G1164="",INDEX(G:G,MATCH(DATE(YEAR($A1164)-1,MONTH($A1164),DAY($A1164)),$A:$A,0))=""),"",G1164/INDEX(G:G,MATCH(DATE(YEAR($A1164)-1,MONTH($A1164),DAY($A1164)),$A:$A,0))-1),"")</f>
        <v/>
      </c>
      <c r="M1164" s="19">
        <f>IF(OR(E1164="",E1163=""),"",E1164/E1163-1)</f>
        <v/>
      </c>
      <c r="N1164" s="19">
        <f>IF(OR(F1164="",F1163=""),"",F1164/F1163-1)</f>
        <v/>
      </c>
      <c r="O1164" s="19">
        <f>IF(OR(G1164="",G1163=""),"",G1164/G1163-1)</f>
        <v/>
      </c>
      <c r="P1164" s="22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IF(R1164="","",P1164/R1164)</f>
        <v/>
      </c>
      <c r="T1164" s="23">
        <f>IF(R1164="","",Q1164/R1164)</f>
        <v/>
      </c>
      <c r="U1164" s="24">
        <f>IF(SUMIFS('Daily NSE Equity Options'!$M:$M,'Daily NSE Equity Options'!$A:$A,$A1164)=0,"",SUMIFS('Daily NSE Equity Options'!$M:$M,'Daily NSE Equity Options'!$A:$A,$A1164))</f>
        <v/>
      </c>
      <c r="V1164" s="9">
        <f>IF(SUMIFS('Daily BSE Equity Options'!$M:$M,'Daily BSE Equity Options'!$A:$A,$A1164)=0,"",SUMIFS('Daily BSE Equity Options'!$M:$M,'Daily BSE Equity Options'!$A:$A,$A1164))</f>
        <v/>
      </c>
      <c r="W1164" s="9">
        <f>IF(OR(U1164="",V1164=""),"",U1164+V1164)</f>
        <v/>
      </c>
      <c r="X1164" s="25">
        <f>IF(W1164="","",U1164/W1164)</f>
        <v/>
      </c>
      <c r="Y1164" s="25">
        <f>IF(W1164="","",V1164/W1164)</f>
        <v/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19">
        <f>IF(G1165="","",E1165/G1165)</f>
        <v/>
      </c>
      <c r="I1165" s="19">
        <f>IF(G1165="","",F1165/G1165)</f>
        <v/>
      </c>
      <c r="J1165" s="26">
        <f>IFERROR(IF(OR(E1165="",INDEX(E:E,MATCH(DATE(YEAR($A1165)-1,MONTH($A1165),DAY($A1165)),$A:$A,0))=""),"",E1165/INDEX(E:E,MATCH(DATE(YEAR($A1165)-1,MONTH($A1165),DAY($A1165)),$A:$A,0))-1),"")</f>
        <v/>
      </c>
      <c r="K1165" s="19">
        <f>IFERROR(IF(OR(F1165="",INDEX(F:F,MATCH(DATE(YEAR($A1165)-1,MONTH($A1165),DAY($A1165)),$A:$A,0))=""),"",F1165/INDEX(F:F,MATCH(DATE(YEAR($A1165)-1,MONTH($A1165),DAY($A1165)),$A:$A,0))-1),"")</f>
        <v/>
      </c>
      <c r="L1165" s="19">
        <f>IFERROR(IF(OR(G1165="",INDEX(G:G,MATCH(DATE(YEAR($A1165)-1,MONTH($A1165),DAY($A1165)),$A:$A,0))=""),"",G1165/INDEX(G:G,MATCH(DATE(YEAR($A1165)-1,MONTH($A1165),DAY($A1165)),$A:$A,0))-1),"")</f>
        <v/>
      </c>
      <c r="M1165" s="19">
        <f>IF(OR(E1165="",E1164=""),"",E1165/E1164-1)</f>
        <v/>
      </c>
      <c r="N1165" s="19">
        <f>IF(OR(F1165="",F1164=""),"",F1165/F1164-1)</f>
        <v/>
      </c>
      <c r="O1165" s="19">
        <f>IF(OR(G1165="",G1164=""),"",G1165/G1164-1)</f>
        <v/>
      </c>
      <c r="P1165" s="22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IF(R1165="","",P1165/R1165)</f>
        <v/>
      </c>
      <c r="T1165" s="23">
        <f>IF(R1165="","",Q1165/R1165)</f>
        <v/>
      </c>
      <c r="U1165" s="24">
        <f>IF(SUMIFS('Daily NSE Equity Options'!$M:$M,'Daily NSE Equity Options'!$A:$A,$A1165)=0,"",SUMIFS('Daily NSE Equity Options'!$M:$M,'Daily NSE Equity Options'!$A:$A,$A1165))</f>
        <v/>
      </c>
      <c r="V1165" s="9">
        <f>IF(SUMIFS('Daily BSE Equity Options'!$M:$M,'Daily BSE Equity Options'!$A:$A,$A1165)=0,"",SUMIFS('Daily BSE Equity Options'!$M:$M,'Daily BSE Equity Options'!$A:$A,$A1165))</f>
        <v/>
      </c>
      <c r="W1165" s="9">
        <f>IF(OR(U1165="",V1165=""),"",U1165+V1165)</f>
        <v/>
      </c>
      <c r="X1165" s="25">
        <f>IF(W1165="","",U1165/W1165)</f>
        <v/>
      </c>
      <c r="Y1165" s="25">
        <f>IF(W1165="","",V1165/W1165)</f>
        <v/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19">
        <f>IF(G1166="","",E1166/G1166)</f>
        <v/>
      </c>
      <c r="I1166" s="19">
        <f>IF(G1166="","",F1166/G1166)</f>
        <v/>
      </c>
      <c r="J1166" s="26">
        <f>IFERROR(IF(OR(E1166="",INDEX(E:E,MATCH(DATE(YEAR($A1166)-1,MONTH($A1166),DAY($A1166)),$A:$A,0))=""),"",E1166/INDEX(E:E,MATCH(DATE(YEAR($A1166)-1,MONTH($A1166),DAY($A1166)),$A:$A,0))-1),"")</f>
        <v/>
      </c>
      <c r="K1166" s="19">
        <f>IFERROR(IF(OR(F1166="",INDEX(F:F,MATCH(DATE(YEAR($A1166)-1,MONTH($A1166),DAY($A1166)),$A:$A,0))=""),"",F1166/INDEX(F:F,MATCH(DATE(YEAR($A1166)-1,MONTH($A1166),DAY($A1166)),$A:$A,0))-1),"")</f>
        <v/>
      </c>
      <c r="L1166" s="19">
        <f>IFERROR(IF(OR(G1166="",INDEX(G:G,MATCH(DATE(YEAR($A1166)-1,MONTH($A1166),DAY($A1166)),$A:$A,0))=""),"",G1166/INDEX(G:G,MATCH(DATE(YEAR($A1166)-1,MONTH($A1166),DAY($A1166)),$A:$A,0))-1),"")</f>
        <v/>
      </c>
      <c r="M1166" s="19">
        <f>IF(OR(E1166="",E1165=""),"",E1166/E1165-1)</f>
        <v/>
      </c>
      <c r="N1166" s="19">
        <f>IF(OR(F1166="",F1165=""),"",F1166/F1165-1)</f>
        <v/>
      </c>
      <c r="O1166" s="19">
        <f>IF(OR(G1166="",G1165=""),"",G1166/G1165-1)</f>
        <v/>
      </c>
      <c r="P1166" s="22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IF(R1166="","",P1166/R1166)</f>
        <v/>
      </c>
      <c r="T1166" s="23">
        <f>IF(R1166="","",Q1166/R1166)</f>
        <v/>
      </c>
      <c r="U1166" s="24">
        <f>IF(SUMIFS('Daily NSE Equity Options'!$M:$M,'Daily NSE Equity Options'!$A:$A,$A1166)=0,"",SUMIFS('Daily NSE Equity Options'!$M:$M,'Daily NSE Equity Options'!$A:$A,$A1166))</f>
        <v/>
      </c>
      <c r="V1166" s="9">
        <f>IF(SUMIFS('Daily BSE Equity Options'!$M:$M,'Daily BSE Equity Options'!$A:$A,$A1166)=0,"",SUMIFS('Daily BSE Equity Options'!$M:$M,'Daily BSE Equity Options'!$A:$A,$A1166))</f>
        <v/>
      </c>
      <c r="W1166" s="9">
        <f>IF(OR(U1166="",V1166=""),"",U1166+V1166)</f>
        <v/>
      </c>
      <c r="X1166" s="25">
        <f>IF(W1166="","",U1166/W1166)</f>
        <v/>
      </c>
      <c r="Y1166" s="25">
        <f>IF(W1166="","",V1166/W1166)</f>
        <v/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19">
        <f>IF(G1167="","",E1167/G1167)</f>
        <v/>
      </c>
      <c r="I1167" s="19">
        <f>IF(G1167="","",F1167/G1167)</f>
        <v/>
      </c>
      <c r="J1167" s="26">
        <f>IFERROR(IF(OR(E1167="",INDEX(E:E,MATCH(DATE(YEAR($A1167)-1,MONTH($A1167),DAY($A1167)),$A:$A,0))=""),"",E1167/INDEX(E:E,MATCH(DATE(YEAR($A1167)-1,MONTH($A1167),DAY($A1167)),$A:$A,0))-1),"")</f>
        <v/>
      </c>
      <c r="K1167" s="19">
        <f>IFERROR(IF(OR(F1167="",INDEX(F:F,MATCH(DATE(YEAR($A1167)-1,MONTH($A1167),DAY($A1167)),$A:$A,0))=""),"",F1167/INDEX(F:F,MATCH(DATE(YEAR($A1167)-1,MONTH($A1167),DAY($A1167)),$A:$A,0))-1),"")</f>
        <v/>
      </c>
      <c r="L1167" s="19">
        <f>IFERROR(IF(OR(G1167="",INDEX(G:G,MATCH(DATE(YEAR($A1167)-1,MONTH($A1167),DAY($A1167)),$A:$A,0))=""),"",G1167/INDEX(G:G,MATCH(DATE(YEAR($A1167)-1,MONTH($A1167),DAY($A1167)),$A:$A,0))-1),"")</f>
        <v/>
      </c>
      <c r="M1167" s="19">
        <f>IF(OR(E1167="",E1166=""),"",E1167/E1166-1)</f>
        <v/>
      </c>
      <c r="N1167" s="19">
        <f>IF(OR(F1167="",F1166=""),"",F1167/F1166-1)</f>
        <v/>
      </c>
      <c r="O1167" s="19">
        <f>IF(OR(G1167="",G1166=""),"",G1167/G1166-1)</f>
        <v/>
      </c>
      <c r="P1167" s="22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IF(R1167="","",P1167/R1167)</f>
        <v/>
      </c>
      <c r="T1167" s="23">
        <f>IF(R1167="","",Q1167/R1167)</f>
        <v/>
      </c>
      <c r="U1167" s="24">
        <f>IF(SUMIFS('Daily NSE Equity Options'!$M:$M,'Daily NSE Equity Options'!$A:$A,$A1167)=0,"",SUMIFS('Daily NSE Equity Options'!$M:$M,'Daily NSE Equity Options'!$A:$A,$A1167))</f>
        <v/>
      </c>
      <c r="V1167" s="9">
        <f>IF(SUMIFS('Daily BSE Equity Options'!$M:$M,'Daily BSE Equity Options'!$A:$A,$A1167)=0,"",SUMIFS('Daily BSE Equity Options'!$M:$M,'Daily BSE Equity Options'!$A:$A,$A1167))</f>
        <v/>
      </c>
      <c r="W1167" s="9">
        <f>IF(OR(U1167="",V1167=""),"",U1167+V1167)</f>
        <v/>
      </c>
      <c r="X1167" s="25">
        <f>IF(W1167="","",U1167/W1167)</f>
        <v/>
      </c>
      <c r="Y1167" s="25">
        <f>IF(W1167="","",V1167/W1167)</f>
        <v/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19">
        <f>IF(G1168="","",E1168/G1168)</f>
        <v/>
      </c>
      <c r="I1168" s="19">
        <f>IF(G1168="","",F1168/G1168)</f>
        <v/>
      </c>
      <c r="J1168" s="26">
        <f>IFERROR(IF(OR(E1168="",INDEX(E:E,MATCH(DATE(YEAR($A1168)-1,MONTH($A1168),DAY($A1168)),$A:$A,0))=""),"",E1168/INDEX(E:E,MATCH(DATE(YEAR($A1168)-1,MONTH($A1168),DAY($A1168)),$A:$A,0))-1),"")</f>
        <v/>
      </c>
      <c r="K1168" s="19">
        <f>IFERROR(IF(OR(F1168="",INDEX(F:F,MATCH(DATE(YEAR($A1168)-1,MONTH($A1168),DAY($A1168)),$A:$A,0))=""),"",F1168/INDEX(F:F,MATCH(DATE(YEAR($A1168)-1,MONTH($A1168),DAY($A1168)),$A:$A,0))-1),"")</f>
        <v/>
      </c>
      <c r="L1168" s="19">
        <f>IFERROR(IF(OR(G1168="",INDEX(G:G,MATCH(DATE(YEAR($A1168)-1,MONTH($A1168),DAY($A1168)),$A:$A,0))=""),"",G1168/INDEX(G:G,MATCH(DATE(YEAR($A1168)-1,MONTH($A1168),DAY($A1168)),$A:$A,0))-1),"")</f>
        <v/>
      </c>
      <c r="M1168" s="19">
        <f>IF(OR(E1168="",E1167=""),"",E1168/E1167-1)</f>
        <v/>
      </c>
      <c r="N1168" s="19">
        <f>IF(OR(F1168="",F1167=""),"",F1168/F1167-1)</f>
        <v/>
      </c>
      <c r="O1168" s="19">
        <f>IF(OR(G1168="",G1167=""),"",G1168/G1167-1)</f>
        <v/>
      </c>
      <c r="P1168" s="22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IF(R1168="","",P1168/R1168)</f>
        <v/>
      </c>
      <c r="T1168" s="23">
        <f>IF(R1168="","",Q1168/R1168)</f>
        <v/>
      </c>
      <c r="U1168" s="24">
        <f>IF(SUMIFS('Daily NSE Equity Options'!$M:$M,'Daily NSE Equity Options'!$A:$A,$A1168)=0,"",SUMIFS('Daily NSE Equity Options'!$M:$M,'Daily NSE Equity Options'!$A:$A,$A1168))</f>
        <v/>
      </c>
      <c r="V1168" s="9">
        <f>IF(SUMIFS('Daily BSE Equity Options'!$M:$M,'Daily BSE Equity Options'!$A:$A,$A1168)=0,"",SUMIFS('Daily BSE Equity Options'!$M:$M,'Daily BSE Equity Options'!$A:$A,$A1168))</f>
        <v/>
      </c>
      <c r="W1168" s="9">
        <f>IF(OR(U1168="",V1168=""),"",U1168+V1168)</f>
        <v/>
      </c>
      <c r="X1168" s="25">
        <f>IF(W1168="","",U1168/W1168)</f>
        <v/>
      </c>
      <c r="Y1168" s="25">
        <f>IF(W1168="","",V1168/W1168)</f>
        <v/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19">
        <f>IF(G1169="","",E1169/G1169)</f>
        <v/>
      </c>
      <c r="I1169" s="19">
        <f>IF(G1169="","",F1169/G1169)</f>
        <v/>
      </c>
      <c r="J1169" s="26">
        <f>IFERROR(IF(OR(E1169="",INDEX(E:E,MATCH(DATE(YEAR($A1169)-1,MONTH($A1169),DAY($A1169)),$A:$A,0))=""),"",E1169/INDEX(E:E,MATCH(DATE(YEAR($A1169)-1,MONTH($A1169),DAY($A1169)),$A:$A,0))-1),"")</f>
        <v/>
      </c>
      <c r="K1169" s="19">
        <f>IFERROR(IF(OR(F1169="",INDEX(F:F,MATCH(DATE(YEAR($A1169)-1,MONTH($A1169),DAY($A1169)),$A:$A,0))=""),"",F1169/INDEX(F:F,MATCH(DATE(YEAR($A1169)-1,MONTH($A1169),DAY($A1169)),$A:$A,0))-1),"")</f>
        <v/>
      </c>
      <c r="L1169" s="19">
        <f>IFERROR(IF(OR(G1169="",INDEX(G:G,MATCH(DATE(YEAR($A1169)-1,MONTH($A1169),DAY($A1169)),$A:$A,0))=""),"",G1169/INDEX(G:G,MATCH(DATE(YEAR($A1169)-1,MONTH($A1169),DAY($A1169)),$A:$A,0))-1),"")</f>
        <v/>
      </c>
      <c r="M1169" s="19">
        <f>IF(OR(E1169="",E1168=""),"",E1169/E1168-1)</f>
        <v/>
      </c>
      <c r="N1169" s="19">
        <f>IF(OR(F1169="",F1168=""),"",F1169/F1168-1)</f>
        <v/>
      </c>
      <c r="O1169" s="19">
        <f>IF(OR(G1169="",G1168=""),"",G1169/G1168-1)</f>
        <v/>
      </c>
      <c r="P1169" s="22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IF(R1169="","",P1169/R1169)</f>
        <v/>
      </c>
      <c r="T1169" s="23">
        <f>IF(R1169="","",Q1169/R1169)</f>
        <v/>
      </c>
      <c r="U1169" s="24">
        <f>IF(SUMIFS('Daily NSE Equity Options'!$M:$M,'Daily NSE Equity Options'!$A:$A,$A1169)=0,"",SUMIFS('Daily NSE Equity Options'!$M:$M,'Daily NSE Equity Options'!$A:$A,$A1169))</f>
        <v/>
      </c>
      <c r="V1169" s="9">
        <f>IF(SUMIFS('Daily BSE Equity Options'!$M:$M,'Daily BSE Equity Options'!$A:$A,$A1169)=0,"",SUMIFS('Daily BSE Equity Options'!$M:$M,'Daily BSE Equity Options'!$A:$A,$A1169))</f>
        <v/>
      </c>
      <c r="W1169" s="9">
        <f>IF(OR(U1169="",V1169=""),"",U1169+V1169)</f>
        <v/>
      </c>
      <c r="X1169" s="25">
        <f>IF(W1169="","",U1169/W1169)</f>
        <v/>
      </c>
      <c r="Y1169" s="25">
        <f>IF(W1169="","",V1169/W1169)</f>
        <v/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19">
        <f>IF(G1170="","",E1170/G1170)</f>
        <v/>
      </c>
      <c r="I1170" s="19">
        <f>IF(G1170="","",F1170/G1170)</f>
        <v/>
      </c>
      <c r="J1170" s="26">
        <f>IFERROR(IF(OR(E1170="",INDEX(E:E,MATCH(DATE(YEAR($A1170)-1,MONTH($A1170),DAY($A1170)),$A:$A,0))=""),"",E1170/INDEX(E:E,MATCH(DATE(YEAR($A1170)-1,MONTH($A1170),DAY($A1170)),$A:$A,0))-1),"")</f>
        <v/>
      </c>
      <c r="K1170" s="19">
        <f>IFERROR(IF(OR(F1170="",INDEX(F:F,MATCH(DATE(YEAR($A1170)-1,MONTH($A1170),DAY($A1170)),$A:$A,0))=""),"",F1170/INDEX(F:F,MATCH(DATE(YEAR($A1170)-1,MONTH($A1170),DAY($A1170)),$A:$A,0))-1),"")</f>
        <v/>
      </c>
      <c r="L1170" s="19">
        <f>IFERROR(IF(OR(G1170="",INDEX(G:G,MATCH(DATE(YEAR($A1170)-1,MONTH($A1170),DAY($A1170)),$A:$A,0))=""),"",G1170/INDEX(G:G,MATCH(DATE(YEAR($A1170)-1,MONTH($A1170),DAY($A1170)),$A:$A,0))-1),"")</f>
        <v/>
      </c>
      <c r="M1170" s="19">
        <f>IF(OR(E1170="",E1169=""),"",E1170/E1169-1)</f>
        <v/>
      </c>
      <c r="N1170" s="19">
        <f>IF(OR(F1170="",F1169=""),"",F1170/F1169-1)</f>
        <v/>
      </c>
      <c r="O1170" s="19">
        <f>IF(OR(G1170="",G1169=""),"",G1170/G1169-1)</f>
        <v/>
      </c>
      <c r="P1170" s="22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IF(R1170="","",P1170/R1170)</f>
        <v/>
      </c>
      <c r="T1170" s="23">
        <f>IF(R1170="","",Q1170/R1170)</f>
        <v/>
      </c>
      <c r="U1170" s="24">
        <f>IF(SUMIFS('Daily NSE Equity Options'!$M:$M,'Daily NSE Equity Options'!$A:$A,$A1170)=0,"",SUMIFS('Daily NSE Equity Options'!$M:$M,'Daily NSE Equity Options'!$A:$A,$A1170))</f>
        <v/>
      </c>
      <c r="V1170" s="9">
        <f>IF(SUMIFS('Daily BSE Equity Options'!$M:$M,'Daily BSE Equity Options'!$A:$A,$A1170)=0,"",SUMIFS('Daily BSE Equity Options'!$M:$M,'Daily BSE Equity Options'!$A:$A,$A1170))</f>
        <v/>
      </c>
      <c r="W1170" s="9">
        <f>IF(OR(U1170="",V1170=""),"",U1170+V1170)</f>
        <v/>
      </c>
      <c r="X1170" s="25">
        <f>IF(W1170="","",U1170/W1170)</f>
        <v/>
      </c>
      <c r="Y1170" s="25">
        <f>IF(W1170="","",V1170/W1170)</f>
        <v/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19">
        <f>IF(G1171="","",E1171/G1171)</f>
        <v/>
      </c>
      <c r="I1171" s="19">
        <f>IF(G1171="","",F1171/G1171)</f>
        <v/>
      </c>
      <c r="J1171" s="26">
        <f>IFERROR(IF(OR(E1171="",INDEX(E:E,MATCH(DATE(YEAR($A1171)-1,MONTH($A1171),DAY($A1171)),$A:$A,0))=""),"",E1171/INDEX(E:E,MATCH(DATE(YEAR($A1171)-1,MONTH($A1171),DAY($A1171)),$A:$A,0))-1),"")</f>
        <v/>
      </c>
      <c r="K1171" s="19">
        <f>IFERROR(IF(OR(F1171="",INDEX(F:F,MATCH(DATE(YEAR($A1171)-1,MONTH($A1171),DAY($A1171)),$A:$A,0))=""),"",F1171/INDEX(F:F,MATCH(DATE(YEAR($A1171)-1,MONTH($A1171),DAY($A1171)),$A:$A,0))-1),"")</f>
        <v/>
      </c>
      <c r="L1171" s="19">
        <f>IFERROR(IF(OR(G1171="",INDEX(G:G,MATCH(DATE(YEAR($A1171)-1,MONTH($A1171),DAY($A1171)),$A:$A,0))=""),"",G1171/INDEX(G:G,MATCH(DATE(YEAR($A1171)-1,MONTH($A1171),DAY($A1171)),$A:$A,0))-1),"")</f>
        <v/>
      </c>
      <c r="M1171" s="19">
        <f>IF(OR(E1171="",E1170=""),"",E1171/E1170-1)</f>
        <v/>
      </c>
      <c r="N1171" s="19">
        <f>IF(OR(F1171="",F1170=""),"",F1171/F1170-1)</f>
        <v/>
      </c>
      <c r="O1171" s="19">
        <f>IF(OR(G1171="",G1170=""),"",G1171/G1170-1)</f>
        <v/>
      </c>
      <c r="P1171" s="22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IF(R1171="","",P1171/R1171)</f>
        <v/>
      </c>
      <c r="T1171" s="23">
        <f>IF(R1171="","",Q1171/R1171)</f>
        <v/>
      </c>
      <c r="U1171" s="24">
        <f>IF(SUMIFS('Daily NSE Equity Options'!$M:$M,'Daily NSE Equity Options'!$A:$A,$A1171)=0,"",SUMIFS('Daily NSE Equity Options'!$M:$M,'Daily NSE Equity Options'!$A:$A,$A1171))</f>
        <v/>
      </c>
      <c r="V1171" s="9">
        <f>IF(SUMIFS('Daily BSE Equity Options'!$M:$M,'Daily BSE Equity Options'!$A:$A,$A1171)=0,"",SUMIFS('Daily BSE Equity Options'!$M:$M,'Daily BSE Equity Options'!$A:$A,$A1171))</f>
        <v/>
      </c>
      <c r="W1171" s="9">
        <f>IF(OR(U1171="",V1171=""),"",U1171+V1171)</f>
        <v/>
      </c>
      <c r="X1171" s="25">
        <f>IF(W1171="","",U1171/W1171)</f>
        <v/>
      </c>
      <c r="Y1171" s="25">
        <f>IF(W1171="","",V1171/W1171)</f>
        <v/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19">
        <f>IF(G1172="","",E1172/G1172)</f>
        <v/>
      </c>
      <c r="I1172" s="19">
        <f>IF(G1172="","",F1172/G1172)</f>
        <v/>
      </c>
      <c r="J1172" s="26">
        <f>IFERROR(IF(OR(E1172="",INDEX(E:E,MATCH(DATE(YEAR($A1172)-1,MONTH($A1172),DAY($A1172)),$A:$A,0))=""),"",E1172/INDEX(E:E,MATCH(DATE(YEAR($A1172)-1,MONTH($A1172),DAY($A1172)),$A:$A,0))-1),"")</f>
        <v/>
      </c>
      <c r="K1172" s="19">
        <f>IFERROR(IF(OR(F1172="",INDEX(F:F,MATCH(DATE(YEAR($A1172)-1,MONTH($A1172),DAY($A1172)),$A:$A,0))=""),"",F1172/INDEX(F:F,MATCH(DATE(YEAR($A1172)-1,MONTH($A1172),DAY($A1172)),$A:$A,0))-1),"")</f>
        <v/>
      </c>
      <c r="L1172" s="19">
        <f>IFERROR(IF(OR(G1172="",INDEX(G:G,MATCH(DATE(YEAR($A1172)-1,MONTH($A1172),DAY($A1172)),$A:$A,0))=""),"",G1172/INDEX(G:G,MATCH(DATE(YEAR($A1172)-1,MONTH($A1172),DAY($A1172)),$A:$A,0))-1),"")</f>
        <v/>
      </c>
      <c r="M1172" s="19">
        <f>IF(OR(E1172="",E1171=""),"",E1172/E1171-1)</f>
        <v/>
      </c>
      <c r="N1172" s="19">
        <f>IF(OR(F1172="",F1171=""),"",F1172/F1171-1)</f>
        <v/>
      </c>
      <c r="O1172" s="19">
        <f>IF(OR(G1172="",G1171=""),"",G1172/G1171-1)</f>
        <v/>
      </c>
      <c r="P1172" s="22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IF(R1172="","",P1172/R1172)</f>
        <v/>
      </c>
      <c r="T1172" s="23">
        <f>IF(R1172="","",Q1172/R1172)</f>
        <v/>
      </c>
      <c r="U1172" s="24">
        <f>IF(SUMIFS('Daily NSE Equity Options'!$M:$M,'Daily NSE Equity Options'!$A:$A,$A1172)=0,"",SUMIFS('Daily NSE Equity Options'!$M:$M,'Daily NSE Equity Options'!$A:$A,$A1172))</f>
        <v/>
      </c>
      <c r="V1172" s="9">
        <f>IF(SUMIFS('Daily BSE Equity Options'!$M:$M,'Daily BSE Equity Options'!$A:$A,$A1172)=0,"",SUMIFS('Daily BSE Equity Options'!$M:$M,'Daily BSE Equity Options'!$A:$A,$A1172))</f>
        <v/>
      </c>
      <c r="W1172" s="9">
        <f>IF(OR(U1172="",V1172=""),"",U1172+V1172)</f>
        <v/>
      </c>
      <c r="X1172" s="25">
        <f>IF(W1172="","",U1172/W1172)</f>
        <v/>
      </c>
      <c r="Y1172" s="25">
        <f>IF(W1172="","",V1172/W1172)</f>
        <v/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19">
        <f>IF(G1173="","",E1173/G1173)</f>
        <v/>
      </c>
      <c r="I1173" s="19">
        <f>IF(G1173="","",F1173/G1173)</f>
        <v/>
      </c>
      <c r="J1173" s="26">
        <f>IFERROR(IF(OR(E1173="",INDEX(E:E,MATCH(DATE(YEAR($A1173)-1,MONTH($A1173),DAY($A1173)),$A:$A,0))=""),"",E1173/INDEX(E:E,MATCH(DATE(YEAR($A1173)-1,MONTH($A1173),DAY($A1173)),$A:$A,0))-1),"")</f>
        <v/>
      </c>
      <c r="K1173" s="19">
        <f>IFERROR(IF(OR(F1173="",INDEX(F:F,MATCH(DATE(YEAR($A1173)-1,MONTH($A1173),DAY($A1173)),$A:$A,0))=""),"",F1173/INDEX(F:F,MATCH(DATE(YEAR($A1173)-1,MONTH($A1173),DAY($A1173)),$A:$A,0))-1),"")</f>
        <v/>
      </c>
      <c r="L1173" s="19">
        <f>IFERROR(IF(OR(G1173="",INDEX(G:G,MATCH(DATE(YEAR($A1173)-1,MONTH($A1173),DAY($A1173)),$A:$A,0))=""),"",G1173/INDEX(G:G,MATCH(DATE(YEAR($A1173)-1,MONTH($A1173),DAY($A1173)),$A:$A,0))-1),"")</f>
        <v/>
      </c>
      <c r="M1173" s="19">
        <f>IF(OR(E1173="",E1172=""),"",E1173/E1172-1)</f>
        <v/>
      </c>
      <c r="N1173" s="19">
        <f>IF(OR(F1173="",F1172=""),"",F1173/F1172-1)</f>
        <v/>
      </c>
      <c r="O1173" s="19">
        <f>IF(OR(G1173="",G1172=""),"",G1173/G1172-1)</f>
        <v/>
      </c>
      <c r="P1173" s="22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IF(R1173="","",P1173/R1173)</f>
        <v/>
      </c>
      <c r="T1173" s="23">
        <f>IF(R1173="","",Q1173/R1173)</f>
        <v/>
      </c>
      <c r="U1173" s="24">
        <f>IF(SUMIFS('Daily NSE Equity Options'!$M:$M,'Daily NSE Equity Options'!$A:$A,$A1173)=0,"",SUMIFS('Daily NSE Equity Options'!$M:$M,'Daily NSE Equity Options'!$A:$A,$A1173))</f>
        <v/>
      </c>
      <c r="V1173" s="9">
        <f>IF(SUMIFS('Daily BSE Equity Options'!$M:$M,'Daily BSE Equity Options'!$A:$A,$A1173)=0,"",SUMIFS('Daily BSE Equity Options'!$M:$M,'Daily BSE Equity Options'!$A:$A,$A1173))</f>
        <v/>
      </c>
      <c r="W1173" s="9">
        <f>IF(OR(U1173="",V1173=""),"",U1173+V1173)</f>
        <v/>
      </c>
      <c r="X1173" s="25">
        <f>IF(W1173="","",U1173/W1173)</f>
        <v/>
      </c>
      <c r="Y1173" s="25">
        <f>IF(W1173="","",V1173/W1173)</f>
        <v/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19">
        <f>IF(G1174="","",E1174/G1174)</f>
        <v/>
      </c>
      <c r="I1174" s="19">
        <f>IF(G1174="","",F1174/G1174)</f>
        <v/>
      </c>
      <c r="J1174" s="26">
        <f>IFERROR(IF(OR(E1174="",INDEX(E:E,MATCH(DATE(YEAR($A1174)-1,MONTH($A1174),DAY($A1174)),$A:$A,0))=""),"",E1174/INDEX(E:E,MATCH(DATE(YEAR($A1174)-1,MONTH($A1174),DAY($A1174)),$A:$A,0))-1),"")</f>
        <v/>
      </c>
      <c r="K1174" s="19">
        <f>IFERROR(IF(OR(F1174="",INDEX(F:F,MATCH(DATE(YEAR($A1174)-1,MONTH($A1174),DAY($A1174)),$A:$A,0))=""),"",F1174/INDEX(F:F,MATCH(DATE(YEAR($A1174)-1,MONTH($A1174),DAY($A1174)),$A:$A,0))-1),"")</f>
        <v/>
      </c>
      <c r="L1174" s="19">
        <f>IFERROR(IF(OR(G1174="",INDEX(G:G,MATCH(DATE(YEAR($A1174)-1,MONTH($A1174),DAY($A1174)),$A:$A,0))=""),"",G1174/INDEX(G:G,MATCH(DATE(YEAR($A1174)-1,MONTH($A1174),DAY($A1174)),$A:$A,0))-1),"")</f>
        <v/>
      </c>
      <c r="M1174" s="19">
        <f>IF(OR(E1174="",E1173=""),"",E1174/E1173-1)</f>
        <v/>
      </c>
      <c r="N1174" s="19">
        <f>IF(OR(F1174="",F1173=""),"",F1174/F1173-1)</f>
        <v/>
      </c>
      <c r="O1174" s="19">
        <f>IF(OR(G1174="",G1173=""),"",G1174/G1173-1)</f>
        <v/>
      </c>
      <c r="P1174" s="22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IF(R1174="","",P1174/R1174)</f>
        <v/>
      </c>
      <c r="T1174" s="23">
        <f>IF(R1174="","",Q1174/R1174)</f>
        <v/>
      </c>
      <c r="U1174" s="24">
        <f>IF(SUMIFS('Daily NSE Equity Options'!$M:$M,'Daily NSE Equity Options'!$A:$A,$A1174)=0,"",SUMIFS('Daily NSE Equity Options'!$M:$M,'Daily NSE Equity Options'!$A:$A,$A1174))</f>
        <v/>
      </c>
      <c r="V1174" s="9">
        <f>IF(SUMIFS('Daily BSE Equity Options'!$M:$M,'Daily BSE Equity Options'!$A:$A,$A1174)=0,"",SUMIFS('Daily BSE Equity Options'!$M:$M,'Daily BSE Equity Options'!$A:$A,$A1174))</f>
        <v/>
      </c>
      <c r="W1174" s="9">
        <f>IF(OR(U1174="",V1174=""),"",U1174+V1174)</f>
        <v/>
      </c>
      <c r="X1174" s="25">
        <f>IF(W1174="","",U1174/W1174)</f>
        <v/>
      </c>
      <c r="Y1174" s="25">
        <f>IF(W1174="","",V1174/W1174)</f>
        <v/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19">
        <f>IF(G1175="","",E1175/G1175)</f>
        <v/>
      </c>
      <c r="I1175" s="19">
        <f>IF(G1175="","",F1175/G1175)</f>
        <v/>
      </c>
      <c r="J1175" s="26">
        <f>IFERROR(IF(OR(E1175="",INDEX(E:E,MATCH(DATE(YEAR($A1175)-1,MONTH($A1175),DAY($A1175)),$A:$A,0))=""),"",E1175/INDEX(E:E,MATCH(DATE(YEAR($A1175)-1,MONTH($A1175),DAY($A1175)),$A:$A,0))-1),"")</f>
        <v/>
      </c>
      <c r="K1175" s="19">
        <f>IFERROR(IF(OR(F1175="",INDEX(F:F,MATCH(DATE(YEAR($A1175)-1,MONTH($A1175),DAY($A1175)),$A:$A,0))=""),"",F1175/INDEX(F:F,MATCH(DATE(YEAR($A1175)-1,MONTH($A1175),DAY($A1175)),$A:$A,0))-1),"")</f>
        <v/>
      </c>
      <c r="L1175" s="19">
        <f>IFERROR(IF(OR(G1175="",INDEX(G:G,MATCH(DATE(YEAR($A1175)-1,MONTH($A1175),DAY($A1175)),$A:$A,0))=""),"",G1175/INDEX(G:G,MATCH(DATE(YEAR($A1175)-1,MONTH($A1175),DAY($A1175)),$A:$A,0))-1),"")</f>
        <v/>
      </c>
      <c r="M1175" s="19">
        <f>IF(OR(E1175="",E1174=""),"",E1175/E1174-1)</f>
        <v/>
      </c>
      <c r="N1175" s="19">
        <f>IF(OR(F1175="",F1174=""),"",F1175/F1174-1)</f>
        <v/>
      </c>
      <c r="O1175" s="19">
        <f>IF(OR(G1175="",G1174=""),"",G1175/G1174-1)</f>
        <v/>
      </c>
      <c r="P1175" s="22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IF(R1175="","",P1175/R1175)</f>
        <v/>
      </c>
      <c r="T1175" s="23">
        <f>IF(R1175="","",Q1175/R1175)</f>
        <v/>
      </c>
      <c r="U1175" s="24">
        <f>IF(SUMIFS('Daily NSE Equity Options'!$M:$M,'Daily NSE Equity Options'!$A:$A,$A1175)=0,"",SUMIFS('Daily NSE Equity Options'!$M:$M,'Daily NSE Equity Options'!$A:$A,$A1175))</f>
        <v/>
      </c>
      <c r="V1175" s="9">
        <f>IF(SUMIFS('Daily BSE Equity Options'!$M:$M,'Daily BSE Equity Options'!$A:$A,$A1175)=0,"",SUMIFS('Daily BSE Equity Options'!$M:$M,'Daily BSE Equity Options'!$A:$A,$A1175))</f>
        <v/>
      </c>
      <c r="W1175" s="9">
        <f>IF(OR(U1175="",V1175=""),"",U1175+V1175)</f>
        <v/>
      </c>
      <c r="X1175" s="25">
        <f>IF(W1175="","",U1175/W1175)</f>
        <v/>
      </c>
      <c r="Y1175" s="25">
        <f>IF(W1175="","",V1175/W1175)</f>
        <v/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19">
        <f>IF(G1176="","",E1176/G1176)</f>
        <v/>
      </c>
      <c r="I1176" s="19">
        <f>IF(G1176="","",F1176/G1176)</f>
        <v/>
      </c>
      <c r="J1176" s="26">
        <f>IFERROR(IF(OR(E1176="",INDEX(E:E,MATCH(DATE(YEAR($A1176)-1,MONTH($A1176),DAY($A1176)),$A:$A,0))=""),"",E1176/INDEX(E:E,MATCH(DATE(YEAR($A1176)-1,MONTH($A1176),DAY($A1176)),$A:$A,0))-1),"")</f>
        <v/>
      </c>
      <c r="K1176" s="19">
        <f>IFERROR(IF(OR(F1176="",INDEX(F:F,MATCH(DATE(YEAR($A1176)-1,MONTH($A1176),DAY($A1176)),$A:$A,0))=""),"",F1176/INDEX(F:F,MATCH(DATE(YEAR($A1176)-1,MONTH($A1176),DAY($A1176)),$A:$A,0))-1),"")</f>
        <v/>
      </c>
      <c r="L1176" s="19">
        <f>IFERROR(IF(OR(G1176="",INDEX(G:G,MATCH(DATE(YEAR($A1176)-1,MONTH($A1176),DAY($A1176)),$A:$A,0))=""),"",G1176/INDEX(G:G,MATCH(DATE(YEAR($A1176)-1,MONTH($A1176),DAY($A1176)),$A:$A,0))-1),"")</f>
        <v/>
      </c>
      <c r="M1176" s="19">
        <f>IF(OR(E1176="",E1175=""),"",E1176/E1175-1)</f>
        <v/>
      </c>
      <c r="N1176" s="19">
        <f>IF(OR(F1176="",F1175=""),"",F1176/F1175-1)</f>
        <v/>
      </c>
      <c r="O1176" s="19">
        <f>IF(OR(G1176="",G1175=""),"",G1176/G1175-1)</f>
        <v/>
      </c>
      <c r="P1176" s="22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IF(R1176="","",P1176/R1176)</f>
        <v/>
      </c>
      <c r="T1176" s="23">
        <f>IF(R1176="","",Q1176/R1176)</f>
        <v/>
      </c>
      <c r="U1176" s="24">
        <f>IF(SUMIFS('Daily NSE Equity Options'!$M:$M,'Daily NSE Equity Options'!$A:$A,$A1176)=0,"",SUMIFS('Daily NSE Equity Options'!$M:$M,'Daily NSE Equity Options'!$A:$A,$A1176))</f>
        <v/>
      </c>
      <c r="V1176" s="9">
        <f>IF(SUMIFS('Daily BSE Equity Options'!$M:$M,'Daily BSE Equity Options'!$A:$A,$A1176)=0,"",SUMIFS('Daily BSE Equity Options'!$M:$M,'Daily BSE Equity Options'!$A:$A,$A1176))</f>
        <v/>
      </c>
      <c r="W1176" s="9">
        <f>IF(OR(U1176="",V1176=""),"",U1176+V1176)</f>
        <v/>
      </c>
      <c r="X1176" s="25">
        <f>IF(W1176="","",U1176/W1176)</f>
        <v/>
      </c>
      <c r="Y1176" s="25">
        <f>IF(W1176="","",V1176/W1176)</f>
        <v/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19">
        <f>IF(G1177="","",E1177/G1177)</f>
        <v/>
      </c>
      <c r="I1177" s="19">
        <f>IF(G1177="","",F1177/G1177)</f>
        <v/>
      </c>
      <c r="J1177" s="26">
        <f>IFERROR(IF(OR(E1177="",INDEX(E:E,MATCH(DATE(YEAR($A1177)-1,MONTH($A1177),DAY($A1177)),$A:$A,0))=""),"",E1177/INDEX(E:E,MATCH(DATE(YEAR($A1177)-1,MONTH($A1177),DAY($A1177)),$A:$A,0))-1),"")</f>
        <v/>
      </c>
      <c r="K1177" s="19">
        <f>IFERROR(IF(OR(F1177="",INDEX(F:F,MATCH(DATE(YEAR($A1177)-1,MONTH($A1177),DAY($A1177)),$A:$A,0))=""),"",F1177/INDEX(F:F,MATCH(DATE(YEAR($A1177)-1,MONTH($A1177),DAY($A1177)),$A:$A,0))-1),"")</f>
        <v/>
      </c>
      <c r="L1177" s="19">
        <f>IFERROR(IF(OR(G1177="",INDEX(G:G,MATCH(DATE(YEAR($A1177)-1,MONTH($A1177),DAY($A1177)),$A:$A,0))=""),"",G1177/INDEX(G:G,MATCH(DATE(YEAR($A1177)-1,MONTH($A1177),DAY($A1177)),$A:$A,0))-1),"")</f>
        <v/>
      </c>
      <c r="M1177" s="19">
        <f>IF(OR(E1177="",E1176=""),"",E1177/E1176-1)</f>
        <v/>
      </c>
      <c r="N1177" s="19">
        <f>IF(OR(F1177="",F1176=""),"",F1177/F1176-1)</f>
        <v/>
      </c>
      <c r="O1177" s="19">
        <f>IF(OR(G1177="",G1176=""),"",G1177/G1176-1)</f>
        <v/>
      </c>
      <c r="P1177" s="22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IF(R1177="","",P1177/R1177)</f>
        <v/>
      </c>
      <c r="T1177" s="23">
        <f>IF(R1177="","",Q1177/R1177)</f>
        <v/>
      </c>
      <c r="U1177" s="24">
        <f>IF(SUMIFS('Daily NSE Equity Options'!$M:$M,'Daily NSE Equity Options'!$A:$A,$A1177)=0,"",SUMIFS('Daily NSE Equity Options'!$M:$M,'Daily NSE Equity Options'!$A:$A,$A1177))</f>
        <v/>
      </c>
      <c r="V1177" s="9">
        <f>IF(SUMIFS('Daily BSE Equity Options'!$M:$M,'Daily BSE Equity Options'!$A:$A,$A1177)=0,"",SUMIFS('Daily BSE Equity Options'!$M:$M,'Daily BSE Equity Options'!$A:$A,$A1177))</f>
        <v/>
      </c>
      <c r="W1177" s="9">
        <f>IF(OR(U1177="",V1177=""),"",U1177+V1177)</f>
        <v/>
      </c>
      <c r="X1177" s="25">
        <f>IF(W1177="","",U1177/W1177)</f>
        <v/>
      </c>
      <c r="Y1177" s="25">
        <f>IF(W1177="","",V1177/W1177)</f>
        <v/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19">
        <f>IF(G1178="","",E1178/G1178)</f>
        <v/>
      </c>
      <c r="I1178" s="19">
        <f>IF(G1178="","",F1178/G1178)</f>
        <v/>
      </c>
      <c r="J1178" s="26">
        <f>IFERROR(IF(OR(E1178="",INDEX(E:E,MATCH(DATE(YEAR($A1178)-1,MONTH($A1178),DAY($A1178)),$A:$A,0))=""),"",E1178/INDEX(E:E,MATCH(DATE(YEAR($A1178)-1,MONTH($A1178),DAY($A1178)),$A:$A,0))-1),"")</f>
        <v/>
      </c>
      <c r="K1178" s="19">
        <f>IFERROR(IF(OR(F1178="",INDEX(F:F,MATCH(DATE(YEAR($A1178)-1,MONTH($A1178),DAY($A1178)),$A:$A,0))=""),"",F1178/INDEX(F:F,MATCH(DATE(YEAR($A1178)-1,MONTH($A1178),DAY($A1178)),$A:$A,0))-1),"")</f>
        <v/>
      </c>
      <c r="L1178" s="19">
        <f>IFERROR(IF(OR(G1178="",INDEX(G:G,MATCH(DATE(YEAR($A1178)-1,MONTH($A1178),DAY($A1178)),$A:$A,0))=""),"",G1178/INDEX(G:G,MATCH(DATE(YEAR($A1178)-1,MONTH($A1178),DAY($A1178)),$A:$A,0))-1),"")</f>
        <v/>
      </c>
      <c r="M1178" s="19">
        <f>IF(OR(E1178="",E1177=""),"",E1178/E1177-1)</f>
        <v/>
      </c>
      <c r="N1178" s="19">
        <f>IF(OR(F1178="",F1177=""),"",F1178/F1177-1)</f>
        <v/>
      </c>
      <c r="O1178" s="19">
        <f>IF(OR(G1178="",G1177=""),"",G1178/G1177-1)</f>
        <v/>
      </c>
      <c r="P1178" s="22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IF(R1178="","",P1178/R1178)</f>
        <v/>
      </c>
      <c r="T1178" s="23">
        <f>IF(R1178="","",Q1178/R1178)</f>
        <v/>
      </c>
      <c r="U1178" s="24">
        <f>IF(SUMIFS('Daily NSE Equity Options'!$M:$M,'Daily NSE Equity Options'!$A:$A,$A1178)=0,"",SUMIFS('Daily NSE Equity Options'!$M:$M,'Daily NSE Equity Options'!$A:$A,$A1178))</f>
        <v/>
      </c>
      <c r="V1178" s="9">
        <f>IF(SUMIFS('Daily BSE Equity Options'!$M:$M,'Daily BSE Equity Options'!$A:$A,$A1178)=0,"",SUMIFS('Daily BSE Equity Options'!$M:$M,'Daily BSE Equity Options'!$A:$A,$A1178))</f>
        <v/>
      </c>
      <c r="W1178" s="9">
        <f>IF(OR(U1178="",V1178=""),"",U1178+V1178)</f>
        <v/>
      </c>
      <c r="X1178" s="25">
        <f>IF(W1178="","",U1178/W1178)</f>
        <v/>
      </c>
      <c r="Y1178" s="25">
        <f>IF(W1178="","",V1178/W1178)</f>
        <v/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19">
        <f>IF(G1179="","",E1179/G1179)</f>
        <v/>
      </c>
      <c r="I1179" s="19">
        <f>IF(G1179="","",F1179/G1179)</f>
        <v/>
      </c>
      <c r="J1179" s="26">
        <f>IFERROR(IF(OR(E1179="",INDEX(E:E,MATCH(DATE(YEAR($A1179)-1,MONTH($A1179),DAY($A1179)),$A:$A,0))=""),"",E1179/INDEX(E:E,MATCH(DATE(YEAR($A1179)-1,MONTH($A1179),DAY($A1179)),$A:$A,0))-1),"")</f>
        <v/>
      </c>
      <c r="K1179" s="19">
        <f>IFERROR(IF(OR(F1179="",INDEX(F:F,MATCH(DATE(YEAR($A1179)-1,MONTH($A1179),DAY($A1179)),$A:$A,0))=""),"",F1179/INDEX(F:F,MATCH(DATE(YEAR($A1179)-1,MONTH($A1179),DAY($A1179)),$A:$A,0))-1),"")</f>
        <v/>
      </c>
      <c r="L1179" s="19">
        <f>IFERROR(IF(OR(G1179="",INDEX(G:G,MATCH(DATE(YEAR($A1179)-1,MONTH($A1179),DAY($A1179)),$A:$A,0))=""),"",G1179/INDEX(G:G,MATCH(DATE(YEAR($A1179)-1,MONTH($A1179),DAY($A1179)),$A:$A,0))-1),"")</f>
        <v/>
      </c>
      <c r="M1179" s="19">
        <f>IF(OR(E1179="",E1178=""),"",E1179/E1178-1)</f>
        <v/>
      </c>
      <c r="N1179" s="19">
        <f>IF(OR(F1179="",F1178=""),"",F1179/F1178-1)</f>
        <v/>
      </c>
      <c r="O1179" s="19">
        <f>IF(OR(G1179="",G1178=""),"",G1179/G1178-1)</f>
        <v/>
      </c>
      <c r="P1179" s="22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IF(R1179="","",P1179/R1179)</f>
        <v/>
      </c>
      <c r="T1179" s="23">
        <f>IF(R1179="","",Q1179/R1179)</f>
        <v/>
      </c>
      <c r="U1179" s="24">
        <f>IF(SUMIFS('Daily NSE Equity Options'!$M:$M,'Daily NSE Equity Options'!$A:$A,$A1179)=0,"",SUMIFS('Daily NSE Equity Options'!$M:$M,'Daily NSE Equity Options'!$A:$A,$A1179))</f>
        <v/>
      </c>
      <c r="V1179" s="9">
        <f>IF(SUMIFS('Daily BSE Equity Options'!$M:$M,'Daily BSE Equity Options'!$A:$A,$A1179)=0,"",SUMIFS('Daily BSE Equity Options'!$M:$M,'Daily BSE Equity Options'!$A:$A,$A1179))</f>
        <v/>
      </c>
      <c r="W1179" s="9">
        <f>IF(OR(U1179="",V1179=""),"",U1179+V1179)</f>
        <v/>
      </c>
      <c r="X1179" s="25">
        <f>IF(W1179="","",U1179/W1179)</f>
        <v/>
      </c>
      <c r="Y1179" s="25">
        <f>IF(W1179="","",V1179/W1179)</f>
        <v/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19">
        <f>IF(G1180="","",E1180/G1180)</f>
        <v/>
      </c>
      <c r="I1180" s="19">
        <f>IF(G1180="","",F1180/G1180)</f>
        <v/>
      </c>
      <c r="J1180" s="26">
        <f>IFERROR(IF(OR(E1180="",INDEX(E:E,MATCH(DATE(YEAR($A1180)-1,MONTH($A1180),DAY($A1180)),$A:$A,0))=""),"",E1180/INDEX(E:E,MATCH(DATE(YEAR($A1180)-1,MONTH($A1180),DAY($A1180)),$A:$A,0))-1),"")</f>
        <v/>
      </c>
      <c r="K1180" s="19">
        <f>IFERROR(IF(OR(F1180="",INDEX(F:F,MATCH(DATE(YEAR($A1180)-1,MONTH($A1180),DAY($A1180)),$A:$A,0))=""),"",F1180/INDEX(F:F,MATCH(DATE(YEAR($A1180)-1,MONTH($A1180),DAY($A1180)),$A:$A,0))-1),"")</f>
        <v/>
      </c>
      <c r="L1180" s="19">
        <f>IFERROR(IF(OR(G1180="",INDEX(G:G,MATCH(DATE(YEAR($A1180)-1,MONTH($A1180),DAY($A1180)),$A:$A,0))=""),"",G1180/INDEX(G:G,MATCH(DATE(YEAR($A1180)-1,MONTH($A1180),DAY($A1180)),$A:$A,0))-1),"")</f>
        <v/>
      </c>
      <c r="M1180" s="19">
        <f>IF(OR(E1180="",E1179=""),"",E1180/E1179-1)</f>
        <v/>
      </c>
      <c r="N1180" s="19">
        <f>IF(OR(F1180="",F1179=""),"",F1180/F1179-1)</f>
        <v/>
      </c>
      <c r="O1180" s="19">
        <f>IF(OR(G1180="",G1179=""),"",G1180/G1179-1)</f>
        <v/>
      </c>
      <c r="P1180" s="22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IF(R1180="","",P1180/R1180)</f>
        <v/>
      </c>
      <c r="T1180" s="23">
        <f>IF(R1180="","",Q1180/R1180)</f>
        <v/>
      </c>
      <c r="U1180" s="24">
        <f>IF(SUMIFS('Daily NSE Equity Options'!$M:$M,'Daily NSE Equity Options'!$A:$A,$A1180)=0,"",SUMIFS('Daily NSE Equity Options'!$M:$M,'Daily NSE Equity Options'!$A:$A,$A1180))</f>
        <v/>
      </c>
      <c r="V1180" s="9">
        <f>IF(SUMIFS('Daily BSE Equity Options'!$M:$M,'Daily BSE Equity Options'!$A:$A,$A1180)=0,"",SUMIFS('Daily BSE Equity Options'!$M:$M,'Daily BSE Equity Options'!$A:$A,$A1180))</f>
        <v/>
      </c>
      <c r="W1180" s="9">
        <f>IF(OR(U1180="",V1180=""),"",U1180+V1180)</f>
        <v/>
      </c>
      <c r="X1180" s="25">
        <f>IF(W1180="","",U1180/W1180)</f>
        <v/>
      </c>
      <c r="Y1180" s="25">
        <f>IF(W1180="","",V1180/W1180)</f>
        <v/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19">
        <f>IF(G1181="","",E1181/G1181)</f>
        <v/>
      </c>
      <c r="I1181" s="19">
        <f>IF(G1181="","",F1181/G1181)</f>
        <v/>
      </c>
      <c r="J1181" s="26">
        <f>IFERROR(IF(OR(E1181="",INDEX(E:E,MATCH(DATE(YEAR($A1181)-1,MONTH($A1181),DAY($A1181)),$A:$A,0))=""),"",E1181/INDEX(E:E,MATCH(DATE(YEAR($A1181)-1,MONTH($A1181),DAY($A1181)),$A:$A,0))-1),"")</f>
        <v/>
      </c>
      <c r="K1181" s="19">
        <f>IFERROR(IF(OR(F1181="",INDEX(F:F,MATCH(DATE(YEAR($A1181)-1,MONTH($A1181),DAY($A1181)),$A:$A,0))=""),"",F1181/INDEX(F:F,MATCH(DATE(YEAR($A1181)-1,MONTH($A1181),DAY($A1181)),$A:$A,0))-1),"")</f>
        <v/>
      </c>
      <c r="L1181" s="19">
        <f>IFERROR(IF(OR(G1181="",INDEX(G:G,MATCH(DATE(YEAR($A1181)-1,MONTH($A1181),DAY($A1181)),$A:$A,0))=""),"",G1181/INDEX(G:G,MATCH(DATE(YEAR($A1181)-1,MONTH($A1181),DAY($A1181)),$A:$A,0))-1),"")</f>
        <v/>
      </c>
      <c r="M1181" s="19">
        <f>IF(OR(E1181="",E1180=""),"",E1181/E1180-1)</f>
        <v/>
      </c>
      <c r="N1181" s="19">
        <f>IF(OR(F1181="",F1180=""),"",F1181/F1180-1)</f>
        <v/>
      </c>
      <c r="O1181" s="19">
        <f>IF(OR(G1181="",G1180=""),"",G1181/G1180-1)</f>
        <v/>
      </c>
      <c r="P1181" s="22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IF(R1181="","",P1181/R1181)</f>
        <v/>
      </c>
      <c r="T1181" s="23">
        <f>IF(R1181="","",Q1181/R1181)</f>
        <v/>
      </c>
      <c r="U1181" s="24">
        <f>IF(SUMIFS('Daily NSE Equity Options'!$M:$M,'Daily NSE Equity Options'!$A:$A,$A1181)=0,"",SUMIFS('Daily NSE Equity Options'!$M:$M,'Daily NSE Equity Options'!$A:$A,$A1181))</f>
        <v/>
      </c>
      <c r="V1181" s="9">
        <f>IF(SUMIFS('Daily BSE Equity Options'!$M:$M,'Daily BSE Equity Options'!$A:$A,$A1181)=0,"",SUMIFS('Daily BSE Equity Options'!$M:$M,'Daily BSE Equity Options'!$A:$A,$A1181))</f>
        <v/>
      </c>
      <c r="W1181" s="9">
        <f>IF(OR(U1181="",V1181=""),"",U1181+V1181)</f>
        <v/>
      </c>
      <c r="X1181" s="25">
        <f>IF(W1181="","",U1181/W1181)</f>
        <v/>
      </c>
      <c r="Y1181" s="25">
        <f>IF(W1181="","",V1181/W1181)</f>
        <v/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19">
        <f>IF(G1182="","",E1182/G1182)</f>
        <v/>
      </c>
      <c r="I1182" s="19">
        <f>IF(G1182="","",F1182/G1182)</f>
        <v/>
      </c>
      <c r="J1182" s="26">
        <f>IFERROR(IF(OR(E1182="",INDEX(E:E,MATCH(DATE(YEAR($A1182)-1,MONTH($A1182),DAY($A1182)),$A:$A,0))=""),"",E1182/INDEX(E:E,MATCH(DATE(YEAR($A1182)-1,MONTH($A1182),DAY($A1182)),$A:$A,0))-1),"")</f>
        <v/>
      </c>
      <c r="K1182" s="19">
        <f>IFERROR(IF(OR(F1182="",INDEX(F:F,MATCH(DATE(YEAR($A1182)-1,MONTH($A1182),DAY($A1182)),$A:$A,0))=""),"",F1182/INDEX(F:F,MATCH(DATE(YEAR($A1182)-1,MONTH($A1182),DAY($A1182)),$A:$A,0))-1),"")</f>
        <v/>
      </c>
      <c r="L1182" s="19">
        <f>IFERROR(IF(OR(G1182="",INDEX(G:G,MATCH(DATE(YEAR($A1182)-1,MONTH($A1182),DAY($A1182)),$A:$A,0))=""),"",G1182/INDEX(G:G,MATCH(DATE(YEAR($A1182)-1,MONTH($A1182),DAY($A1182)),$A:$A,0))-1),"")</f>
        <v/>
      </c>
      <c r="M1182" s="19">
        <f>IF(OR(E1182="",E1181=""),"",E1182/E1181-1)</f>
        <v/>
      </c>
      <c r="N1182" s="19">
        <f>IF(OR(F1182="",F1181=""),"",F1182/F1181-1)</f>
        <v/>
      </c>
      <c r="O1182" s="19">
        <f>IF(OR(G1182="",G1181=""),"",G1182/G1181-1)</f>
        <v/>
      </c>
      <c r="P1182" s="22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IF(R1182="","",P1182/R1182)</f>
        <v/>
      </c>
      <c r="T1182" s="23">
        <f>IF(R1182="","",Q1182/R1182)</f>
        <v/>
      </c>
      <c r="U1182" s="24">
        <f>IF(SUMIFS('Daily NSE Equity Options'!$M:$M,'Daily NSE Equity Options'!$A:$A,$A1182)=0,"",SUMIFS('Daily NSE Equity Options'!$M:$M,'Daily NSE Equity Options'!$A:$A,$A1182))</f>
        <v/>
      </c>
      <c r="V1182" s="9">
        <f>IF(SUMIFS('Daily BSE Equity Options'!$M:$M,'Daily BSE Equity Options'!$A:$A,$A1182)=0,"",SUMIFS('Daily BSE Equity Options'!$M:$M,'Daily BSE Equity Options'!$A:$A,$A1182))</f>
        <v/>
      </c>
      <c r="W1182" s="9">
        <f>IF(OR(U1182="",V1182=""),"",U1182+V1182)</f>
        <v/>
      </c>
      <c r="X1182" s="25">
        <f>IF(W1182="","",U1182/W1182)</f>
        <v/>
      </c>
      <c r="Y1182" s="25">
        <f>IF(W1182="","",V1182/W1182)</f>
        <v/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19">
        <f>IF(G1183="","",E1183/G1183)</f>
        <v/>
      </c>
      <c r="I1183" s="19">
        <f>IF(G1183="","",F1183/G1183)</f>
        <v/>
      </c>
      <c r="J1183" s="26">
        <f>IFERROR(IF(OR(E1183="",INDEX(E:E,MATCH(DATE(YEAR($A1183)-1,MONTH($A1183),DAY($A1183)),$A:$A,0))=""),"",E1183/INDEX(E:E,MATCH(DATE(YEAR($A1183)-1,MONTH($A1183),DAY($A1183)),$A:$A,0))-1),"")</f>
        <v/>
      </c>
      <c r="K1183" s="19">
        <f>IFERROR(IF(OR(F1183="",INDEX(F:F,MATCH(DATE(YEAR($A1183)-1,MONTH($A1183),DAY($A1183)),$A:$A,0))=""),"",F1183/INDEX(F:F,MATCH(DATE(YEAR($A1183)-1,MONTH($A1183),DAY($A1183)),$A:$A,0))-1),"")</f>
        <v/>
      </c>
      <c r="L1183" s="19">
        <f>IFERROR(IF(OR(G1183="",INDEX(G:G,MATCH(DATE(YEAR($A1183)-1,MONTH($A1183),DAY($A1183)),$A:$A,0))=""),"",G1183/INDEX(G:G,MATCH(DATE(YEAR($A1183)-1,MONTH($A1183),DAY($A1183)),$A:$A,0))-1),"")</f>
        <v/>
      </c>
      <c r="M1183" s="19">
        <f>IF(OR(E1183="",E1182=""),"",E1183/E1182-1)</f>
        <v/>
      </c>
      <c r="N1183" s="19">
        <f>IF(OR(F1183="",F1182=""),"",F1183/F1182-1)</f>
        <v/>
      </c>
      <c r="O1183" s="19">
        <f>IF(OR(G1183="",G1182=""),"",G1183/G1182-1)</f>
        <v/>
      </c>
      <c r="P1183" s="22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IF(R1183="","",P1183/R1183)</f>
        <v/>
      </c>
      <c r="T1183" s="23">
        <f>IF(R1183="","",Q1183/R1183)</f>
        <v/>
      </c>
      <c r="U1183" s="24">
        <f>IF(SUMIFS('Daily NSE Equity Options'!$M:$M,'Daily NSE Equity Options'!$A:$A,$A1183)=0,"",SUMIFS('Daily NSE Equity Options'!$M:$M,'Daily NSE Equity Options'!$A:$A,$A1183))</f>
        <v/>
      </c>
      <c r="V1183" s="9">
        <f>IF(SUMIFS('Daily BSE Equity Options'!$M:$M,'Daily BSE Equity Options'!$A:$A,$A1183)=0,"",SUMIFS('Daily BSE Equity Options'!$M:$M,'Daily BSE Equity Options'!$A:$A,$A1183))</f>
        <v/>
      </c>
      <c r="W1183" s="9">
        <f>IF(OR(U1183="",V1183=""),"",U1183+V1183)</f>
        <v/>
      </c>
      <c r="X1183" s="25">
        <f>IF(W1183="","",U1183/W1183)</f>
        <v/>
      </c>
      <c r="Y1183" s="25">
        <f>IF(W1183="","",V1183/W1183)</f>
        <v/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19">
        <f>IF(G1184="","",E1184/G1184)</f>
        <v/>
      </c>
      <c r="I1184" s="19">
        <f>IF(G1184="","",F1184/G1184)</f>
        <v/>
      </c>
      <c r="J1184" s="26">
        <f>IFERROR(IF(OR(E1184="",INDEX(E:E,MATCH(DATE(YEAR($A1184)-1,MONTH($A1184),DAY($A1184)),$A:$A,0))=""),"",E1184/INDEX(E:E,MATCH(DATE(YEAR($A1184)-1,MONTH($A1184),DAY($A1184)),$A:$A,0))-1),"")</f>
        <v/>
      </c>
      <c r="K1184" s="19">
        <f>IFERROR(IF(OR(F1184="",INDEX(F:F,MATCH(DATE(YEAR($A1184)-1,MONTH($A1184),DAY($A1184)),$A:$A,0))=""),"",F1184/INDEX(F:F,MATCH(DATE(YEAR($A1184)-1,MONTH($A1184),DAY($A1184)),$A:$A,0))-1),"")</f>
        <v/>
      </c>
      <c r="L1184" s="19">
        <f>IFERROR(IF(OR(G1184="",INDEX(G:G,MATCH(DATE(YEAR($A1184)-1,MONTH($A1184),DAY($A1184)),$A:$A,0))=""),"",G1184/INDEX(G:G,MATCH(DATE(YEAR($A1184)-1,MONTH($A1184),DAY($A1184)),$A:$A,0))-1),"")</f>
        <v/>
      </c>
      <c r="M1184" s="19">
        <f>IF(OR(E1184="",E1183=""),"",E1184/E1183-1)</f>
        <v/>
      </c>
      <c r="N1184" s="19">
        <f>IF(OR(F1184="",F1183=""),"",F1184/F1183-1)</f>
        <v/>
      </c>
      <c r="O1184" s="19">
        <f>IF(OR(G1184="",G1183=""),"",G1184/G1183-1)</f>
        <v/>
      </c>
      <c r="P1184" s="22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IF(R1184="","",P1184/R1184)</f>
        <v/>
      </c>
      <c r="T1184" s="23">
        <f>IF(R1184="","",Q1184/R1184)</f>
        <v/>
      </c>
      <c r="U1184" s="24">
        <f>IF(SUMIFS('Daily NSE Equity Options'!$M:$M,'Daily NSE Equity Options'!$A:$A,$A1184)=0,"",SUMIFS('Daily NSE Equity Options'!$M:$M,'Daily NSE Equity Options'!$A:$A,$A1184))</f>
        <v/>
      </c>
      <c r="V1184" s="9">
        <f>IF(SUMIFS('Daily BSE Equity Options'!$M:$M,'Daily BSE Equity Options'!$A:$A,$A1184)=0,"",SUMIFS('Daily BSE Equity Options'!$M:$M,'Daily BSE Equity Options'!$A:$A,$A1184))</f>
        <v/>
      </c>
      <c r="W1184" s="9">
        <f>IF(OR(U1184="",V1184=""),"",U1184+V1184)</f>
        <v/>
      </c>
      <c r="X1184" s="25">
        <f>IF(W1184="","",U1184/W1184)</f>
        <v/>
      </c>
      <c r="Y1184" s="25">
        <f>IF(W1184="","",V1184/W1184)</f>
        <v/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19">
        <f>IF(G1185="","",E1185/G1185)</f>
        <v/>
      </c>
      <c r="I1185" s="19">
        <f>IF(G1185="","",F1185/G1185)</f>
        <v/>
      </c>
      <c r="J1185" s="26">
        <f>IFERROR(IF(OR(E1185="",INDEX(E:E,MATCH(DATE(YEAR($A1185)-1,MONTH($A1185),DAY($A1185)),$A:$A,0))=""),"",E1185/INDEX(E:E,MATCH(DATE(YEAR($A1185)-1,MONTH($A1185),DAY($A1185)),$A:$A,0))-1),"")</f>
        <v/>
      </c>
      <c r="K1185" s="19">
        <f>IFERROR(IF(OR(F1185="",INDEX(F:F,MATCH(DATE(YEAR($A1185)-1,MONTH($A1185),DAY($A1185)),$A:$A,0))=""),"",F1185/INDEX(F:F,MATCH(DATE(YEAR($A1185)-1,MONTH($A1185),DAY($A1185)),$A:$A,0))-1),"")</f>
        <v/>
      </c>
      <c r="L1185" s="19">
        <f>IFERROR(IF(OR(G1185="",INDEX(G:G,MATCH(DATE(YEAR($A1185)-1,MONTH($A1185),DAY($A1185)),$A:$A,0))=""),"",G1185/INDEX(G:G,MATCH(DATE(YEAR($A1185)-1,MONTH($A1185),DAY($A1185)),$A:$A,0))-1),"")</f>
        <v/>
      </c>
      <c r="M1185" s="19">
        <f>IF(OR(E1185="",E1184=""),"",E1185/E1184-1)</f>
        <v/>
      </c>
      <c r="N1185" s="19">
        <f>IF(OR(F1185="",F1184=""),"",F1185/F1184-1)</f>
        <v/>
      </c>
      <c r="O1185" s="19">
        <f>IF(OR(G1185="",G1184=""),"",G1185/G1184-1)</f>
        <v/>
      </c>
      <c r="P1185" s="22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IF(R1185="","",P1185/R1185)</f>
        <v/>
      </c>
      <c r="T1185" s="23">
        <f>IF(R1185="","",Q1185/R1185)</f>
        <v/>
      </c>
      <c r="U1185" s="24">
        <f>IF(SUMIFS('Daily NSE Equity Options'!$M:$M,'Daily NSE Equity Options'!$A:$A,$A1185)=0,"",SUMIFS('Daily NSE Equity Options'!$M:$M,'Daily NSE Equity Options'!$A:$A,$A1185))</f>
        <v/>
      </c>
      <c r="V1185" s="9">
        <f>IF(SUMIFS('Daily BSE Equity Options'!$M:$M,'Daily BSE Equity Options'!$A:$A,$A1185)=0,"",SUMIFS('Daily BSE Equity Options'!$M:$M,'Daily BSE Equity Options'!$A:$A,$A1185))</f>
        <v/>
      </c>
      <c r="W1185" s="9">
        <f>IF(OR(U1185="",V1185=""),"",U1185+V1185)</f>
        <v/>
      </c>
      <c r="X1185" s="25">
        <f>IF(W1185="","",U1185/W1185)</f>
        <v/>
      </c>
      <c r="Y1185" s="25">
        <f>IF(W1185="","",V1185/W1185)</f>
        <v/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19">
        <f>IF(G1186="","",E1186/G1186)</f>
        <v/>
      </c>
      <c r="I1186" s="19">
        <f>IF(G1186="","",F1186/G1186)</f>
        <v/>
      </c>
      <c r="J1186" s="26">
        <f>IFERROR(IF(OR(E1186="",INDEX(E:E,MATCH(DATE(YEAR($A1186)-1,MONTH($A1186),DAY($A1186)),$A:$A,0))=""),"",E1186/INDEX(E:E,MATCH(DATE(YEAR($A1186)-1,MONTH($A1186),DAY($A1186)),$A:$A,0))-1),"")</f>
        <v/>
      </c>
      <c r="K1186" s="19">
        <f>IFERROR(IF(OR(F1186="",INDEX(F:F,MATCH(DATE(YEAR($A1186)-1,MONTH($A1186),DAY($A1186)),$A:$A,0))=""),"",F1186/INDEX(F:F,MATCH(DATE(YEAR($A1186)-1,MONTH($A1186),DAY($A1186)),$A:$A,0))-1),"")</f>
        <v/>
      </c>
      <c r="L1186" s="19">
        <f>IFERROR(IF(OR(G1186="",INDEX(G:G,MATCH(DATE(YEAR($A1186)-1,MONTH($A1186),DAY($A1186)),$A:$A,0))=""),"",G1186/INDEX(G:G,MATCH(DATE(YEAR($A1186)-1,MONTH($A1186),DAY($A1186)),$A:$A,0))-1),"")</f>
        <v/>
      </c>
      <c r="M1186" s="19">
        <f>IF(OR(E1186="",E1185=""),"",E1186/E1185-1)</f>
        <v/>
      </c>
      <c r="N1186" s="19">
        <f>IF(OR(F1186="",F1185=""),"",F1186/F1185-1)</f>
        <v/>
      </c>
      <c r="O1186" s="19">
        <f>IF(OR(G1186="",G1185=""),"",G1186/G1185-1)</f>
        <v/>
      </c>
      <c r="P1186" s="22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IF(R1186="","",P1186/R1186)</f>
        <v/>
      </c>
      <c r="T1186" s="23">
        <f>IF(R1186="","",Q1186/R1186)</f>
        <v/>
      </c>
      <c r="U1186" s="24">
        <f>IF(SUMIFS('Daily NSE Equity Options'!$M:$M,'Daily NSE Equity Options'!$A:$A,$A1186)=0,"",SUMIFS('Daily NSE Equity Options'!$M:$M,'Daily NSE Equity Options'!$A:$A,$A1186))</f>
        <v/>
      </c>
      <c r="V1186" s="9">
        <f>IF(SUMIFS('Daily BSE Equity Options'!$M:$M,'Daily BSE Equity Options'!$A:$A,$A1186)=0,"",SUMIFS('Daily BSE Equity Options'!$M:$M,'Daily BSE Equity Options'!$A:$A,$A1186))</f>
        <v/>
      </c>
      <c r="W1186" s="9">
        <f>IF(OR(U1186="",V1186=""),"",U1186+V1186)</f>
        <v/>
      </c>
      <c r="X1186" s="25">
        <f>IF(W1186="","",U1186/W1186)</f>
        <v/>
      </c>
      <c r="Y1186" s="25">
        <f>IF(W1186="","",V1186/W1186)</f>
        <v/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19">
        <f>IF(G1187="","",E1187/G1187)</f>
        <v/>
      </c>
      <c r="I1187" s="19">
        <f>IF(G1187="","",F1187/G1187)</f>
        <v/>
      </c>
      <c r="J1187" s="26">
        <f>IFERROR(IF(OR(E1187="",INDEX(E:E,MATCH(DATE(YEAR($A1187)-1,MONTH($A1187),DAY($A1187)),$A:$A,0))=""),"",E1187/INDEX(E:E,MATCH(DATE(YEAR($A1187)-1,MONTH($A1187),DAY($A1187)),$A:$A,0))-1),"")</f>
        <v/>
      </c>
      <c r="K1187" s="19">
        <f>IFERROR(IF(OR(F1187="",INDEX(F:F,MATCH(DATE(YEAR($A1187)-1,MONTH($A1187),DAY($A1187)),$A:$A,0))=""),"",F1187/INDEX(F:F,MATCH(DATE(YEAR($A1187)-1,MONTH($A1187),DAY($A1187)),$A:$A,0))-1),"")</f>
        <v/>
      </c>
      <c r="L1187" s="19">
        <f>IFERROR(IF(OR(G1187="",INDEX(G:G,MATCH(DATE(YEAR($A1187)-1,MONTH($A1187),DAY($A1187)),$A:$A,0))=""),"",G1187/INDEX(G:G,MATCH(DATE(YEAR($A1187)-1,MONTH($A1187),DAY($A1187)),$A:$A,0))-1),"")</f>
        <v/>
      </c>
      <c r="M1187" s="19">
        <f>IF(OR(E1187="",E1186=""),"",E1187/E1186-1)</f>
        <v/>
      </c>
      <c r="N1187" s="19">
        <f>IF(OR(F1187="",F1186=""),"",F1187/F1186-1)</f>
        <v/>
      </c>
      <c r="O1187" s="19">
        <f>IF(OR(G1187="",G1186=""),"",G1187/G1186-1)</f>
        <v/>
      </c>
      <c r="P1187" s="22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IF(R1187="","",P1187/R1187)</f>
        <v/>
      </c>
      <c r="T1187" s="23">
        <f>IF(R1187="","",Q1187/R1187)</f>
        <v/>
      </c>
      <c r="U1187" s="24">
        <f>IF(SUMIFS('Daily NSE Equity Options'!$M:$M,'Daily NSE Equity Options'!$A:$A,$A1187)=0,"",SUMIFS('Daily NSE Equity Options'!$M:$M,'Daily NSE Equity Options'!$A:$A,$A1187))</f>
        <v/>
      </c>
      <c r="V1187" s="9">
        <f>IF(SUMIFS('Daily BSE Equity Options'!$M:$M,'Daily BSE Equity Options'!$A:$A,$A1187)=0,"",SUMIFS('Daily BSE Equity Options'!$M:$M,'Daily BSE Equity Options'!$A:$A,$A1187))</f>
        <v/>
      </c>
      <c r="W1187" s="9">
        <f>IF(OR(U1187="",V1187=""),"",U1187+V1187)</f>
        <v/>
      </c>
      <c r="X1187" s="25">
        <f>IF(W1187="","",U1187/W1187)</f>
        <v/>
      </c>
      <c r="Y1187" s="25">
        <f>IF(W1187="","",V1187/W1187)</f>
        <v/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19">
        <f>IF(G1188="","",E1188/G1188)</f>
        <v/>
      </c>
      <c r="I1188" s="19">
        <f>IF(G1188="","",F1188/G1188)</f>
        <v/>
      </c>
      <c r="J1188" s="26">
        <f>IFERROR(IF(OR(E1188="",INDEX(E:E,MATCH(DATE(YEAR($A1188)-1,MONTH($A1188),DAY($A1188)),$A:$A,0))=""),"",E1188/INDEX(E:E,MATCH(DATE(YEAR($A1188)-1,MONTH($A1188),DAY($A1188)),$A:$A,0))-1),"")</f>
        <v/>
      </c>
      <c r="K1188" s="19">
        <f>IFERROR(IF(OR(F1188="",INDEX(F:F,MATCH(DATE(YEAR($A1188)-1,MONTH($A1188),DAY($A1188)),$A:$A,0))=""),"",F1188/INDEX(F:F,MATCH(DATE(YEAR($A1188)-1,MONTH($A1188),DAY($A1188)),$A:$A,0))-1),"")</f>
        <v/>
      </c>
      <c r="L1188" s="19">
        <f>IFERROR(IF(OR(G1188="",INDEX(G:G,MATCH(DATE(YEAR($A1188)-1,MONTH($A1188),DAY($A1188)),$A:$A,0))=""),"",G1188/INDEX(G:G,MATCH(DATE(YEAR($A1188)-1,MONTH($A1188),DAY($A1188)),$A:$A,0))-1),"")</f>
        <v/>
      </c>
      <c r="M1188" s="19">
        <f>IF(OR(E1188="",E1187=""),"",E1188/E1187-1)</f>
        <v/>
      </c>
      <c r="N1188" s="19">
        <f>IF(OR(F1188="",F1187=""),"",F1188/F1187-1)</f>
        <v/>
      </c>
      <c r="O1188" s="19">
        <f>IF(OR(G1188="",G1187=""),"",G1188/G1187-1)</f>
        <v/>
      </c>
      <c r="P1188" s="22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IF(R1188="","",P1188/R1188)</f>
        <v/>
      </c>
      <c r="T1188" s="23">
        <f>IF(R1188="","",Q1188/R1188)</f>
        <v/>
      </c>
      <c r="U1188" s="24">
        <f>IF(SUMIFS('Daily NSE Equity Options'!$M:$M,'Daily NSE Equity Options'!$A:$A,$A1188)=0,"",SUMIFS('Daily NSE Equity Options'!$M:$M,'Daily NSE Equity Options'!$A:$A,$A1188))</f>
        <v/>
      </c>
      <c r="V1188" s="9">
        <f>IF(SUMIFS('Daily BSE Equity Options'!$M:$M,'Daily BSE Equity Options'!$A:$A,$A1188)=0,"",SUMIFS('Daily BSE Equity Options'!$M:$M,'Daily BSE Equity Options'!$A:$A,$A1188))</f>
        <v/>
      </c>
      <c r="W1188" s="9">
        <f>IF(OR(U1188="",V1188=""),"",U1188+V1188)</f>
        <v/>
      </c>
      <c r="X1188" s="25">
        <f>IF(W1188="","",U1188/W1188)</f>
        <v/>
      </c>
      <c r="Y1188" s="25">
        <f>IF(W1188="","",V1188/W1188)</f>
        <v/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19">
        <f>IF(G1189="","",E1189/G1189)</f>
        <v/>
      </c>
      <c r="I1189" s="19">
        <f>IF(G1189="","",F1189/G1189)</f>
        <v/>
      </c>
      <c r="J1189" s="26">
        <f>IFERROR(IF(OR(E1189="",INDEX(E:E,MATCH(DATE(YEAR($A1189)-1,MONTH($A1189),DAY($A1189)),$A:$A,0))=""),"",E1189/INDEX(E:E,MATCH(DATE(YEAR($A1189)-1,MONTH($A1189),DAY($A1189)),$A:$A,0))-1),"")</f>
        <v/>
      </c>
      <c r="K1189" s="19">
        <f>IFERROR(IF(OR(F1189="",INDEX(F:F,MATCH(DATE(YEAR($A1189)-1,MONTH($A1189),DAY($A1189)),$A:$A,0))=""),"",F1189/INDEX(F:F,MATCH(DATE(YEAR($A1189)-1,MONTH($A1189),DAY($A1189)),$A:$A,0))-1),"")</f>
        <v/>
      </c>
      <c r="L1189" s="19">
        <f>IFERROR(IF(OR(G1189="",INDEX(G:G,MATCH(DATE(YEAR($A1189)-1,MONTH($A1189),DAY($A1189)),$A:$A,0))=""),"",G1189/INDEX(G:G,MATCH(DATE(YEAR($A1189)-1,MONTH($A1189),DAY($A1189)),$A:$A,0))-1),"")</f>
        <v/>
      </c>
      <c r="M1189" s="19">
        <f>IF(OR(E1189="",E1188=""),"",E1189/E1188-1)</f>
        <v/>
      </c>
      <c r="N1189" s="19">
        <f>IF(OR(F1189="",F1188=""),"",F1189/F1188-1)</f>
        <v/>
      </c>
      <c r="O1189" s="19">
        <f>IF(OR(G1189="",G1188=""),"",G1189/G1188-1)</f>
        <v/>
      </c>
      <c r="P1189" s="22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IF(R1189="","",P1189/R1189)</f>
        <v/>
      </c>
      <c r="T1189" s="23">
        <f>IF(R1189="","",Q1189/R1189)</f>
        <v/>
      </c>
      <c r="U1189" s="24">
        <f>IF(SUMIFS('Daily NSE Equity Options'!$M:$M,'Daily NSE Equity Options'!$A:$A,$A1189)=0,"",SUMIFS('Daily NSE Equity Options'!$M:$M,'Daily NSE Equity Options'!$A:$A,$A1189))</f>
        <v/>
      </c>
      <c r="V1189" s="9">
        <f>IF(SUMIFS('Daily BSE Equity Options'!$M:$M,'Daily BSE Equity Options'!$A:$A,$A1189)=0,"",SUMIFS('Daily BSE Equity Options'!$M:$M,'Daily BSE Equity Options'!$A:$A,$A1189))</f>
        <v/>
      </c>
      <c r="W1189" s="9">
        <f>IF(OR(U1189="",V1189=""),"",U1189+V1189)</f>
        <v/>
      </c>
      <c r="X1189" s="25">
        <f>IF(W1189="","",U1189/W1189)</f>
        <v/>
      </c>
      <c r="Y1189" s="25">
        <f>IF(W1189="","",V1189/W1189)</f>
        <v/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19">
        <f>IF(G1190="","",E1190/G1190)</f>
        <v/>
      </c>
      <c r="I1190" s="19">
        <f>IF(G1190="","",F1190/G1190)</f>
        <v/>
      </c>
      <c r="J1190" s="26">
        <f>IFERROR(IF(OR(E1190="",INDEX(E:E,MATCH(DATE(YEAR($A1190)-1,MONTH($A1190),DAY($A1190)),$A:$A,0))=""),"",E1190/INDEX(E:E,MATCH(DATE(YEAR($A1190)-1,MONTH($A1190),DAY($A1190)),$A:$A,0))-1),"")</f>
        <v/>
      </c>
      <c r="K1190" s="19">
        <f>IFERROR(IF(OR(F1190="",INDEX(F:F,MATCH(DATE(YEAR($A1190)-1,MONTH($A1190),DAY($A1190)),$A:$A,0))=""),"",F1190/INDEX(F:F,MATCH(DATE(YEAR($A1190)-1,MONTH($A1190),DAY($A1190)),$A:$A,0))-1),"")</f>
        <v/>
      </c>
      <c r="L1190" s="19">
        <f>IFERROR(IF(OR(G1190="",INDEX(G:G,MATCH(DATE(YEAR($A1190)-1,MONTH($A1190),DAY($A1190)),$A:$A,0))=""),"",G1190/INDEX(G:G,MATCH(DATE(YEAR($A1190)-1,MONTH($A1190),DAY($A1190)),$A:$A,0))-1),"")</f>
        <v/>
      </c>
      <c r="M1190" s="19">
        <f>IF(OR(E1190="",E1189=""),"",E1190/E1189-1)</f>
        <v/>
      </c>
      <c r="N1190" s="19">
        <f>IF(OR(F1190="",F1189=""),"",F1190/F1189-1)</f>
        <v/>
      </c>
      <c r="O1190" s="19">
        <f>IF(OR(G1190="",G1189=""),"",G1190/G1189-1)</f>
        <v/>
      </c>
      <c r="P1190" s="22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IF(R1190="","",P1190/R1190)</f>
        <v/>
      </c>
      <c r="T1190" s="23">
        <f>IF(R1190="","",Q1190/R1190)</f>
        <v/>
      </c>
      <c r="U1190" s="24">
        <f>IF(SUMIFS('Daily NSE Equity Options'!$M:$M,'Daily NSE Equity Options'!$A:$A,$A1190)=0,"",SUMIFS('Daily NSE Equity Options'!$M:$M,'Daily NSE Equity Options'!$A:$A,$A1190))</f>
        <v/>
      </c>
      <c r="V1190" s="9">
        <f>IF(SUMIFS('Daily BSE Equity Options'!$M:$M,'Daily BSE Equity Options'!$A:$A,$A1190)=0,"",SUMIFS('Daily BSE Equity Options'!$M:$M,'Daily BSE Equity Options'!$A:$A,$A1190))</f>
        <v/>
      </c>
      <c r="W1190" s="9">
        <f>IF(OR(U1190="",V1190=""),"",U1190+V1190)</f>
        <v/>
      </c>
      <c r="X1190" s="25">
        <f>IF(W1190="","",U1190/W1190)</f>
        <v/>
      </c>
      <c r="Y1190" s="25">
        <f>IF(W1190="","",V1190/W1190)</f>
        <v/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19">
        <f>IF(G1191="","",E1191/G1191)</f>
        <v/>
      </c>
      <c r="I1191" s="19">
        <f>IF(G1191="","",F1191/G1191)</f>
        <v/>
      </c>
      <c r="J1191" s="26">
        <f>IFERROR(IF(OR(E1191="",INDEX(E:E,MATCH(DATE(YEAR($A1191)-1,MONTH($A1191),DAY($A1191)),$A:$A,0))=""),"",E1191/INDEX(E:E,MATCH(DATE(YEAR($A1191)-1,MONTH($A1191),DAY($A1191)),$A:$A,0))-1),"")</f>
        <v/>
      </c>
      <c r="K1191" s="19">
        <f>IFERROR(IF(OR(F1191="",INDEX(F:F,MATCH(DATE(YEAR($A1191)-1,MONTH($A1191),DAY($A1191)),$A:$A,0))=""),"",F1191/INDEX(F:F,MATCH(DATE(YEAR($A1191)-1,MONTH($A1191),DAY($A1191)),$A:$A,0))-1),"")</f>
        <v/>
      </c>
      <c r="L1191" s="19">
        <f>IFERROR(IF(OR(G1191="",INDEX(G:G,MATCH(DATE(YEAR($A1191)-1,MONTH($A1191),DAY($A1191)),$A:$A,0))=""),"",G1191/INDEX(G:G,MATCH(DATE(YEAR($A1191)-1,MONTH($A1191),DAY($A1191)),$A:$A,0))-1),"")</f>
        <v/>
      </c>
      <c r="M1191" s="19">
        <f>IF(OR(E1191="",E1190=""),"",E1191/E1190-1)</f>
        <v/>
      </c>
      <c r="N1191" s="19">
        <f>IF(OR(F1191="",F1190=""),"",F1191/F1190-1)</f>
        <v/>
      </c>
      <c r="O1191" s="19">
        <f>IF(OR(G1191="",G1190=""),"",G1191/G1190-1)</f>
        <v/>
      </c>
      <c r="P1191" s="22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IF(R1191="","",P1191/R1191)</f>
        <v/>
      </c>
      <c r="T1191" s="23">
        <f>IF(R1191="","",Q1191/R1191)</f>
        <v/>
      </c>
      <c r="U1191" s="24">
        <f>IF(SUMIFS('Daily NSE Equity Options'!$M:$M,'Daily NSE Equity Options'!$A:$A,$A1191)=0,"",SUMIFS('Daily NSE Equity Options'!$M:$M,'Daily NSE Equity Options'!$A:$A,$A1191))</f>
        <v/>
      </c>
      <c r="V1191" s="9">
        <f>IF(SUMIFS('Daily BSE Equity Options'!$M:$M,'Daily BSE Equity Options'!$A:$A,$A1191)=0,"",SUMIFS('Daily BSE Equity Options'!$M:$M,'Daily BSE Equity Options'!$A:$A,$A1191))</f>
        <v/>
      </c>
      <c r="W1191" s="9">
        <f>IF(OR(U1191="",V1191=""),"",U1191+V1191)</f>
        <v/>
      </c>
      <c r="X1191" s="25">
        <f>IF(W1191="","",U1191/W1191)</f>
        <v/>
      </c>
      <c r="Y1191" s="25">
        <f>IF(W1191="","",V1191/W1191)</f>
        <v/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19">
        <f>IF(G1192="","",E1192/G1192)</f>
        <v/>
      </c>
      <c r="I1192" s="19">
        <f>IF(G1192="","",F1192/G1192)</f>
        <v/>
      </c>
      <c r="J1192" s="26">
        <f>IFERROR(IF(OR(E1192="",INDEX(E:E,MATCH(DATE(YEAR($A1192)-1,MONTH($A1192),DAY($A1192)),$A:$A,0))=""),"",E1192/INDEX(E:E,MATCH(DATE(YEAR($A1192)-1,MONTH($A1192),DAY($A1192)),$A:$A,0))-1),"")</f>
        <v/>
      </c>
      <c r="K1192" s="19">
        <f>IFERROR(IF(OR(F1192="",INDEX(F:F,MATCH(DATE(YEAR($A1192)-1,MONTH($A1192),DAY($A1192)),$A:$A,0))=""),"",F1192/INDEX(F:F,MATCH(DATE(YEAR($A1192)-1,MONTH($A1192),DAY($A1192)),$A:$A,0))-1),"")</f>
        <v/>
      </c>
      <c r="L1192" s="19">
        <f>IFERROR(IF(OR(G1192="",INDEX(G:G,MATCH(DATE(YEAR($A1192)-1,MONTH($A1192),DAY($A1192)),$A:$A,0))=""),"",G1192/INDEX(G:G,MATCH(DATE(YEAR($A1192)-1,MONTH($A1192),DAY($A1192)),$A:$A,0))-1),"")</f>
        <v/>
      </c>
      <c r="M1192" s="19">
        <f>IF(OR(E1192="",E1191=""),"",E1192/E1191-1)</f>
        <v/>
      </c>
      <c r="N1192" s="19">
        <f>IF(OR(F1192="",F1191=""),"",F1192/F1191-1)</f>
        <v/>
      </c>
      <c r="O1192" s="19">
        <f>IF(OR(G1192="",G1191=""),"",G1192/G1191-1)</f>
        <v/>
      </c>
      <c r="P1192" s="22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IF(R1192="","",P1192/R1192)</f>
        <v/>
      </c>
      <c r="T1192" s="23">
        <f>IF(R1192="","",Q1192/R1192)</f>
        <v/>
      </c>
      <c r="U1192" s="24">
        <f>IF(SUMIFS('Daily NSE Equity Options'!$M:$M,'Daily NSE Equity Options'!$A:$A,$A1192)=0,"",SUMIFS('Daily NSE Equity Options'!$M:$M,'Daily NSE Equity Options'!$A:$A,$A1192))</f>
        <v/>
      </c>
      <c r="V1192" s="9">
        <f>IF(SUMIFS('Daily BSE Equity Options'!$M:$M,'Daily BSE Equity Options'!$A:$A,$A1192)=0,"",SUMIFS('Daily BSE Equity Options'!$M:$M,'Daily BSE Equity Options'!$A:$A,$A1192))</f>
        <v/>
      </c>
      <c r="W1192" s="9">
        <f>IF(OR(U1192="",V1192=""),"",U1192+V1192)</f>
        <v/>
      </c>
      <c r="X1192" s="25">
        <f>IF(W1192="","",U1192/W1192)</f>
        <v/>
      </c>
      <c r="Y1192" s="25">
        <f>IF(W1192="","",V1192/W1192)</f>
        <v/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19">
        <f>IF(G1193="","",E1193/G1193)</f>
        <v/>
      </c>
      <c r="I1193" s="19">
        <f>IF(G1193="","",F1193/G1193)</f>
        <v/>
      </c>
      <c r="J1193" s="26">
        <f>IFERROR(IF(OR(E1193="",INDEX(E:E,MATCH(DATE(YEAR($A1193)-1,MONTH($A1193),DAY($A1193)),$A:$A,0))=""),"",E1193/INDEX(E:E,MATCH(DATE(YEAR($A1193)-1,MONTH($A1193),DAY($A1193)),$A:$A,0))-1),"")</f>
        <v/>
      </c>
      <c r="K1193" s="19">
        <f>IFERROR(IF(OR(F1193="",INDEX(F:F,MATCH(DATE(YEAR($A1193)-1,MONTH($A1193),DAY($A1193)),$A:$A,0))=""),"",F1193/INDEX(F:F,MATCH(DATE(YEAR($A1193)-1,MONTH($A1193),DAY($A1193)),$A:$A,0))-1),"")</f>
        <v/>
      </c>
      <c r="L1193" s="19">
        <f>IFERROR(IF(OR(G1193="",INDEX(G:G,MATCH(DATE(YEAR($A1193)-1,MONTH($A1193),DAY($A1193)),$A:$A,0))=""),"",G1193/INDEX(G:G,MATCH(DATE(YEAR($A1193)-1,MONTH($A1193),DAY($A1193)),$A:$A,0))-1),"")</f>
        <v/>
      </c>
      <c r="M1193" s="19">
        <f>IF(OR(E1193="",E1192=""),"",E1193/E1192-1)</f>
        <v/>
      </c>
      <c r="N1193" s="19">
        <f>IF(OR(F1193="",F1192=""),"",F1193/F1192-1)</f>
        <v/>
      </c>
      <c r="O1193" s="19">
        <f>IF(OR(G1193="",G1192=""),"",G1193/G1192-1)</f>
        <v/>
      </c>
      <c r="P1193" s="22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IF(R1193="","",P1193/R1193)</f>
        <v/>
      </c>
      <c r="T1193" s="23">
        <f>IF(R1193="","",Q1193/R1193)</f>
        <v/>
      </c>
      <c r="U1193" s="24">
        <f>IF(SUMIFS('Daily NSE Equity Options'!$M:$M,'Daily NSE Equity Options'!$A:$A,$A1193)=0,"",SUMIFS('Daily NSE Equity Options'!$M:$M,'Daily NSE Equity Options'!$A:$A,$A1193))</f>
        <v/>
      </c>
      <c r="V1193" s="9">
        <f>IF(SUMIFS('Daily BSE Equity Options'!$M:$M,'Daily BSE Equity Options'!$A:$A,$A1193)=0,"",SUMIFS('Daily BSE Equity Options'!$M:$M,'Daily BSE Equity Options'!$A:$A,$A1193))</f>
        <v/>
      </c>
      <c r="W1193" s="9">
        <f>IF(OR(U1193="",V1193=""),"",U1193+V1193)</f>
        <v/>
      </c>
      <c r="X1193" s="25">
        <f>IF(W1193="","",U1193/W1193)</f>
        <v/>
      </c>
      <c r="Y1193" s="25">
        <f>IF(W1193="","",V1193/W1193)</f>
        <v/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19">
        <f>IF(G1194="","",E1194/G1194)</f>
        <v/>
      </c>
      <c r="I1194" s="19">
        <f>IF(G1194="","",F1194/G1194)</f>
        <v/>
      </c>
      <c r="J1194" s="26">
        <f>IFERROR(IF(OR(E1194="",INDEX(E:E,MATCH(DATE(YEAR($A1194)-1,MONTH($A1194),DAY($A1194)),$A:$A,0))=""),"",E1194/INDEX(E:E,MATCH(DATE(YEAR($A1194)-1,MONTH($A1194),DAY($A1194)),$A:$A,0))-1),"")</f>
        <v/>
      </c>
      <c r="K1194" s="19">
        <f>IFERROR(IF(OR(F1194="",INDEX(F:F,MATCH(DATE(YEAR($A1194)-1,MONTH($A1194),DAY($A1194)),$A:$A,0))=""),"",F1194/INDEX(F:F,MATCH(DATE(YEAR($A1194)-1,MONTH($A1194),DAY($A1194)),$A:$A,0))-1),"")</f>
        <v/>
      </c>
      <c r="L1194" s="19">
        <f>IFERROR(IF(OR(G1194="",INDEX(G:G,MATCH(DATE(YEAR($A1194)-1,MONTH($A1194),DAY($A1194)),$A:$A,0))=""),"",G1194/INDEX(G:G,MATCH(DATE(YEAR($A1194)-1,MONTH($A1194),DAY($A1194)),$A:$A,0))-1),"")</f>
        <v/>
      </c>
      <c r="M1194" s="19">
        <f>IF(OR(E1194="",E1193=""),"",E1194/E1193-1)</f>
        <v/>
      </c>
      <c r="N1194" s="19">
        <f>IF(OR(F1194="",F1193=""),"",F1194/F1193-1)</f>
        <v/>
      </c>
      <c r="O1194" s="19">
        <f>IF(OR(G1194="",G1193=""),"",G1194/G1193-1)</f>
        <v/>
      </c>
      <c r="P1194" s="22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IF(R1194="","",P1194/R1194)</f>
        <v/>
      </c>
      <c r="T1194" s="23">
        <f>IF(R1194="","",Q1194/R1194)</f>
        <v/>
      </c>
      <c r="U1194" s="24">
        <f>IF(SUMIFS('Daily NSE Equity Options'!$M:$M,'Daily NSE Equity Options'!$A:$A,$A1194)=0,"",SUMIFS('Daily NSE Equity Options'!$M:$M,'Daily NSE Equity Options'!$A:$A,$A1194))</f>
        <v/>
      </c>
      <c r="V1194" s="9">
        <f>IF(SUMIFS('Daily BSE Equity Options'!$M:$M,'Daily BSE Equity Options'!$A:$A,$A1194)=0,"",SUMIFS('Daily BSE Equity Options'!$M:$M,'Daily BSE Equity Options'!$A:$A,$A1194))</f>
        <v/>
      </c>
      <c r="W1194" s="9">
        <f>IF(OR(U1194="",V1194=""),"",U1194+V1194)</f>
        <v/>
      </c>
      <c r="X1194" s="25">
        <f>IF(W1194="","",U1194/W1194)</f>
        <v/>
      </c>
      <c r="Y1194" s="25">
        <f>IF(W1194="","",V1194/W1194)</f>
        <v/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19">
        <f>IF(G1195="","",E1195/G1195)</f>
        <v/>
      </c>
      <c r="I1195" s="19">
        <f>IF(G1195="","",F1195/G1195)</f>
        <v/>
      </c>
      <c r="J1195" s="26">
        <f>IFERROR(IF(OR(E1195="",INDEX(E:E,MATCH(DATE(YEAR($A1195)-1,MONTH($A1195),DAY($A1195)),$A:$A,0))=""),"",E1195/INDEX(E:E,MATCH(DATE(YEAR($A1195)-1,MONTH($A1195),DAY($A1195)),$A:$A,0))-1),"")</f>
        <v/>
      </c>
      <c r="K1195" s="19">
        <f>IFERROR(IF(OR(F1195="",INDEX(F:F,MATCH(DATE(YEAR($A1195)-1,MONTH($A1195),DAY($A1195)),$A:$A,0))=""),"",F1195/INDEX(F:F,MATCH(DATE(YEAR($A1195)-1,MONTH($A1195),DAY($A1195)),$A:$A,0))-1),"")</f>
        <v/>
      </c>
      <c r="L1195" s="19">
        <f>IFERROR(IF(OR(G1195="",INDEX(G:G,MATCH(DATE(YEAR($A1195)-1,MONTH($A1195),DAY($A1195)),$A:$A,0))=""),"",G1195/INDEX(G:G,MATCH(DATE(YEAR($A1195)-1,MONTH($A1195),DAY($A1195)),$A:$A,0))-1),"")</f>
        <v/>
      </c>
      <c r="M1195" s="19">
        <f>IF(OR(E1195="",E1194=""),"",E1195/E1194-1)</f>
        <v/>
      </c>
      <c r="N1195" s="19">
        <f>IF(OR(F1195="",F1194=""),"",F1195/F1194-1)</f>
        <v/>
      </c>
      <c r="O1195" s="19">
        <f>IF(OR(G1195="",G1194=""),"",G1195/G1194-1)</f>
        <v/>
      </c>
      <c r="P1195" s="22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IF(R1195="","",P1195/R1195)</f>
        <v/>
      </c>
      <c r="T1195" s="23">
        <f>IF(R1195="","",Q1195/R1195)</f>
        <v/>
      </c>
      <c r="U1195" s="24">
        <f>IF(SUMIFS('Daily NSE Equity Options'!$M:$M,'Daily NSE Equity Options'!$A:$A,$A1195)=0,"",SUMIFS('Daily NSE Equity Options'!$M:$M,'Daily NSE Equity Options'!$A:$A,$A1195))</f>
        <v/>
      </c>
      <c r="V1195" s="9">
        <f>IF(SUMIFS('Daily BSE Equity Options'!$M:$M,'Daily BSE Equity Options'!$A:$A,$A1195)=0,"",SUMIFS('Daily BSE Equity Options'!$M:$M,'Daily BSE Equity Options'!$A:$A,$A1195))</f>
        <v/>
      </c>
      <c r="W1195" s="9">
        <f>IF(OR(U1195="",V1195=""),"",U1195+V1195)</f>
        <v/>
      </c>
      <c r="X1195" s="25">
        <f>IF(W1195="","",U1195/W1195)</f>
        <v/>
      </c>
      <c r="Y1195" s="25">
        <f>IF(W1195="","",V1195/W1195)</f>
        <v/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19">
        <f>IF(G1196="","",E1196/G1196)</f>
        <v/>
      </c>
      <c r="I1196" s="19">
        <f>IF(G1196="","",F1196/G1196)</f>
        <v/>
      </c>
      <c r="J1196" s="26">
        <f>IFERROR(IF(OR(E1196="",INDEX(E:E,MATCH(DATE(YEAR($A1196)-1,MONTH($A1196),DAY($A1196)),$A:$A,0))=""),"",E1196/INDEX(E:E,MATCH(DATE(YEAR($A1196)-1,MONTH($A1196),DAY($A1196)),$A:$A,0))-1),"")</f>
        <v/>
      </c>
      <c r="K1196" s="19">
        <f>IFERROR(IF(OR(F1196="",INDEX(F:F,MATCH(DATE(YEAR($A1196)-1,MONTH($A1196),DAY($A1196)),$A:$A,0))=""),"",F1196/INDEX(F:F,MATCH(DATE(YEAR($A1196)-1,MONTH($A1196),DAY($A1196)),$A:$A,0))-1),"")</f>
        <v/>
      </c>
      <c r="L1196" s="19">
        <f>IFERROR(IF(OR(G1196="",INDEX(G:G,MATCH(DATE(YEAR($A1196)-1,MONTH($A1196),DAY($A1196)),$A:$A,0))=""),"",G1196/INDEX(G:G,MATCH(DATE(YEAR($A1196)-1,MONTH($A1196),DAY($A1196)),$A:$A,0))-1),"")</f>
        <v/>
      </c>
      <c r="M1196" s="19">
        <f>IF(OR(E1196="",E1195=""),"",E1196/E1195-1)</f>
        <v/>
      </c>
      <c r="N1196" s="19">
        <f>IF(OR(F1196="",F1195=""),"",F1196/F1195-1)</f>
        <v/>
      </c>
      <c r="O1196" s="19">
        <f>IF(OR(G1196="",G1195=""),"",G1196/G1195-1)</f>
        <v/>
      </c>
      <c r="P1196" s="22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IF(R1196="","",P1196/R1196)</f>
        <v/>
      </c>
      <c r="T1196" s="23">
        <f>IF(R1196="","",Q1196/R1196)</f>
        <v/>
      </c>
      <c r="U1196" s="24">
        <f>IF(SUMIFS('Daily NSE Equity Options'!$M:$M,'Daily NSE Equity Options'!$A:$A,$A1196)=0,"",SUMIFS('Daily NSE Equity Options'!$M:$M,'Daily NSE Equity Options'!$A:$A,$A1196))</f>
        <v/>
      </c>
      <c r="V1196" s="9">
        <f>IF(SUMIFS('Daily BSE Equity Options'!$M:$M,'Daily BSE Equity Options'!$A:$A,$A1196)=0,"",SUMIFS('Daily BSE Equity Options'!$M:$M,'Daily BSE Equity Options'!$A:$A,$A1196))</f>
        <v/>
      </c>
      <c r="W1196" s="9">
        <f>IF(OR(U1196="",V1196=""),"",U1196+V1196)</f>
        <v/>
      </c>
      <c r="X1196" s="25">
        <f>IF(W1196="","",U1196/W1196)</f>
        <v/>
      </c>
      <c r="Y1196" s="25">
        <f>IF(W1196="","",V1196/W1196)</f>
        <v/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19">
        <f>IF(G1197="","",E1197/G1197)</f>
        <v/>
      </c>
      <c r="I1197" s="19">
        <f>IF(G1197="","",F1197/G1197)</f>
        <v/>
      </c>
      <c r="J1197" s="26">
        <f>IFERROR(IF(OR(E1197="",INDEX(E:E,MATCH(DATE(YEAR($A1197)-1,MONTH($A1197),DAY($A1197)),$A:$A,0))=""),"",E1197/INDEX(E:E,MATCH(DATE(YEAR($A1197)-1,MONTH($A1197),DAY($A1197)),$A:$A,0))-1),"")</f>
        <v/>
      </c>
      <c r="K1197" s="19">
        <f>IFERROR(IF(OR(F1197="",INDEX(F:F,MATCH(DATE(YEAR($A1197)-1,MONTH($A1197),DAY($A1197)),$A:$A,0))=""),"",F1197/INDEX(F:F,MATCH(DATE(YEAR($A1197)-1,MONTH($A1197),DAY($A1197)),$A:$A,0))-1),"")</f>
        <v/>
      </c>
      <c r="L1197" s="19">
        <f>IFERROR(IF(OR(G1197="",INDEX(G:G,MATCH(DATE(YEAR($A1197)-1,MONTH($A1197),DAY($A1197)),$A:$A,0))=""),"",G1197/INDEX(G:G,MATCH(DATE(YEAR($A1197)-1,MONTH($A1197),DAY($A1197)),$A:$A,0))-1),"")</f>
        <v/>
      </c>
      <c r="M1197" s="19">
        <f>IF(OR(E1197="",E1196=""),"",E1197/E1196-1)</f>
        <v/>
      </c>
      <c r="N1197" s="19">
        <f>IF(OR(F1197="",F1196=""),"",F1197/F1196-1)</f>
        <v/>
      </c>
      <c r="O1197" s="19">
        <f>IF(OR(G1197="",G1196=""),"",G1197/G1196-1)</f>
        <v/>
      </c>
      <c r="P1197" s="22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IF(R1197="","",P1197/R1197)</f>
        <v/>
      </c>
      <c r="T1197" s="23">
        <f>IF(R1197="","",Q1197/R1197)</f>
        <v/>
      </c>
      <c r="U1197" s="24">
        <f>IF(SUMIFS('Daily NSE Equity Options'!$M:$M,'Daily NSE Equity Options'!$A:$A,$A1197)=0,"",SUMIFS('Daily NSE Equity Options'!$M:$M,'Daily NSE Equity Options'!$A:$A,$A1197))</f>
        <v/>
      </c>
      <c r="V1197" s="9">
        <f>IF(SUMIFS('Daily BSE Equity Options'!$M:$M,'Daily BSE Equity Options'!$A:$A,$A1197)=0,"",SUMIFS('Daily BSE Equity Options'!$M:$M,'Daily BSE Equity Options'!$A:$A,$A1197))</f>
        <v/>
      </c>
      <c r="W1197" s="9">
        <f>IF(OR(U1197="",V1197=""),"",U1197+V1197)</f>
        <v/>
      </c>
      <c r="X1197" s="25">
        <f>IF(W1197="","",U1197/W1197)</f>
        <v/>
      </c>
      <c r="Y1197" s="25">
        <f>IF(W1197="","",V1197/W1197)</f>
        <v/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19">
        <f>IF(G1198="","",E1198/G1198)</f>
        <v/>
      </c>
      <c r="I1198" s="19">
        <f>IF(G1198="","",F1198/G1198)</f>
        <v/>
      </c>
      <c r="J1198" s="26">
        <f>IFERROR(IF(OR(E1198="",INDEX(E:E,MATCH(DATE(YEAR($A1198)-1,MONTH($A1198),DAY($A1198)),$A:$A,0))=""),"",E1198/INDEX(E:E,MATCH(DATE(YEAR($A1198)-1,MONTH($A1198),DAY($A1198)),$A:$A,0))-1),"")</f>
        <v/>
      </c>
      <c r="K1198" s="19">
        <f>IFERROR(IF(OR(F1198="",INDEX(F:F,MATCH(DATE(YEAR($A1198)-1,MONTH($A1198),DAY($A1198)),$A:$A,0))=""),"",F1198/INDEX(F:F,MATCH(DATE(YEAR($A1198)-1,MONTH($A1198),DAY($A1198)),$A:$A,0))-1),"")</f>
        <v/>
      </c>
      <c r="L1198" s="19">
        <f>IFERROR(IF(OR(G1198="",INDEX(G:G,MATCH(DATE(YEAR($A1198)-1,MONTH($A1198),DAY($A1198)),$A:$A,0))=""),"",G1198/INDEX(G:G,MATCH(DATE(YEAR($A1198)-1,MONTH($A1198),DAY($A1198)),$A:$A,0))-1),"")</f>
        <v/>
      </c>
      <c r="M1198" s="19">
        <f>IF(OR(E1198="",E1197=""),"",E1198/E1197-1)</f>
        <v/>
      </c>
      <c r="N1198" s="19">
        <f>IF(OR(F1198="",F1197=""),"",F1198/F1197-1)</f>
        <v/>
      </c>
      <c r="O1198" s="19">
        <f>IF(OR(G1198="",G1197=""),"",G1198/G1197-1)</f>
        <v/>
      </c>
      <c r="P1198" s="22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IF(R1198="","",P1198/R1198)</f>
        <v/>
      </c>
      <c r="T1198" s="23">
        <f>IF(R1198="","",Q1198/R1198)</f>
        <v/>
      </c>
      <c r="U1198" s="24">
        <f>IF(SUMIFS('Daily NSE Equity Options'!$M:$M,'Daily NSE Equity Options'!$A:$A,$A1198)=0,"",SUMIFS('Daily NSE Equity Options'!$M:$M,'Daily NSE Equity Options'!$A:$A,$A1198))</f>
        <v/>
      </c>
      <c r="V1198" s="9">
        <f>IF(SUMIFS('Daily BSE Equity Options'!$M:$M,'Daily BSE Equity Options'!$A:$A,$A1198)=0,"",SUMIFS('Daily BSE Equity Options'!$M:$M,'Daily BSE Equity Options'!$A:$A,$A1198))</f>
        <v/>
      </c>
      <c r="W1198" s="9">
        <f>IF(OR(U1198="",V1198=""),"",U1198+V1198)</f>
        <v/>
      </c>
      <c r="X1198" s="25">
        <f>IF(W1198="","",U1198/W1198)</f>
        <v/>
      </c>
      <c r="Y1198" s="25">
        <f>IF(W1198="","",V1198/W1198)</f>
        <v/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19">
        <f>IF(G1199="","",E1199/G1199)</f>
        <v/>
      </c>
      <c r="I1199" s="19">
        <f>IF(G1199="","",F1199/G1199)</f>
        <v/>
      </c>
      <c r="J1199" s="26">
        <f>IFERROR(IF(OR(E1199="",INDEX(E:E,MATCH(DATE(YEAR($A1199)-1,MONTH($A1199),DAY($A1199)),$A:$A,0))=""),"",E1199/INDEX(E:E,MATCH(DATE(YEAR($A1199)-1,MONTH($A1199),DAY($A1199)),$A:$A,0))-1),"")</f>
        <v/>
      </c>
      <c r="K1199" s="19">
        <f>IFERROR(IF(OR(F1199="",INDEX(F:F,MATCH(DATE(YEAR($A1199)-1,MONTH($A1199),DAY($A1199)),$A:$A,0))=""),"",F1199/INDEX(F:F,MATCH(DATE(YEAR($A1199)-1,MONTH($A1199),DAY($A1199)),$A:$A,0))-1),"")</f>
        <v/>
      </c>
      <c r="L1199" s="19">
        <f>IFERROR(IF(OR(G1199="",INDEX(G:G,MATCH(DATE(YEAR($A1199)-1,MONTH($A1199),DAY($A1199)),$A:$A,0))=""),"",G1199/INDEX(G:G,MATCH(DATE(YEAR($A1199)-1,MONTH($A1199),DAY($A1199)),$A:$A,0))-1),"")</f>
        <v/>
      </c>
      <c r="M1199" s="19">
        <f>IF(OR(E1199="",E1198=""),"",E1199/E1198-1)</f>
        <v/>
      </c>
      <c r="N1199" s="19">
        <f>IF(OR(F1199="",F1198=""),"",F1199/F1198-1)</f>
        <v/>
      </c>
      <c r="O1199" s="19">
        <f>IF(OR(G1199="",G1198=""),"",G1199/G1198-1)</f>
        <v/>
      </c>
      <c r="P1199" s="22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IF(R1199="","",P1199/R1199)</f>
        <v/>
      </c>
      <c r="T1199" s="23">
        <f>IF(R1199="","",Q1199/R1199)</f>
        <v/>
      </c>
      <c r="U1199" s="24">
        <f>IF(SUMIFS('Daily NSE Equity Options'!$M:$M,'Daily NSE Equity Options'!$A:$A,$A1199)=0,"",SUMIFS('Daily NSE Equity Options'!$M:$M,'Daily NSE Equity Options'!$A:$A,$A1199))</f>
        <v/>
      </c>
      <c r="V1199" s="9">
        <f>IF(SUMIFS('Daily BSE Equity Options'!$M:$M,'Daily BSE Equity Options'!$A:$A,$A1199)=0,"",SUMIFS('Daily BSE Equity Options'!$M:$M,'Daily BSE Equity Options'!$A:$A,$A1199))</f>
        <v/>
      </c>
      <c r="W1199" s="9">
        <f>IF(OR(U1199="",V1199=""),"",U1199+V1199)</f>
        <v/>
      </c>
      <c r="X1199" s="25">
        <f>IF(W1199="","",U1199/W1199)</f>
        <v/>
      </c>
      <c r="Y1199" s="25">
        <f>IF(W1199="","",V1199/W1199)</f>
        <v/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19">
        <f>IF(G1200="","",E1200/G1200)</f>
        <v/>
      </c>
      <c r="I1200" s="19">
        <f>IF(G1200="","",F1200/G1200)</f>
        <v/>
      </c>
      <c r="J1200" s="26">
        <f>IFERROR(IF(OR(E1200="",INDEX(E:E,MATCH(DATE(YEAR($A1200)-1,MONTH($A1200),DAY($A1200)),$A:$A,0))=""),"",E1200/INDEX(E:E,MATCH(DATE(YEAR($A1200)-1,MONTH($A1200),DAY($A1200)),$A:$A,0))-1),"")</f>
        <v/>
      </c>
      <c r="K1200" s="19">
        <f>IFERROR(IF(OR(F1200="",INDEX(F:F,MATCH(DATE(YEAR($A1200)-1,MONTH($A1200),DAY($A1200)),$A:$A,0))=""),"",F1200/INDEX(F:F,MATCH(DATE(YEAR($A1200)-1,MONTH($A1200),DAY($A1200)),$A:$A,0))-1),"")</f>
        <v/>
      </c>
      <c r="L1200" s="19">
        <f>IFERROR(IF(OR(G1200="",INDEX(G:G,MATCH(DATE(YEAR($A1200)-1,MONTH($A1200),DAY($A1200)),$A:$A,0))=""),"",G1200/INDEX(G:G,MATCH(DATE(YEAR($A1200)-1,MONTH($A1200),DAY($A1200)),$A:$A,0))-1),"")</f>
        <v/>
      </c>
      <c r="M1200" s="19">
        <f>IF(OR(E1200="",E1199=""),"",E1200/E1199-1)</f>
        <v/>
      </c>
      <c r="N1200" s="19">
        <f>IF(OR(F1200="",F1199=""),"",F1200/F1199-1)</f>
        <v/>
      </c>
      <c r="O1200" s="19">
        <f>IF(OR(G1200="",G1199=""),"",G1200/G1199-1)</f>
        <v/>
      </c>
      <c r="P1200" s="22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IF(R1200="","",P1200/R1200)</f>
        <v/>
      </c>
      <c r="T1200" s="23">
        <f>IF(R1200="","",Q1200/R1200)</f>
        <v/>
      </c>
      <c r="U1200" s="24">
        <f>IF(SUMIFS('Daily NSE Equity Options'!$M:$M,'Daily NSE Equity Options'!$A:$A,$A1200)=0,"",SUMIFS('Daily NSE Equity Options'!$M:$M,'Daily NSE Equity Options'!$A:$A,$A1200))</f>
        <v/>
      </c>
      <c r="V1200" s="9">
        <f>IF(SUMIFS('Daily BSE Equity Options'!$M:$M,'Daily BSE Equity Options'!$A:$A,$A1200)=0,"",SUMIFS('Daily BSE Equity Options'!$M:$M,'Daily BSE Equity Options'!$A:$A,$A1200))</f>
        <v/>
      </c>
      <c r="W1200" s="9">
        <f>IF(OR(U1200="",V1200=""),"",U1200+V1200)</f>
        <v/>
      </c>
      <c r="X1200" s="25">
        <f>IF(W1200="","",U1200/W1200)</f>
        <v/>
      </c>
      <c r="Y1200" s="25">
        <f>IF(W1200="","",V1200/W1200)</f>
        <v/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19">
        <f>IF(G1201="","",E1201/G1201)</f>
        <v/>
      </c>
      <c r="I1201" s="19">
        <f>IF(G1201="","",F1201/G1201)</f>
        <v/>
      </c>
      <c r="J1201" s="26">
        <f>IFERROR(IF(OR(E1201="",INDEX(E:E,MATCH(DATE(YEAR($A1201)-1,MONTH($A1201),DAY($A1201)),$A:$A,0))=""),"",E1201/INDEX(E:E,MATCH(DATE(YEAR($A1201)-1,MONTH($A1201),DAY($A1201)),$A:$A,0))-1),"")</f>
        <v/>
      </c>
      <c r="K1201" s="19">
        <f>IFERROR(IF(OR(F1201="",INDEX(F:F,MATCH(DATE(YEAR($A1201)-1,MONTH($A1201),DAY($A1201)),$A:$A,0))=""),"",F1201/INDEX(F:F,MATCH(DATE(YEAR($A1201)-1,MONTH($A1201),DAY($A1201)),$A:$A,0))-1),"")</f>
        <v/>
      </c>
      <c r="L1201" s="19">
        <f>IFERROR(IF(OR(G1201="",INDEX(G:G,MATCH(DATE(YEAR($A1201)-1,MONTH($A1201),DAY($A1201)),$A:$A,0))=""),"",G1201/INDEX(G:G,MATCH(DATE(YEAR($A1201)-1,MONTH($A1201),DAY($A1201)),$A:$A,0))-1),"")</f>
        <v/>
      </c>
      <c r="M1201" s="19">
        <f>IF(OR(E1201="",E1200=""),"",E1201/E1200-1)</f>
        <v/>
      </c>
      <c r="N1201" s="19">
        <f>IF(OR(F1201="",F1200=""),"",F1201/F1200-1)</f>
        <v/>
      </c>
      <c r="O1201" s="19">
        <f>IF(OR(G1201="",G1200=""),"",G1201/G1200-1)</f>
        <v/>
      </c>
      <c r="P1201" s="22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IF(R1201="","",P1201/R1201)</f>
        <v/>
      </c>
      <c r="T1201" s="23">
        <f>IF(R1201="","",Q1201/R1201)</f>
        <v/>
      </c>
      <c r="U1201" s="24">
        <f>IF(SUMIFS('Daily NSE Equity Options'!$M:$M,'Daily NSE Equity Options'!$A:$A,$A1201)=0,"",SUMIFS('Daily NSE Equity Options'!$M:$M,'Daily NSE Equity Options'!$A:$A,$A1201))</f>
        <v/>
      </c>
      <c r="V1201" s="9">
        <f>IF(SUMIFS('Daily BSE Equity Options'!$M:$M,'Daily BSE Equity Options'!$A:$A,$A1201)=0,"",SUMIFS('Daily BSE Equity Options'!$M:$M,'Daily BSE Equity Options'!$A:$A,$A1201))</f>
        <v/>
      </c>
      <c r="W1201" s="9">
        <f>IF(OR(U1201="",V1201=""),"",U1201+V1201)</f>
        <v/>
      </c>
      <c r="X1201" s="25">
        <f>IF(W1201="","",U1201/W1201)</f>
        <v/>
      </c>
      <c r="Y1201" s="25">
        <f>IF(W1201="","",V1201/W1201)</f>
        <v/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19">
        <f>IF(G1202="","",E1202/G1202)</f>
        <v/>
      </c>
      <c r="I1202" s="19">
        <f>IF(G1202="","",F1202/G1202)</f>
        <v/>
      </c>
      <c r="J1202" s="26">
        <f>IFERROR(IF(OR(E1202="",INDEX(E:E,MATCH(DATE(YEAR($A1202)-1,MONTH($A1202),DAY($A1202)),$A:$A,0))=""),"",E1202/INDEX(E:E,MATCH(DATE(YEAR($A1202)-1,MONTH($A1202),DAY($A1202)),$A:$A,0))-1),"")</f>
        <v/>
      </c>
      <c r="K1202" s="19">
        <f>IFERROR(IF(OR(F1202="",INDEX(F:F,MATCH(DATE(YEAR($A1202)-1,MONTH($A1202),DAY($A1202)),$A:$A,0))=""),"",F1202/INDEX(F:F,MATCH(DATE(YEAR($A1202)-1,MONTH($A1202),DAY($A1202)),$A:$A,0))-1),"")</f>
        <v/>
      </c>
      <c r="L1202" s="19">
        <f>IFERROR(IF(OR(G1202="",INDEX(G:G,MATCH(DATE(YEAR($A1202)-1,MONTH($A1202),DAY($A1202)),$A:$A,0))=""),"",G1202/INDEX(G:G,MATCH(DATE(YEAR($A1202)-1,MONTH($A1202),DAY($A1202)),$A:$A,0))-1),"")</f>
        <v/>
      </c>
      <c r="M1202" s="19">
        <f>IF(OR(E1202="",E1201=""),"",E1202/E1201-1)</f>
        <v/>
      </c>
      <c r="N1202" s="19">
        <f>IF(OR(F1202="",F1201=""),"",F1202/F1201-1)</f>
        <v/>
      </c>
      <c r="O1202" s="19">
        <f>IF(OR(G1202="",G1201=""),"",G1202/G1201-1)</f>
        <v/>
      </c>
      <c r="P1202" s="22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IF(R1202="","",P1202/R1202)</f>
        <v/>
      </c>
      <c r="T1202" s="23">
        <f>IF(R1202="","",Q1202/R1202)</f>
        <v/>
      </c>
      <c r="U1202" s="24">
        <f>IF(SUMIFS('Daily NSE Equity Options'!$M:$M,'Daily NSE Equity Options'!$A:$A,$A1202)=0,"",SUMIFS('Daily NSE Equity Options'!$M:$M,'Daily NSE Equity Options'!$A:$A,$A1202))</f>
        <v/>
      </c>
      <c r="V1202" s="9">
        <f>IF(SUMIFS('Daily BSE Equity Options'!$M:$M,'Daily BSE Equity Options'!$A:$A,$A1202)=0,"",SUMIFS('Daily BSE Equity Options'!$M:$M,'Daily BSE Equity Options'!$A:$A,$A1202))</f>
        <v/>
      </c>
      <c r="W1202" s="9">
        <f>IF(OR(U1202="",V1202=""),"",U1202+V1202)</f>
        <v/>
      </c>
      <c r="X1202" s="25">
        <f>IF(W1202="","",U1202/W1202)</f>
        <v/>
      </c>
      <c r="Y1202" s="25">
        <f>IF(W1202="","",V1202/W1202)</f>
        <v/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19">
        <f>IF(G1203="","",E1203/G1203)</f>
        <v/>
      </c>
      <c r="I1203" s="19">
        <f>IF(G1203="","",F1203/G1203)</f>
        <v/>
      </c>
      <c r="J1203" s="26">
        <f>IFERROR(IF(OR(E1203="",INDEX(E:E,MATCH(DATE(YEAR($A1203)-1,MONTH($A1203),DAY($A1203)),$A:$A,0))=""),"",E1203/INDEX(E:E,MATCH(DATE(YEAR($A1203)-1,MONTH($A1203),DAY($A1203)),$A:$A,0))-1),"")</f>
        <v/>
      </c>
      <c r="K1203" s="19">
        <f>IFERROR(IF(OR(F1203="",INDEX(F:F,MATCH(DATE(YEAR($A1203)-1,MONTH($A1203),DAY($A1203)),$A:$A,0))=""),"",F1203/INDEX(F:F,MATCH(DATE(YEAR($A1203)-1,MONTH($A1203),DAY($A1203)),$A:$A,0))-1),"")</f>
        <v/>
      </c>
      <c r="L1203" s="19">
        <f>IFERROR(IF(OR(G1203="",INDEX(G:G,MATCH(DATE(YEAR($A1203)-1,MONTH($A1203),DAY($A1203)),$A:$A,0))=""),"",G1203/INDEX(G:G,MATCH(DATE(YEAR($A1203)-1,MONTH($A1203),DAY($A1203)),$A:$A,0))-1),"")</f>
        <v/>
      </c>
      <c r="M1203" s="19">
        <f>IF(OR(E1203="",E1202=""),"",E1203/E1202-1)</f>
        <v/>
      </c>
      <c r="N1203" s="19">
        <f>IF(OR(F1203="",F1202=""),"",F1203/F1202-1)</f>
        <v/>
      </c>
      <c r="O1203" s="19">
        <f>IF(OR(G1203="",G1202=""),"",G1203/G1202-1)</f>
        <v/>
      </c>
      <c r="P1203" s="22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IF(R1203="","",P1203/R1203)</f>
        <v/>
      </c>
      <c r="T1203" s="23">
        <f>IF(R1203="","",Q1203/R1203)</f>
        <v/>
      </c>
      <c r="U1203" s="24">
        <f>IF(SUMIFS('Daily NSE Equity Options'!$M:$M,'Daily NSE Equity Options'!$A:$A,$A1203)=0,"",SUMIFS('Daily NSE Equity Options'!$M:$M,'Daily NSE Equity Options'!$A:$A,$A1203))</f>
        <v/>
      </c>
      <c r="V1203" s="9">
        <f>IF(SUMIFS('Daily BSE Equity Options'!$M:$M,'Daily BSE Equity Options'!$A:$A,$A1203)=0,"",SUMIFS('Daily BSE Equity Options'!$M:$M,'Daily BSE Equity Options'!$A:$A,$A1203))</f>
        <v/>
      </c>
      <c r="W1203" s="9">
        <f>IF(OR(U1203="",V1203=""),"",U1203+V1203)</f>
        <v/>
      </c>
      <c r="X1203" s="25">
        <f>IF(W1203="","",U1203/W1203)</f>
        <v/>
      </c>
      <c r="Y1203" s="25">
        <f>IF(W1203="","",V1203/W1203)</f>
        <v/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19">
        <f>IF(G1204="","",E1204/G1204)</f>
        <v/>
      </c>
      <c r="I1204" s="19">
        <f>IF(G1204="","",F1204/G1204)</f>
        <v/>
      </c>
      <c r="J1204" s="26">
        <f>IFERROR(IF(OR(E1204="",INDEX(E:E,MATCH(DATE(YEAR($A1204)-1,MONTH($A1204),DAY($A1204)),$A:$A,0))=""),"",E1204/INDEX(E:E,MATCH(DATE(YEAR($A1204)-1,MONTH($A1204),DAY($A1204)),$A:$A,0))-1),"")</f>
        <v/>
      </c>
      <c r="K1204" s="19">
        <f>IFERROR(IF(OR(F1204="",INDEX(F:F,MATCH(DATE(YEAR($A1204)-1,MONTH($A1204),DAY($A1204)),$A:$A,0))=""),"",F1204/INDEX(F:F,MATCH(DATE(YEAR($A1204)-1,MONTH($A1204),DAY($A1204)),$A:$A,0))-1),"")</f>
        <v/>
      </c>
      <c r="L1204" s="19">
        <f>IFERROR(IF(OR(G1204="",INDEX(G:G,MATCH(DATE(YEAR($A1204)-1,MONTH($A1204),DAY($A1204)),$A:$A,0))=""),"",G1204/INDEX(G:G,MATCH(DATE(YEAR($A1204)-1,MONTH($A1204),DAY($A1204)),$A:$A,0))-1),"")</f>
        <v/>
      </c>
      <c r="M1204" s="19">
        <f>IF(OR(E1204="",E1203=""),"",E1204/E1203-1)</f>
        <v/>
      </c>
      <c r="N1204" s="19">
        <f>IF(OR(F1204="",F1203=""),"",F1204/F1203-1)</f>
        <v/>
      </c>
      <c r="O1204" s="19">
        <f>IF(OR(G1204="",G1203=""),"",G1204/G1203-1)</f>
        <v/>
      </c>
      <c r="P1204" s="22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IF(R1204="","",P1204/R1204)</f>
        <v/>
      </c>
      <c r="T1204" s="23">
        <f>IF(R1204="","",Q1204/R1204)</f>
        <v/>
      </c>
      <c r="U1204" s="24">
        <f>IF(SUMIFS('Daily NSE Equity Options'!$M:$M,'Daily NSE Equity Options'!$A:$A,$A1204)=0,"",SUMIFS('Daily NSE Equity Options'!$M:$M,'Daily NSE Equity Options'!$A:$A,$A1204))</f>
        <v/>
      </c>
      <c r="V1204" s="9">
        <f>IF(SUMIFS('Daily BSE Equity Options'!$M:$M,'Daily BSE Equity Options'!$A:$A,$A1204)=0,"",SUMIFS('Daily BSE Equity Options'!$M:$M,'Daily BSE Equity Options'!$A:$A,$A1204))</f>
        <v/>
      </c>
      <c r="W1204" s="9">
        <f>IF(OR(U1204="",V1204=""),"",U1204+V1204)</f>
        <v/>
      </c>
      <c r="X1204" s="25">
        <f>IF(W1204="","",U1204/W1204)</f>
        <v/>
      </c>
      <c r="Y1204" s="25">
        <f>IF(W1204="","",V1204/W1204)</f>
        <v/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19">
        <f>IF(G1205="","",E1205/G1205)</f>
        <v/>
      </c>
      <c r="I1205" s="19">
        <f>IF(G1205="","",F1205/G1205)</f>
        <v/>
      </c>
      <c r="J1205" s="26">
        <f>IFERROR(IF(OR(E1205="",INDEX(E:E,MATCH(DATE(YEAR($A1205)-1,MONTH($A1205),DAY($A1205)),$A:$A,0))=""),"",E1205/INDEX(E:E,MATCH(DATE(YEAR($A1205)-1,MONTH($A1205),DAY($A1205)),$A:$A,0))-1),"")</f>
        <v/>
      </c>
      <c r="K1205" s="19">
        <f>IFERROR(IF(OR(F1205="",INDEX(F:F,MATCH(DATE(YEAR($A1205)-1,MONTH($A1205),DAY($A1205)),$A:$A,0))=""),"",F1205/INDEX(F:F,MATCH(DATE(YEAR($A1205)-1,MONTH($A1205),DAY($A1205)),$A:$A,0))-1),"")</f>
        <v/>
      </c>
      <c r="L1205" s="19">
        <f>IFERROR(IF(OR(G1205="",INDEX(G:G,MATCH(DATE(YEAR($A1205)-1,MONTH($A1205),DAY($A1205)),$A:$A,0))=""),"",G1205/INDEX(G:G,MATCH(DATE(YEAR($A1205)-1,MONTH($A1205),DAY($A1205)),$A:$A,0))-1),"")</f>
        <v/>
      </c>
      <c r="M1205" s="19">
        <f>IF(OR(E1205="",E1204=""),"",E1205/E1204-1)</f>
        <v/>
      </c>
      <c r="N1205" s="19">
        <f>IF(OR(F1205="",F1204=""),"",F1205/F1204-1)</f>
        <v/>
      </c>
      <c r="O1205" s="19">
        <f>IF(OR(G1205="",G1204=""),"",G1205/G1204-1)</f>
        <v/>
      </c>
      <c r="P1205" s="22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IF(R1205="","",P1205/R1205)</f>
        <v/>
      </c>
      <c r="T1205" s="23">
        <f>IF(R1205="","",Q1205/R1205)</f>
        <v/>
      </c>
      <c r="U1205" s="24">
        <f>IF(SUMIFS('Daily NSE Equity Options'!$M:$M,'Daily NSE Equity Options'!$A:$A,$A1205)=0,"",SUMIFS('Daily NSE Equity Options'!$M:$M,'Daily NSE Equity Options'!$A:$A,$A1205))</f>
        <v/>
      </c>
      <c r="V1205" s="9">
        <f>IF(SUMIFS('Daily BSE Equity Options'!$M:$M,'Daily BSE Equity Options'!$A:$A,$A1205)=0,"",SUMIFS('Daily BSE Equity Options'!$M:$M,'Daily BSE Equity Options'!$A:$A,$A1205))</f>
        <v/>
      </c>
      <c r="W1205" s="9">
        <f>IF(OR(U1205="",V1205=""),"",U1205+V1205)</f>
        <v/>
      </c>
      <c r="X1205" s="25">
        <f>IF(W1205="","",U1205/W1205)</f>
        <v/>
      </c>
      <c r="Y1205" s="25">
        <f>IF(W1205="","",V1205/W1205)</f>
        <v/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19">
        <f>IF(G1206="","",E1206/G1206)</f>
        <v/>
      </c>
      <c r="I1206" s="19">
        <f>IF(G1206="","",F1206/G1206)</f>
        <v/>
      </c>
      <c r="J1206" s="26">
        <f>IFERROR(IF(OR(E1206="",INDEX(E:E,MATCH(DATE(YEAR($A1206)-1,MONTH($A1206),DAY($A1206)),$A:$A,0))=""),"",E1206/INDEX(E:E,MATCH(DATE(YEAR($A1206)-1,MONTH($A1206),DAY($A1206)),$A:$A,0))-1),"")</f>
        <v/>
      </c>
      <c r="K1206" s="19">
        <f>IFERROR(IF(OR(F1206="",INDEX(F:F,MATCH(DATE(YEAR($A1206)-1,MONTH($A1206),DAY($A1206)),$A:$A,0))=""),"",F1206/INDEX(F:F,MATCH(DATE(YEAR($A1206)-1,MONTH($A1206),DAY($A1206)),$A:$A,0))-1),"")</f>
        <v/>
      </c>
      <c r="L1206" s="19">
        <f>IFERROR(IF(OR(G1206="",INDEX(G:G,MATCH(DATE(YEAR($A1206)-1,MONTH($A1206),DAY($A1206)),$A:$A,0))=""),"",G1206/INDEX(G:G,MATCH(DATE(YEAR($A1206)-1,MONTH($A1206),DAY($A1206)),$A:$A,0))-1),"")</f>
        <v/>
      </c>
      <c r="M1206" s="19">
        <f>IF(OR(E1206="",E1205=""),"",E1206/E1205-1)</f>
        <v/>
      </c>
      <c r="N1206" s="19">
        <f>IF(OR(F1206="",F1205=""),"",F1206/F1205-1)</f>
        <v/>
      </c>
      <c r="O1206" s="19">
        <f>IF(OR(G1206="",G1205=""),"",G1206/G1205-1)</f>
        <v/>
      </c>
      <c r="P1206" s="22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IF(R1206="","",P1206/R1206)</f>
        <v/>
      </c>
      <c r="T1206" s="23">
        <f>IF(R1206="","",Q1206/R1206)</f>
        <v/>
      </c>
      <c r="U1206" s="24">
        <f>IF(SUMIFS('Daily NSE Equity Options'!$M:$M,'Daily NSE Equity Options'!$A:$A,$A1206)=0,"",SUMIFS('Daily NSE Equity Options'!$M:$M,'Daily NSE Equity Options'!$A:$A,$A1206))</f>
        <v/>
      </c>
      <c r="V1206" s="9">
        <f>IF(SUMIFS('Daily BSE Equity Options'!$M:$M,'Daily BSE Equity Options'!$A:$A,$A1206)=0,"",SUMIFS('Daily BSE Equity Options'!$M:$M,'Daily BSE Equity Options'!$A:$A,$A1206))</f>
        <v/>
      </c>
      <c r="W1206" s="9">
        <f>IF(OR(U1206="",V1206=""),"",U1206+V1206)</f>
        <v/>
      </c>
      <c r="X1206" s="25">
        <f>IF(W1206="","",U1206/W1206)</f>
        <v/>
      </c>
      <c r="Y1206" s="25">
        <f>IF(W1206="","",V1206/W1206)</f>
        <v/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19">
        <f>IF(G1207="","",E1207/G1207)</f>
        <v/>
      </c>
      <c r="I1207" s="19">
        <f>IF(G1207="","",F1207/G1207)</f>
        <v/>
      </c>
      <c r="J1207" s="26">
        <f>IFERROR(IF(OR(E1207="",INDEX(E:E,MATCH(DATE(YEAR($A1207)-1,MONTH($A1207),DAY($A1207)),$A:$A,0))=""),"",E1207/INDEX(E:E,MATCH(DATE(YEAR($A1207)-1,MONTH($A1207),DAY($A1207)),$A:$A,0))-1),"")</f>
        <v/>
      </c>
      <c r="K1207" s="19">
        <f>IFERROR(IF(OR(F1207="",INDEX(F:F,MATCH(DATE(YEAR($A1207)-1,MONTH($A1207),DAY($A1207)),$A:$A,0))=""),"",F1207/INDEX(F:F,MATCH(DATE(YEAR($A1207)-1,MONTH($A1207),DAY($A1207)),$A:$A,0))-1),"")</f>
        <v/>
      </c>
      <c r="L1207" s="19">
        <f>IFERROR(IF(OR(G1207="",INDEX(G:G,MATCH(DATE(YEAR($A1207)-1,MONTH($A1207),DAY($A1207)),$A:$A,0))=""),"",G1207/INDEX(G:G,MATCH(DATE(YEAR($A1207)-1,MONTH($A1207),DAY($A1207)),$A:$A,0))-1),"")</f>
        <v/>
      </c>
      <c r="M1207" s="19">
        <f>IF(OR(E1207="",E1206=""),"",E1207/E1206-1)</f>
        <v/>
      </c>
      <c r="N1207" s="19">
        <f>IF(OR(F1207="",F1206=""),"",F1207/F1206-1)</f>
        <v/>
      </c>
      <c r="O1207" s="19">
        <f>IF(OR(G1207="",G1206=""),"",G1207/G1206-1)</f>
        <v/>
      </c>
      <c r="P1207" s="22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IF(R1207="","",P1207/R1207)</f>
        <v/>
      </c>
      <c r="T1207" s="23">
        <f>IF(R1207="","",Q1207/R1207)</f>
        <v/>
      </c>
      <c r="U1207" s="24">
        <f>IF(SUMIFS('Daily NSE Equity Options'!$M:$M,'Daily NSE Equity Options'!$A:$A,$A1207)=0,"",SUMIFS('Daily NSE Equity Options'!$M:$M,'Daily NSE Equity Options'!$A:$A,$A1207))</f>
        <v/>
      </c>
      <c r="V1207" s="9">
        <f>IF(SUMIFS('Daily BSE Equity Options'!$M:$M,'Daily BSE Equity Options'!$A:$A,$A1207)=0,"",SUMIFS('Daily BSE Equity Options'!$M:$M,'Daily BSE Equity Options'!$A:$A,$A1207))</f>
        <v/>
      </c>
      <c r="W1207" s="9">
        <f>IF(OR(U1207="",V1207=""),"",U1207+V1207)</f>
        <v/>
      </c>
      <c r="X1207" s="25">
        <f>IF(W1207="","",U1207/W1207)</f>
        <v/>
      </c>
      <c r="Y1207" s="25">
        <f>IF(W1207="","",V1207/W1207)</f>
        <v/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19">
        <f>IF(G1208="","",E1208/G1208)</f>
        <v/>
      </c>
      <c r="I1208" s="19">
        <f>IF(G1208="","",F1208/G1208)</f>
        <v/>
      </c>
      <c r="J1208" s="26">
        <f>IFERROR(IF(OR(E1208="",INDEX(E:E,MATCH(DATE(YEAR($A1208)-1,MONTH($A1208),DAY($A1208)),$A:$A,0))=""),"",E1208/INDEX(E:E,MATCH(DATE(YEAR($A1208)-1,MONTH($A1208),DAY($A1208)),$A:$A,0))-1),"")</f>
        <v/>
      </c>
      <c r="K1208" s="19">
        <f>IFERROR(IF(OR(F1208="",INDEX(F:F,MATCH(DATE(YEAR($A1208)-1,MONTH($A1208),DAY($A1208)),$A:$A,0))=""),"",F1208/INDEX(F:F,MATCH(DATE(YEAR($A1208)-1,MONTH($A1208),DAY($A1208)),$A:$A,0))-1),"")</f>
        <v/>
      </c>
      <c r="L1208" s="19">
        <f>IFERROR(IF(OR(G1208="",INDEX(G:G,MATCH(DATE(YEAR($A1208)-1,MONTH($A1208),DAY($A1208)),$A:$A,0))=""),"",G1208/INDEX(G:G,MATCH(DATE(YEAR($A1208)-1,MONTH($A1208),DAY($A1208)),$A:$A,0))-1),"")</f>
        <v/>
      </c>
      <c r="M1208" s="19">
        <f>IF(OR(E1208="",E1207=""),"",E1208/E1207-1)</f>
        <v/>
      </c>
      <c r="N1208" s="19">
        <f>IF(OR(F1208="",F1207=""),"",F1208/F1207-1)</f>
        <v/>
      </c>
      <c r="O1208" s="19">
        <f>IF(OR(G1208="",G1207=""),"",G1208/G1207-1)</f>
        <v/>
      </c>
      <c r="P1208" s="22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IF(R1208="","",P1208/R1208)</f>
        <v/>
      </c>
      <c r="T1208" s="23">
        <f>IF(R1208="","",Q1208/R1208)</f>
        <v/>
      </c>
      <c r="U1208" s="24">
        <f>IF(SUMIFS('Daily NSE Equity Options'!$M:$M,'Daily NSE Equity Options'!$A:$A,$A1208)=0,"",SUMIFS('Daily NSE Equity Options'!$M:$M,'Daily NSE Equity Options'!$A:$A,$A1208))</f>
        <v/>
      </c>
      <c r="V1208" s="9">
        <f>IF(SUMIFS('Daily BSE Equity Options'!$M:$M,'Daily BSE Equity Options'!$A:$A,$A1208)=0,"",SUMIFS('Daily BSE Equity Options'!$M:$M,'Daily BSE Equity Options'!$A:$A,$A1208))</f>
        <v/>
      </c>
      <c r="W1208" s="9">
        <f>IF(OR(U1208="",V1208=""),"",U1208+V1208)</f>
        <v/>
      </c>
      <c r="X1208" s="25">
        <f>IF(W1208="","",U1208/W1208)</f>
        <v/>
      </c>
      <c r="Y1208" s="25">
        <f>IF(W1208="","",V1208/W1208)</f>
        <v/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19">
        <f>IF(G1209="","",E1209/G1209)</f>
        <v/>
      </c>
      <c r="I1209" s="19">
        <f>IF(G1209="","",F1209/G1209)</f>
        <v/>
      </c>
      <c r="J1209" s="26">
        <f>IFERROR(IF(OR(E1209="",INDEX(E:E,MATCH(DATE(YEAR($A1209)-1,MONTH($A1209),DAY($A1209)),$A:$A,0))=""),"",E1209/INDEX(E:E,MATCH(DATE(YEAR($A1209)-1,MONTH($A1209),DAY($A1209)),$A:$A,0))-1),"")</f>
        <v/>
      </c>
      <c r="K1209" s="19">
        <f>IFERROR(IF(OR(F1209="",INDEX(F:F,MATCH(DATE(YEAR($A1209)-1,MONTH($A1209),DAY($A1209)),$A:$A,0))=""),"",F1209/INDEX(F:F,MATCH(DATE(YEAR($A1209)-1,MONTH($A1209),DAY($A1209)),$A:$A,0))-1),"")</f>
        <v/>
      </c>
      <c r="L1209" s="19">
        <f>IFERROR(IF(OR(G1209="",INDEX(G:G,MATCH(DATE(YEAR($A1209)-1,MONTH($A1209),DAY($A1209)),$A:$A,0))=""),"",G1209/INDEX(G:G,MATCH(DATE(YEAR($A1209)-1,MONTH($A1209),DAY($A1209)),$A:$A,0))-1),"")</f>
        <v/>
      </c>
      <c r="M1209" s="19">
        <f>IF(OR(E1209="",E1208=""),"",E1209/E1208-1)</f>
        <v/>
      </c>
      <c r="N1209" s="19">
        <f>IF(OR(F1209="",F1208=""),"",F1209/F1208-1)</f>
        <v/>
      </c>
      <c r="O1209" s="19">
        <f>IF(OR(G1209="",G1208=""),"",G1209/G1208-1)</f>
        <v/>
      </c>
      <c r="P1209" s="22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IF(R1209="","",P1209/R1209)</f>
        <v/>
      </c>
      <c r="T1209" s="23">
        <f>IF(R1209="","",Q1209/R1209)</f>
        <v/>
      </c>
      <c r="U1209" s="24">
        <f>IF(SUMIFS('Daily NSE Equity Options'!$M:$M,'Daily NSE Equity Options'!$A:$A,$A1209)=0,"",SUMIFS('Daily NSE Equity Options'!$M:$M,'Daily NSE Equity Options'!$A:$A,$A1209))</f>
        <v/>
      </c>
      <c r="V1209" s="9">
        <f>IF(SUMIFS('Daily BSE Equity Options'!$M:$M,'Daily BSE Equity Options'!$A:$A,$A1209)=0,"",SUMIFS('Daily BSE Equity Options'!$M:$M,'Daily BSE Equity Options'!$A:$A,$A1209))</f>
        <v/>
      </c>
      <c r="W1209" s="9">
        <f>IF(OR(U1209="",V1209=""),"",U1209+V1209)</f>
        <v/>
      </c>
      <c r="X1209" s="25">
        <f>IF(W1209="","",U1209/W1209)</f>
        <v/>
      </c>
      <c r="Y1209" s="25">
        <f>IF(W1209="","",V1209/W1209)</f>
        <v/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19">
        <f>IF(G1210="","",E1210/G1210)</f>
        <v/>
      </c>
      <c r="I1210" s="19">
        <f>IF(G1210="","",F1210/G1210)</f>
        <v/>
      </c>
      <c r="J1210" s="26">
        <f>IFERROR(IF(OR(E1210="",INDEX(E:E,MATCH(DATE(YEAR($A1210)-1,MONTH($A1210),DAY($A1210)),$A:$A,0))=""),"",E1210/INDEX(E:E,MATCH(DATE(YEAR($A1210)-1,MONTH($A1210),DAY($A1210)),$A:$A,0))-1),"")</f>
        <v/>
      </c>
      <c r="K1210" s="19">
        <f>IFERROR(IF(OR(F1210="",INDEX(F:F,MATCH(DATE(YEAR($A1210)-1,MONTH($A1210),DAY($A1210)),$A:$A,0))=""),"",F1210/INDEX(F:F,MATCH(DATE(YEAR($A1210)-1,MONTH($A1210),DAY($A1210)),$A:$A,0))-1),"")</f>
        <v/>
      </c>
      <c r="L1210" s="19">
        <f>IFERROR(IF(OR(G1210="",INDEX(G:G,MATCH(DATE(YEAR($A1210)-1,MONTH($A1210),DAY($A1210)),$A:$A,0))=""),"",G1210/INDEX(G:G,MATCH(DATE(YEAR($A1210)-1,MONTH($A1210),DAY($A1210)),$A:$A,0))-1),"")</f>
        <v/>
      </c>
      <c r="M1210" s="19">
        <f>IF(OR(E1210="",E1209=""),"",E1210/E1209-1)</f>
        <v/>
      </c>
      <c r="N1210" s="19">
        <f>IF(OR(F1210="",F1209=""),"",F1210/F1209-1)</f>
        <v/>
      </c>
      <c r="O1210" s="19">
        <f>IF(OR(G1210="",G1209=""),"",G1210/G1209-1)</f>
        <v/>
      </c>
      <c r="P1210" s="22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IF(R1210="","",P1210/R1210)</f>
        <v/>
      </c>
      <c r="T1210" s="23">
        <f>IF(R1210="","",Q1210/R1210)</f>
        <v/>
      </c>
      <c r="U1210" s="24">
        <f>IF(SUMIFS('Daily NSE Equity Options'!$M:$M,'Daily NSE Equity Options'!$A:$A,$A1210)=0,"",SUMIFS('Daily NSE Equity Options'!$M:$M,'Daily NSE Equity Options'!$A:$A,$A1210))</f>
        <v/>
      </c>
      <c r="V1210" s="9">
        <f>IF(SUMIFS('Daily BSE Equity Options'!$M:$M,'Daily BSE Equity Options'!$A:$A,$A1210)=0,"",SUMIFS('Daily BSE Equity Options'!$M:$M,'Daily BSE Equity Options'!$A:$A,$A1210))</f>
        <v/>
      </c>
      <c r="W1210" s="9">
        <f>IF(OR(U1210="",V1210=""),"",U1210+V1210)</f>
        <v/>
      </c>
      <c r="X1210" s="25">
        <f>IF(W1210="","",U1210/W1210)</f>
        <v/>
      </c>
      <c r="Y1210" s="25">
        <f>IF(W1210="","",V1210/W1210)</f>
        <v/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19">
        <f>IF(G1211="","",E1211/G1211)</f>
        <v/>
      </c>
      <c r="I1211" s="19">
        <f>IF(G1211="","",F1211/G1211)</f>
        <v/>
      </c>
      <c r="J1211" s="26">
        <f>IFERROR(IF(OR(E1211="",INDEX(E:E,MATCH(DATE(YEAR($A1211)-1,MONTH($A1211),DAY($A1211)),$A:$A,0))=""),"",E1211/INDEX(E:E,MATCH(DATE(YEAR($A1211)-1,MONTH($A1211),DAY($A1211)),$A:$A,0))-1),"")</f>
        <v/>
      </c>
      <c r="K1211" s="19">
        <f>IFERROR(IF(OR(F1211="",INDEX(F:F,MATCH(DATE(YEAR($A1211)-1,MONTH($A1211),DAY($A1211)),$A:$A,0))=""),"",F1211/INDEX(F:F,MATCH(DATE(YEAR($A1211)-1,MONTH($A1211),DAY($A1211)),$A:$A,0))-1),"")</f>
        <v/>
      </c>
      <c r="L1211" s="19">
        <f>IFERROR(IF(OR(G1211="",INDEX(G:G,MATCH(DATE(YEAR($A1211)-1,MONTH($A1211),DAY($A1211)),$A:$A,0))=""),"",G1211/INDEX(G:G,MATCH(DATE(YEAR($A1211)-1,MONTH($A1211),DAY($A1211)),$A:$A,0))-1),"")</f>
        <v/>
      </c>
      <c r="M1211" s="19">
        <f>IF(OR(E1211="",E1210=""),"",E1211/E1210-1)</f>
        <v/>
      </c>
      <c r="N1211" s="19">
        <f>IF(OR(F1211="",F1210=""),"",F1211/F1210-1)</f>
        <v/>
      </c>
      <c r="O1211" s="19">
        <f>IF(OR(G1211="",G1210=""),"",G1211/G1210-1)</f>
        <v/>
      </c>
      <c r="P1211" s="22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IF(R1211="","",P1211/R1211)</f>
        <v/>
      </c>
      <c r="T1211" s="23">
        <f>IF(R1211="","",Q1211/R1211)</f>
        <v/>
      </c>
      <c r="U1211" s="24">
        <f>IF(SUMIFS('Daily NSE Equity Options'!$M:$M,'Daily NSE Equity Options'!$A:$A,$A1211)=0,"",SUMIFS('Daily NSE Equity Options'!$M:$M,'Daily NSE Equity Options'!$A:$A,$A1211))</f>
        <v/>
      </c>
      <c r="V1211" s="9">
        <f>IF(SUMIFS('Daily BSE Equity Options'!$M:$M,'Daily BSE Equity Options'!$A:$A,$A1211)=0,"",SUMIFS('Daily BSE Equity Options'!$M:$M,'Daily BSE Equity Options'!$A:$A,$A1211))</f>
        <v/>
      </c>
      <c r="W1211" s="9">
        <f>IF(OR(U1211="",V1211=""),"",U1211+V1211)</f>
        <v/>
      </c>
      <c r="X1211" s="25">
        <f>IF(W1211="","",U1211/W1211)</f>
        <v/>
      </c>
      <c r="Y1211" s="25">
        <f>IF(W1211="","",V1211/W1211)</f>
        <v/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19">
        <f>IF(G1212="","",E1212/G1212)</f>
        <v/>
      </c>
      <c r="I1212" s="19">
        <f>IF(G1212="","",F1212/G1212)</f>
        <v/>
      </c>
      <c r="J1212" s="26">
        <f>IFERROR(IF(OR(E1212="",INDEX(E:E,MATCH(DATE(YEAR($A1212)-1,MONTH($A1212),DAY($A1212)),$A:$A,0))=""),"",E1212/INDEX(E:E,MATCH(DATE(YEAR($A1212)-1,MONTH($A1212),DAY($A1212)),$A:$A,0))-1),"")</f>
        <v/>
      </c>
      <c r="K1212" s="19">
        <f>IFERROR(IF(OR(F1212="",INDEX(F:F,MATCH(DATE(YEAR($A1212)-1,MONTH($A1212),DAY($A1212)),$A:$A,0))=""),"",F1212/INDEX(F:F,MATCH(DATE(YEAR($A1212)-1,MONTH($A1212),DAY($A1212)),$A:$A,0))-1),"")</f>
        <v/>
      </c>
      <c r="L1212" s="19">
        <f>IFERROR(IF(OR(G1212="",INDEX(G:G,MATCH(DATE(YEAR($A1212)-1,MONTH($A1212),DAY($A1212)),$A:$A,0))=""),"",G1212/INDEX(G:G,MATCH(DATE(YEAR($A1212)-1,MONTH($A1212),DAY($A1212)),$A:$A,0))-1),"")</f>
        <v/>
      </c>
      <c r="M1212" s="19">
        <f>IF(OR(E1212="",E1211=""),"",E1212/E1211-1)</f>
        <v/>
      </c>
      <c r="N1212" s="19">
        <f>IF(OR(F1212="",F1211=""),"",F1212/F1211-1)</f>
        <v/>
      </c>
      <c r="O1212" s="19">
        <f>IF(OR(G1212="",G1211=""),"",G1212/G1211-1)</f>
        <v/>
      </c>
      <c r="P1212" s="22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IF(R1212="","",P1212/R1212)</f>
        <v/>
      </c>
      <c r="T1212" s="23">
        <f>IF(R1212="","",Q1212/R1212)</f>
        <v/>
      </c>
      <c r="U1212" s="24">
        <f>IF(SUMIFS('Daily NSE Equity Options'!$M:$M,'Daily NSE Equity Options'!$A:$A,$A1212)=0,"",SUMIFS('Daily NSE Equity Options'!$M:$M,'Daily NSE Equity Options'!$A:$A,$A1212))</f>
        <v/>
      </c>
      <c r="V1212" s="9">
        <f>IF(SUMIFS('Daily BSE Equity Options'!$M:$M,'Daily BSE Equity Options'!$A:$A,$A1212)=0,"",SUMIFS('Daily BSE Equity Options'!$M:$M,'Daily BSE Equity Options'!$A:$A,$A1212))</f>
        <v/>
      </c>
      <c r="W1212" s="9">
        <f>IF(OR(U1212="",V1212=""),"",U1212+V1212)</f>
        <v/>
      </c>
      <c r="X1212" s="25">
        <f>IF(W1212="","",U1212/W1212)</f>
        <v/>
      </c>
      <c r="Y1212" s="25">
        <f>IF(W1212="","",V1212/W1212)</f>
        <v/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19">
        <f>IF(G1213="","",E1213/G1213)</f>
        <v/>
      </c>
      <c r="I1213" s="19">
        <f>IF(G1213="","",F1213/G1213)</f>
        <v/>
      </c>
      <c r="J1213" s="26">
        <f>IFERROR(IF(OR(E1213="",INDEX(E:E,MATCH(DATE(YEAR($A1213)-1,MONTH($A1213),DAY($A1213)),$A:$A,0))=""),"",E1213/INDEX(E:E,MATCH(DATE(YEAR($A1213)-1,MONTH($A1213),DAY($A1213)),$A:$A,0))-1),"")</f>
        <v/>
      </c>
      <c r="K1213" s="19">
        <f>IFERROR(IF(OR(F1213="",INDEX(F:F,MATCH(DATE(YEAR($A1213)-1,MONTH($A1213),DAY($A1213)),$A:$A,0))=""),"",F1213/INDEX(F:F,MATCH(DATE(YEAR($A1213)-1,MONTH($A1213),DAY($A1213)),$A:$A,0))-1),"")</f>
        <v/>
      </c>
      <c r="L1213" s="19">
        <f>IFERROR(IF(OR(G1213="",INDEX(G:G,MATCH(DATE(YEAR($A1213)-1,MONTH($A1213),DAY($A1213)),$A:$A,0))=""),"",G1213/INDEX(G:G,MATCH(DATE(YEAR($A1213)-1,MONTH($A1213),DAY($A1213)),$A:$A,0))-1),"")</f>
        <v/>
      </c>
      <c r="M1213" s="19">
        <f>IF(OR(E1213="",E1212=""),"",E1213/E1212-1)</f>
        <v/>
      </c>
      <c r="N1213" s="19">
        <f>IF(OR(F1213="",F1212=""),"",F1213/F1212-1)</f>
        <v/>
      </c>
      <c r="O1213" s="19">
        <f>IF(OR(G1213="",G1212=""),"",G1213/G1212-1)</f>
        <v/>
      </c>
      <c r="P1213" s="22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IF(R1213="","",P1213/R1213)</f>
        <v/>
      </c>
      <c r="T1213" s="23">
        <f>IF(R1213="","",Q1213/R1213)</f>
        <v/>
      </c>
      <c r="U1213" s="24">
        <f>IF(SUMIFS('Daily NSE Equity Options'!$M:$M,'Daily NSE Equity Options'!$A:$A,$A1213)=0,"",SUMIFS('Daily NSE Equity Options'!$M:$M,'Daily NSE Equity Options'!$A:$A,$A1213))</f>
        <v/>
      </c>
      <c r="V1213" s="9">
        <f>IF(SUMIFS('Daily BSE Equity Options'!$M:$M,'Daily BSE Equity Options'!$A:$A,$A1213)=0,"",SUMIFS('Daily BSE Equity Options'!$M:$M,'Daily BSE Equity Options'!$A:$A,$A1213))</f>
        <v/>
      </c>
      <c r="W1213" s="9">
        <f>IF(OR(U1213="",V1213=""),"",U1213+V1213)</f>
        <v/>
      </c>
      <c r="X1213" s="25">
        <f>IF(W1213="","",U1213/W1213)</f>
        <v/>
      </c>
      <c r="Y1213" s="25">
        <f>IF(W1213="","",V1213/W1213)</f>
        <v/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19">
        <f>IF(G1214="","",E1214/G1214)</f>
        <v/>
      </c>
      <c r="I1214" s="19">
        <f>IF(G1214="","",F1214/G1214)</f>
        <v/>
      </c>
      <c r="J1214" s="26">
        <f>IFERROR(IF(OR(E1214="",INDEX(E:E,MATCH(DATE(YEAR($A1214)-1,MONTH($A1214),DAY($A1214)),$A:$A,0))=""),"",E1214/INDEX(E:E,MATCH(DATE(YEAR($A1214)-1,MONTH($A1214),DAY($A1214)),$A:$A,0))-1),"")</f>
        <v/>
      </c>
      <c r="K1214" s="19">
        <f>IFERROR(IF(OR(F1214="",INDEX(F:F,MATCH(DATE(YEAR($A1214)-1,MONTH($A1214),DAY($A1214)),$A:$A,0))=""),"",F1214/INDEX(F:F,MATCH(DATE(YEAR($A1214)-1,MONTH($A1214),DAY($A1214)),$A:$A,0))-1),"")</f>
        <v/>
      </c>
      <c r="L1214" s="19">
        <f>IFERROR(IF(OR(G1214="",INDEX(G:G,MATCH(DATE(YEAR($A1214)-1,MONTH($A1214),DAY($A1214)),$A:$A,0))=""),"",G1214/INDEX(G:G,MATCH(DATE(YEAR($A1214)-1,MONTH($A1214),DAY($A1214)),$A:$A,0))-1),"")</f>
        <v/>
      </c>
      <c r="M1214" s="19">
        <f>IF(OR(E1214="",E1213=""),"",E1214/E1213-1)</f>
        <v/>
      </c>
      <c r="N1214" s="19">
        <f>IF(OR(F1214="",F1213=""),"",F1214/F1213-1)</f>
        <v/>
      </c>
      <c r="O1214" s="19">
        <f>IF(OR(G1214="",G1213=""),"",G1214/G1213-1)</f>
        <v/>
      </c>
      <c r="P1214" s="22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IF(R1214="","",P1214/R1214)</f>
        <v/>
      </c>
      <c r="T1214" s="23">
        <f>IF(R1214="","",Q1214/R1214)</f>
        <v/>
      </c>
      <c r="U1214" s="24">
        <f>IF(SUMIFS('Daily NSE Equity Options'!$M:$M,'Daily NSE Equity Options'!$A:$A,$A1214)=0,"",SUMIFS('Daily NSE Equity Options'!$M:$M,'Daily NSE Equity Options'!$A:$A,$A1214))</f>
        <v/>
      </c>
      <c r="V1214" s="9">
        <f>IF(SUMIFS('Daily BSE Equity Options'!$M:$M,'Daily BSE Equity Options'!$A:$A,$A1214)=0,"",SUMIFS('Daily BSE Equity Options'!$M:$M,'Daily BSE Equity Options'!$A:$A,$A1214))</f>
        <v/>
      </c>
      <c r="W1214" s="9">
        <f>IF(OR(U1214="",V1214=""),"",U1214+V1214)</f>
        <v/>
      </c>
      <c r="X1214" s="25">
        <f>IF(W1214="","",U1214/W1214)</f>
        <v/>
      </c>
      <c r="Y1214" s="25">
        <f>IF(W1214="","",V1214/W1214)</f>
        <v/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19">
        <f>IF(G1215="","",E1215/G1215)</f>
        <v/>
      </c>
      <c r="I1215" s="19">
        <f>IF(G1215="","",F1215/G1215)</f>
        <v/>
      </c>
      <c r="J1215" s="26">
        <f>IFERROR(IF(OR(E1215="",INDEX(E:E,MATCH(DATE(YEAR($A1215)-1,MONTH($A1215),DAY($A1215)),$A:$A,0))=""),"",E1215/INDEX(E:E,MATCH(DATE(YEAR($A1215)-1,MONTH($A1215),DAY($A1215)),$A:$A,0))-1),"")</f>
        <v/>
      </c>
      <c r="K1215" s="19">
        <f>IFERROR(IF(OR(F1215="",INDEX(F:F,MATCH(DATE(YEAR($A1215)-1,MONTH($A1215),DAY($A1215)),$A:$A,0))=""),"",F1215/INDEX(F:F,MATCH(DATE(YEAR($A1215)-1,MONTH($A1215),DAY($A1215)),$A:$A,0))-1),"")</f>
        <v/>
      </c>
      <c r="L1215" s="19">
        <f>IFERROR(IF(OR(G1215="",INDEX(G:G,MATCH(DATE(YEAR($A1215)-1,MONTH($A1215),DAY($A1215)),$A:$A,0))=""),"",G1215/INDEX(G:G,MATCH(DATE(YEAR($A1215)-1,MONTH($A1215),DAY($A1215)),$A:$A,0))-1),"")</f>
        <v/>
      </c>
      <c r="M1215" s="19">
        <f>IF(OR(E1215="",E1214=""),"",E1215/E1214-1)</f>
        <v/>
      </c>
      <c r="N1215" s="19">
        <f>IF(OR(F1215="",F1214=""),"",F1215/F1214-1)</f>
        <v/>
      </c>
      <c r="O1215" s="19">
        <f>IF(OR(G1215="",G1214=""),"",G1215/G1214-1)</f>
        <v/>
      </c>
      <c r="P1215" s="22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IF(R1215="","",P1215/R1215)</f>
        <v/>
      </c>
      <c r="T1215" s="23">
        <f>IF(R1215="","",Q1215/R1215)</f>
        <v/>
      </c>
      <c r="U1215" s="24">
        <f>IF(SUMIFS('Daily NSE Equity Options'!$M:$M,'Daily NSE Equity Options'!$A:$A,$A1215)=0,"",SUMIFS('Daily NSE Equity Options'!$M:$M,'Daily NSE Equity Options'!$A:$A,$A1215))</f>
        <v/>
      </c>
      <c r="V1215" s="9">
        <f>IF(SUMIFS('Daily BSE Equity Options'!$M:$M,'Daily BSE Equity Options'!$A:$A,$A1215)=0,"",SUMIFS('Daily BSE Equity Options'!$M:$M,'Daily BSE Equity Options'!$A:$A,$A1215))</f>
        <v/>
      </c>
      <c r="W1215" s="9">
        <f>IF(OR(U1215="",V1215=""),"",U1215+V1215)</f>
        <v/>
      </c>
      <c r="X1215" s="25">
        <f>IF(W1215="","",U1215/W1215)</f>
        <v/>
      </c>
      <c r="Y1215" s="25">
        <f>IF(W1215="","",V1215/W1215)</f>
        <v/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19">
        <f>IF(G1216="","",E1216/G1216)</f>
        <v/>
      </c>
      <c r="I1216" s="19">
        <f>IF(G1216="","",F1216/G1216)</f>
        <v/>
      </c>
      <c r="J1216" s="26">
        <f>IFERROR(IF(OR(E1216="",INDEX(E:E,MATCH(DATE(YEAR($A1216)-1,MONTH($A1216),DAY($A1216)),$A:$A,0))=""),"",E1216/INDEX(E:E,MATCH(DATE(YEAR($A1216)-1,MONTH($A1216),DAY($A1216)),$A:$A,0))-1),"")</f>
        <v/>
      </c>
      <c r="K1216" s="19">
        <f>IFERROR(IF(OR(F1216="",INDEX(F:F,MATCH(DATE(YEAR($A1216)-1,MONTH($A1216),DAY($A1216)),$A:$A,0))=""),"",F1216/INDEX(F:F,MATCH(DATE(YEAR($A1216)-1,MONTH($A1216),DAY($A1216)),$A:$A,0))-1),"")</f>
        <v/>
      </c>
      <c r="L1216" s="19">
        <f>IFERROR(IF(OR(G1216="",INDEX(G:G,MATCH(DATE(YEAR($A1216)-1,MONTH($A1216),DAY($A1216)),$A:$A,0))=""),"",G1216/INDEX(G:G,MATCH(DATE(YEAR($A1216)-1,MONTH($A1216),DAY($A1216)),$A:$A,0))-1),"")</f>
        <v/>
      </c>
      <c r="M1216" s="19">
        <f>IF(OR(E1216="",E1215=""),"",E1216/E1215-1)</f>
        <v/>
      </c>
      <c r="N1216" s="19">
        <f>IF(OR(F1216="",F1215=""),"",F1216/F1215-1)</f>
        <v/>
      </c>
      <c r="O1216" s="19">
        <f>IF(OR(G1216="",G1215=""),"",G1216/G1215-1)</f>
        <v/>
      </c>
      <c r="P1216" s="22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IF(R1216="","",P1216/R1216)</f>
        <v/>
      </c>
      <c r="T1216" s="23">
        <f>IF(R1216="","",Q1216/R1216)</f>
        <v/>
      </c>
      <c r="U1216" s="24">
        <f>IF(SUMIFS('Daily NSE Equity Options'!$M:$M,'Daily NSE Equity Options'!$A:$A,$A1216)=0,"",SUMIFS('Daily NSE Equity Options'!$M:$M,'Daily NSE Equity Options'!$A:$A,$A1216))</f>
        <v/>
      </c>
      <c r="V1216" s="9">
        <f>IF(SUMIFS('Daily BSE Equity Options'!$M:$M,'Daily BSE Equity Options'!$A:$A,$A1216)=0,"",SUMIFS('Daily BSE Equity Options'!$M:$M,'Daily BSE Equity Options'!$A:$A,$A1216))</f>
        <v/>
      </c>
      <c r="W1216" s="9">
        <f>IF(OR(U1216="",V1216=""),"",U1216+V1216)</f>
        <v/>
      </c>
      <c r="X1216" s="25">
        <f>IF(W1216="","",U1216/W1216)</f>
        <v/>
      </c>
      <c r="Y1216" s="25">
        <f>IF(W1216="","",V1216/W1216)</f>
        <v/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19">
        <f>IF(G1217="","",E1217/G1217)</f>
        <v/>
      </c>
      <c r="I1217" s="19">
        <f>IF(G1217="","",F1217/G1217)</f>
        <v/>
      </c>
      <c r="J1217" s="26">
        <f>IFERROR(IF(OR(E1217="",INDEX(E:E,MATCH(DATE(YEAR($A1217)-1,MONTH($A1217),DAY($A1217)),$A:$A,0))=""),"",E1217/INDEX(E:E,MATCH(DATE(YEAR($A1217)-1,MONTH($A1217),DAY($A1217)),$A:$A,0))-1),"")</f>
        <v/>
      </c>
      <c r="K1217" s="19">
        <f>IFERROR(IF(OR(F1217="",INDEX(F:F,MATCH(DATE(YEAR($A1217)-1,MONTH($A1217),DAY($A1217)),$A:$A,0))=""),"",F1217/INDEX(F:F,MATCH(DATE(YEAR($A1217)-1,MONTH($A1217),DAY($A1217)),$A:$A,0))-1),"")</f>
        <v/>
      </c>
      <c r="L1217" s="19">
        <f>IFERROR(IF(OR(G1217="",INDEX(G:G,MATCH(DATE(YEAR($A1217)-1,MONTH($A1217),DAY($A1217)),$A:$A,0))=""),"",G1217/INDEX(G:G,MATCH(DATE(YEAR($A1217)-1,MONTH($A1217),DAY($A1217)),$A:$A,0))-1),"")</f>
        <v/>
      </c>
      <c r="M1217" s="19">
        <f>IF(OR(E1217="",E1216=""),"",E1217/E1216-1)</f>
        <v/>
      </c>
      <c r="N1217" s="19">
        <f>IF(OR(F1217="",F1216=""),"",F1217/F1216-1)</f>
        <v/>
      </c>
      <c r="O1217" s="19">
        <f>IF(OR(G1217="",G1216=""),"",G1217/G1216-1)</f>
        <v/>
      </c>
      <c r="P1217" s="22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IF(R1217="","",P1217/R1217)</f>
        <v/>
      </c>
      <c r="T1217" s="23">
        <f>IF(R1217="","",Q1217/R1217)</f>
        <v/>
      </c>
      <c r="U1217" s="24">
        <f>IF(SUMIFS('Daily NSE Equity Options'!$M:$M,'Daily NSE Equity Options'!$A:$A,$A1217)=0,"",SUMIFS('Daily NSE Equity Options'!$M:$M,'Daily NSE Equity Options'!$A:$A,$A1217))</f>
        <v/>
      </c>
      <c r="V1217" s="9">
        <f>IF(SUMIFS('Daily BSE Equity Options'!$M:$M,'Daily BSE Equity Options'!$A:$A,$A1217)=0,"",SUMIFS('Daily BSE Equity Options'!$M:$M,'Daily BSE Equity Options'!$A:$A,$A1217))</f>
        <v/>
      </c>
      <c r="W1217" s="9">
        <f>IF(OR(U1217="",V1217=""),"",U1217+V1217)</f>
        <v/>
      </c>
      <c r="X1217" s="25">
        <f>IF(W1217="","",U1217/W1217)</f>
        <v/>
      </c>
      <c r="Y1217" s="25">
        <f>IF(W1217="","",V1217/W1217)</f>
        <v/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19">
        <f>IF(G1218="","",E1218/G1218)</f>
        <v/>
      </c>
      <c r="I1218" s="19">
        <f>IF(G1218="","",F1218/G1218)</f>
        <v/>
      </c>
      <c r="J1218" s="26">
        <f>IFERROR(IF(OR(E1218="",INDEX(E:E,MATCH(DATE(YEAR($A1218)-1,MONTH($A1218),DAY($A1218)),$A:$A,0))=""),"",E1218/INDEX(E:E,MATCH(DATE(YEAR($A1218)-1,MONTH($A1218),DAY($A1218)),$A:$A,0))-1),"")</f>
        <v/>
      </c>
      <c r="K1218" s="19">
        <f>IFERROR(IF(OR(F1218="",INDEX(F:F,MATCH(DATE(YEAR($A1218)-1,MONTH($A1218),DAY($A1218)),$A:$A,0))=""),"",F1218/INDEX(F:F,MATCH(DATE(YEAR($A1218)-1,MONTH($A1218),DAY($A1218)),$A:$A,0))-1),"")</f>
        <v/>
      </c>
      <c r="L1218" s="19">
        <f>IFERROR(IF(OR(G1218="",INDEX(G:G,MATCH(DATE(YEAR($A1218)-1,MONTH($A1218),DAY($A1218)),$A:$A,0))=""),"",G1218/INDEX(G:G,MATCH(DATE(YEAR($A1218)-1,MONTH($A1218),DAY($A1218)),$A:$A,0))-1),"")</f>
        <v/>
      </c>
      <c r="M1218" s="19">
        <f>IF(OR(E1218="",E1217=""),"",E1218/E1217-1)</f>
        <v/>
      </c>
      <c r="N1218" s="19">
        <f>IF(OR(F1218="",F1217=""),"",F1218/F1217-1)</f>
        <v/>
      </c>
      <c r="O1218" s="19">
        <f>IF(OR(G1218="",G1217=""),"",G1218/G1217-1)</f>
        <v/>
      </c>
      <c r="P1218" s="22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IF(R1218="","",P1218/R1218)</f>
        <v/>
      </c>
      <c r="T1218" s="23">
        <f>IF(R1218="","",Q1218/R1218)</f>
        <v/>
      </c>
      <c r="U1218" s="24">
        <f>IF(SUMIFS('Daily NSE Equity Options'!$M:$M,'Daily NSE Equity Options'!$A:$A,$A1218)=0,"",SUMIFS('Daily NSE Equity Options'!$M:$M,'Daily NSE Equity Options'!$A:$A,$A1218))</f>
        <v/>
      </c>
      <c r="V1218" s="9">
        <f>IF(SUMIFS('Daily BSE Equity Options'!$M:$M,'Daily BSE Equity Options'!$A:$A,$A1218)=0,"",SUMIFS('Daily BSE Equity Options'!$M:$M,'Daily BSE Equity Options'!$A:$A,$A1218))</f>
        <v/>
      </c>
      <c r="W1218" s="9">
        <f>IF(OR(U1218="",V1218=""),"",U1218+V1218)</f>
        <v/>
      </c>
      <c r="X1218" s="25">
        <f>IF(W1218="","",U1218/W1218)</f>
        <v/>
      </c>
      <c r="Y1218" s="25">
        <f>IF(W1218="","",V1218/W1218)</f>
        <v/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19">
        <f>IF(G1219="","",E1219/G1219)</f>
        <v/>
      </c>
      <c r="I1219" s="19">
        <f>IF(G1219="","",F1219/G1219)</f>
        <v/>
      </c>
      <c r="J1219" s="26">
        <f>IFERROR(IF(OR(E1219="",INDEX(E:E,MATCH(DATE(YEAR($A1219)-1,MONTH($A1219),DAY($A1219)),$A:$A,0))=""),"",E1219/INDEX(E:E,MATCH(DATE(YEAR($A1219)-1,MONTH($A1219),DAY($A1219)),$A:$A,0))-1),"")</f>
        <v/>
      </c>
      <c r="K1219" s="19">
        <f>IFERROR(IF(OR(F1219="",INDEX(F:F,MATCH(DATE(YEAR($A1219)-1,MONTH($A1219),DAY($A1219)),$A:$A,0))=""),"",F1219/INDEX(F:F,MATCH(DATE(YEAR($A1219)-1,MONTH($A1219),DAY($A1219)),$A:$A,0))-1),"")</f>
        <v/>
      </c>
      <c r="L1219" s="19">
        <f>IFERROR(IF(OR(G1219="",INDEX(G:G,MATCH(DATE(YEAR($A1219)-1,MONTH($A1219),DAY($A1219)),$A:$A,0))=""),"",G1219/INDEX(G:G,MATCH(DATE(YEAR($A1219)-1,MONTH($A1219),DAY($A1219)),$A:$A,0))-1),"")</f>
        <v/>
      </c>
      <c r="M1219" s="19">
        <f>IF(OR(E1219="",E1218=""),"",E1219/E1218-1)</f>
        <v/>
      </c>
      <c r="N1219" s="19">
        <f>IF(OR(F1219="",F1218=""),"",F1219/F1218-1)</f>
        <v/>
      </c>
      <c r="O1219" s="19">
        <f>IF(OR(G1219="",G1218=""),"",G1219/G1218-1)</f>
        <v/>
      </c>
      <c r="P1219" s="22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IF(R1219="","",P1219/R1219)</f>
        <v/>
      </c>
      <c r="T1219" s="23">
        <f>IF(R1219="","",Q1219/R1219)</f>
        <v/>
      </c>
      <c r="U1219" s="24">
        <f>IF(SUMIFS('Daily NSE Equity Options'!$M:$M,'Daily NSE Equity Options'!$A:$A,$A1219)=0,"",SUMIFS('Daily NSE Equity Options'!$M:$M,'Daily NSE Equity Options'!$A:$A,$A1219))</f>
        <v/>
      </c>
      <c r="V1219" s="9">
        <f>IF(SUMIFS('Daily BSE Equity Options'!$M:$M,'Daily BSE Equity Options'!$A:$A,$A1219)=0,"",SUMIFS('Daily BSE Equity Options'!$M:$M,'Daily BSE Equity Options'!$A:$A,$A1219))</f>
        <v/>
      </c>
      <c r="W1219" s="9">
        <f>IF(OR(U1219="",V1219=""),"",U1219+V1219)</f>
        <v/>
      </c>
      <c r="X1219" s="25">
        <f>IF(W1219="","",U1219/W1219)</f>
        <v/>
      </c>
      <c r="Y1219" s="25">
        <f>IF(W1219="","",V1219/W1219)</f>
        <v/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19">
        <f>IF(G1220="","",E1220/G1220)</f>
        <v/>
      </c>
      <c r="I1220" s="19">
        <f>IF(G1220="","",F1220/G1220)</f>
        <v/>
      </c>
      <c r="J1220" s="26">
        <f>IFERROR(IF(OR(E1220="",INDEX(E:E,MATCH(DATE(YEAR($A1220)-1,MONTH($A1220),DAY($A1220)),$A:$A,0))=""),"",E1220/INDEX(E:E,MATCH(DATE(YEAR($A1220)-1,MONTH($A1220),DAY($A1220)),$A:$A,0))-1),"")</f>
        <v/>
      </c>
      <c r="K1220" s="19">
        <f>IFERROR(IF(OR(F1220="",INDEX(F:F,MATCH(DATE(YEAR($A1220)-1,MONTH($A1220),DAY($A1220)),$A:$A,0))=""),"",F1220/INDEX(F:F,MATCH(DATE(YEAR($A1220)-1,MONTH($A1220),DAY($A1220)),$A:$A,0))-1),"")</f>
        <v/>
      </c>
      <c r="L1220" s="19">
        <f>IFERROR(IF(OR(G1220="",INDEX(G:G,MATCH(DATE(YEAR($A1220)-1,MONTH($A1220),DAY($A1220)),$A:$A,0))=""),"",G1220/INDEX(G:G,MATCH(DATE(YEAR($A1220)-1,MONTH($A1220),DAY($A1220)),$A:$A,0))-1),"")</f>
        <v/>
      </c>
      <c r="M1220" s="19">
        <f>IF(OR(E1220="",E1219=""),"",E1220/E1219-1)</f>
        <v/>
      </c>
      <c r="N1220" s="19">
        <f>IF(OR(F1220="",F1219=""),"",F1220/F1219-1)</f>
        <v/>
      </c>
      <c r="O1220" s="19">
        <f>IF(OR(G1220="",G1219=""),"",G1220/G1219-1)</f>
        <v/>
      </c>
      <c r="P1220" s="22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IF(R1220="","",P1220/R1220)</f>
        <v/>
      </c>
      <c r="T1220" s="23">
        <f>IF(R1220="","",Q1220/R1220)</f>
        <v/>
      </c>
      <c r="U1220" s="24">
        <f>IF(SUMIFS('Daily NSE Equity Options'!$M:$M,'Daily NSE Equity Options'!$A:$A,$A1220)=0,"",SUMIFS('Daily NSE Equity Options'!$M:$M,'Daily NSE Equity Options'!$A:$A,$A1220))</f>
        <v/>
      </c>
      <c r="V1220" s="9">
        <f>IF(SUMIFS('Daily BSE Equity Options'!$M:$M,'Daily BSE Equity Options'!$A:$A,$A1220)=0,"",SUMIFS('Daily BSE Equity Options'!$M:$M,'Daily BSE Equity Options'!$A:$A,$A1220))</f>
        <v/>
      </c>
      <c r="W1220" s="9">
        <f>IF(OR(U1220="",V1220=""),"",U1220+V1220)</f>
        <v/>
      </c>
      <c r="X1220" s="25">
        <f>IF(W1220="","",U1220/W1220)</f>
        <v/>
      </c>
      <c r="Y1220" s="25">
        <f>IF(W1220="","",V1220/W1220)</f>
        <v/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19">
        <f>IF(G1221="","",E1221/G1221)</f>
        <v/>
      </c>
      <c r="I1221" s="19">
        <f>IF(G1221="","",F1221/G1221)</f>
        <v/>
      </c>
      <c r="J1221" s="26">
        <f>IFERROR(IF(OR(E1221="",INDEX(E:E,MATCH(DATE(YEAR($A1221)-1,MONTH($A1221),DAY($A1221)),$A:$A,0))=""),"",E1221/INDEX(E:E,MATCH(DATE(YEAR($A1221)-1,MONTH($A1221),DAY($A1221)),$A:$A,0))-1),"")</f>
        <v/>
      </c>
      <c r="K1221" s="19">
        <f>IFERROR(IF(OR(F1221="",INDEX(F:F,MATCH(DATE(YEAR($A1221)-1,MONTH($A1221),DAY($A1221)),$A:$A,0))=""),"",F1221/INDEX(F:F,MATCH(DATE(YEAR($A1221)-1,MONTH($A1221),DAY($A1221)),$A:$A,0))-1),"")</f>
        <v/>
      </c>
      <c r="L1221" s="19">
        <f>IFERROR(IF(OR(G1221="",INDEX(G:G,MATCH(DATE(YEAR($A1221)-1,MONTH($A1221),DAY($A1221)),$A:$A,0))=""),"",G1221/INDEX(G:G,MATCH(DATE(YEAR($A1221)-1,MONTH($A1221),DAY($A1221)),$A:$A,0))-1),"")</f>
        <v/>
      </c>
      <c r="M1221" s="19">
        <f>IF(OR(E1221="",E1220=""),"",E1221/E1220-1)</f>
        <v/>
      </c>
      <c r="N1221" s="19">
        <f>IF(OR(F1221="",F1220=""),"",F1221/F1220-1)</f>
        <v/>
      </c>
      <c r="O1221" s="19">
        <f>IF(OR(G1221="",G1220=""),"",G1221/G1220-1)</f>
        <v/>
      </c>
      <c r="P1221" s="22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IF(R1221="","",P1221/R1221)</f>
        <v/>
      </c>
      <c r="T1221" s="23">
        <f>IF(R1221="","",Q1221/R1221)</f>
        <v/>
      </c>
      <c r="U1221" s="24">
        <f>IF(SUMIFS('Daily NSE Equity Options'!$M:$M,'Daily NSE Equity Options'!$A:$A,$A1221)=0,"",SUMIFS('Daily NSE Equity Options'!$M:$M,'Daily NSE Equity Options'!$A:$A,$A1221))</f>
        <v/>
      </c>
      <c r="V1221" s="9">
        <f>IF(SUMIFS('Daily BSE Equity Options'!$M:$M,'Daily BSE Equity Options'!$A:$A,$A1221)=0,"",SUMIFS('Daily BSE Equity Options'!$M:$M,'Daily BSE Equity Options'!$A:$A,$A1221))</f>
        <v/>
      </c>
      <c r="W1221" s="9">
        <f>IF(OR(U1221="",V1221=""),"",U1221+V1221)</f>
        <v/>
      </c>
      <c r="X1221" s="25">
        <f>IF(W1221="","",U1221/W1221)</f>
        <v/>
      </c>
      <c r="Y1221" s="25">
        <f>IF(W1221="","",V1221/W1221)</f>
        <v/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19">
        <f>IF(G1222="","",E1222/G1222)</f>
        <v/>
      </c>
      <c r="I1222" s="19">
        <f>IF(G1222="","",F1222/G1222)</f>
        <v/>
      </c>
      <c r="J1222" s="26">
        <f>IFERROR(IF(OR(E1222="",INDEX(E:E,MATCH(DATE(YEAR($A1222)-1,MONTH($A1222),DAY($A1222)),$A:$A,0))=""),"",E1222/INDEX(E:E,MATCH(DATE(YEAR($A1222)-1,MONTH($A1222),DAY($A1222)),$A:$A,0))-1),"")</f>
        <v/>
      </c>
      <c r="K1222" s="19">
        <f>IFERROR(IF(OR(F1222="",INDEX(F:F,MATCH(DATE(YEAR($A1222)-1,MONTH($A1222),DAY($A1222)),$A:$A,0))=""),"",F1222/INDEX(F:F,MATCH(DATE(YEAR($A1222)-1,MONTH($A1222),DAY($A1222)),$A:$A,0))-1),"")</f>
        <v/>
      </c>
      <c r="L1222" s="19">
        <f>IFERROR(IF(OR(G1222="",INDEX(G:G,MATCH(DATE(YEAR($A1222)-1,MONTH($A1222),DAY($A1222)),$A:$A,0))=""),"",G1222/INDEX(G:G,MATCH(DATE(YEAR($A1222)-1,MONTH($A1222),DAY($A1222)),$A:$A,0))-1),"")</f>
        <v/>
      </c>
      <c r="M1222" s="19">
        <f>IF(OR(E1222="",E1221=""),"",E1222/E1221-1)</f>
        <v/>
      </c>
      <c r="N1222" s="19">
        <f>IF(OR(F1222="",F1221=""),"",F1222/F1221-1)</f>
        <v/>
      </c>
      <c r="O1222" s="19">
        <f>IF(OR(G1222="",G1221=""),"",G1222/G1221-1)</f>
        <v/>
      </c>
      <c r="P1222" s="22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IF(R1222="","",P1222/R1222)</f>
        <v/>
      </c>
      <c r="T1222" s="23">
        <f>IF(R1222="","",Q1222/R1222)</f>
        <v/>
      </c>
      <c r="U1222" s="24">
        <f>IF(SUMIFS('Daily NSE Equity Options'!$M:$M,'Daily NSE Equity Options'!$A:$A,$A1222)=0,"",SUMIFS('Daily NSE Equity Options'!$M:$M,'Daily NSE Equity Options'!$A:$A,$A1222))</f>
        <v/>
      </c>
      <c r="V1222" s="9">
        <f>IF(SUMIFS('Daily BSE Equity Options'!$M:$M,'Daily BSE Equity Options'!$A:$A,$A1222)=0,"",SUMIFS('Daily BSE Equity Options'!$M:$M,'Daily BSE Equity Options'!$A:$A,$A1222))</f>
        <v/>
      </c>
      <c r="W1222" s="9">
        <f>IF(OR(U1222="",V1222=""),"",U1222+V1222)</f>
        <v/>
      </c>
      <c r="X1222" s="25">
        <f>IF(W1222="","",U1222/W1222)</f>
        <v/>
      </c>
      <c r="Y1222" s="25">
        <f>IF(W1222="","",V1222/W1222)</f>
        <v/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19">
        <f>IF(G1223="","",E1223/G1223)</f>
        <v/>
      </c>
      <c r="I1223" s="19">
        <f>IF(G1223="","",F1223/G1223)</f>
        <v/>
      </c>
      <c r="J1223" s="26">
        <f>IFERROR(IF(OR(E1223="",INDEX(E:E,MATCH(DATE(YEAR($A1223)-1,MONTH($A1223),DAY($A1223)),$A:$A,0))=""),"",E1223/INDEX(E:E,MATCH(DATE(YEAR($A1223)-1,MONTH($A1223),DAY($A1223)),$A:$A,0))-1),"")</f>
        <v/>
      </c>
      <c r="K1223" s="19">
        <f>IFERROR(IF(OR(F1223="",INDEX(F:F,MATCH(DATE(YEAR($A1223)-1,MONTH($A1223),DAY($A1223)),$A:$A,0))=""),"",F1223/INDEX(F:F,MATCH(DATE(YEAR($A1223)-1,MONTH($A1223),DAY($A1223)),$A:$A,0))-1),"")</f>
        <v/>
      </c>
      <c r="L1223" s="19">
        <f>IFERROR(IF(OR(G1223="",INDEX(G:G,MATCH(DATE(YEAR($A1223)-1,MONTH($A1223),DAY($A1223)),$A:$A,0))=""),"",G1223/INDEX(G:G,MATCH(DATE(YEAR($A1223)-1,MONTH($A1223),DAY($A1223)),$A:$A,0))-1),"")</f>
        <v/>
      </c>
      <c r="M1223" s="19">
        <f>IF(OR(E1223="",E1222=""),"",E1223/E1222-1)</f>
        <v/>
      </c>
      <c r="N1223" s="19">
        <f>IF(OR(F1223="",F1222=""),"",F1223/F1222-1)</f>
        <v/>
      </c>
      <c r="O1223" s="19">
        <f>IF(OR(G1223="",G1222=""),"",G1223/G1222-1)</f>
        <v/>
      </c>
      <c r="P1223" s="22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IF(R1223="","",P1223/R1223)</f>
        <v/>
      </c>
      <c r="T1223" s="23">
        <f>IF(R1223="","",Q1223/R1223)</f>
        <v/>
      </c>
      <c r="U1223" s="24">
        <f>IF(SUMIFS('Daily NSE Equity Options'!$M:$M,'Daily NSE Equity Options'!$A:$A,$A1223)=0,"",SUMIFS('Daily NSE Equity Options'!$M:$M,'Daily NSE Equity Options'!$A:$A,$A1223))</f>
        <v/>
      </c>
      <c r="V1223" s="9">
        <f>IF(SUMIFS('Daily BSE Equity Options'!$M:$M,'Daily BSE Equity Options'!$A:$A,$A1223)=0,"",SUMIFS('Daily BSE Equity Options'!$M:$M,'Daily BSE Equity Options'!$A:$A,$A1223))</f>
        <v/>
      </c>
      <c r="W1223" s="9">
        <f>IF(OR(U1223="",V1223=""),"",U1223+V1223)</f>
        <v/>
      </c>
      <c r="X1223" s="25">
        <f>IF(W1223="","",U1223/W1223)</f>
        <v/>
      </c>
      <c r="Y1223" s="25">
        <f>IF(W1223="","",V1223/W1223)</f>
        <v/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19">
        <f>IF(G1224="","",E1224/G1224)</f>
        <v/>
      </c>
      <c r="I1224" s="19">
        <f>IF(G1224="","",F1224/G1224)</f>
        <v/>
      </c>
      <c r="J1224" s="26">
        <f>IFERROR(IF(OR(E1224="",INDEX(E:E,MATCH(DATE(YEAR($A1224)-1,MONTH($A1224),DAY($A1224)),$A:$A,0))=""),"",E1224/INDEX(E:E,MATCH(DATE(YEAR($A1224)-1,MONTH($A1224),DAY($A1224)),$A:$A,0))-1),"")</f>
        <v/>
      </c>
      <c r="K1224" s="19">
        <f>IFERROR(IF(OR(F1224="",INDEX(F:F,MATCH(DATE(YEAR($A1224)-1,MONTH($A1224),DAY($A1224)),$A:$A,0))=""),"",F1224/INDEX(F:F,MATCH(DATE(YEAR($A1224)-1,MONTH($A1224),DAY($A1224)),$A:$A,0))-1),"")</f>
        <v/>
      </c>
      <c r="L1224" s="19">
        <f>IFERROR(IF(OR(G1224="",INDEX(G:G,MATCH(DATE(YEAR($A1224)-1,MONTH($A1224),DAY($A1224)),$A:$A,0))=""),"",G1224/INDEX(G:G,MATCH(DATE(YEAR($A1224)-1,MONTH($A1224),DAY($A1224)),$A:$A,0))-1),"")</f>
        <v/>
      </c>
      <c r="M1224" s="19">
        <f>IF(OR(E1224="",E1223=""),"",E1224/E1223-1)</f>
        <v/>
      </c>
      <c r="N1224" s="19">
        <f>IF(OR(F1224="",F1223=""),"",F1224/F1223-1)</f>
        <v/>
      </c>
      <c r="O1224" s="19">
        <f>IF(OR(G1224="",G1223=""),"",G1224/G1223-1)</f>
        <v/>
      </c>
      <c r="P1224" s="22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IF(R1224="","",P1224/R1224)</f>
        <v/>
      </c>
      <c r="T1224" s="23">
        <f>IF(R1224="","",Q1224/R1224)</f>
        <v/>
      </c>
      <c r="U1224" s="24">
        <f>IF(SUMIFS('Daily NSE Equity Options'!$M:$M,'Daily NSE Equity Options'!$A:$A,$A1224)=0,"",SUMIFS('Daily NSE Equity Options'!$M:$M,'Daily NSE Equity Options'!$A:$A,$A1224))</f>
        <v/>
      </c>
      <c r="V1224" s="9">
        <f>IF(SUMIFS('Daily BSE Equity Options'!$M:$M,'Daily BSE Equity Options'!$A:$A,$A1224)=0,"",SUMIFS('Daily BSE Equity Options'!$M:$M,'Daily BSE Equity Options'!$A:$A,$A1224))</f>
        <v/>
      </c>
      <c r="W1224" s="9">
        <f>IF(OR(U1224="",V1224=""),"",U1224+V1224)</f>
        <v/>
      </c>
      <c r="X1224" s="25">
        <f>IF(W1224="","",U1224/W1224)</f>
        <v/>
      </c>
      <c r="Y1224" s="25">
        <f>IF(W1224="","",V1224/W1224)</f>
        <v/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19">
        <f>IF(G1225="","",E1225/G1225)</f>
        <v/>
      </c>
      <c r="I1225" s="19">
        <f>IF(G1225="","",F1225/G1225)</f>
        <v/>
      </c>
      <c r="J1225" s="26">
        <f>IFERROR(IF(OR(E1225="",INDEX(E:E,MATCH(DATE(YEAR($A1225)-1,MONTH($A1225),DAY($A1225)),$A:$A,0))=""),"",E1225/INDEX(E:E,MATCH(DATE(YEAR($A1225)-1,MONTH($A1225),DAY($A1225)),$A:$A,0))-1),"")</f>
        <v/>
      </c>
      <c r="K1225" s="19">
        <f>IFERROR(IF(OR(F1225="",INDEX(F:F,MATCH(DATE(YEAR($A1225)-1,MONTH($A1225),DAY($A1225)),$A:$A,0))=""),"",F1225/INDEX(F:F,MATCH(DATE(YEAR($A1225)-1,MONTH($A1225),DAY($A1225)),$A:$A,0))-1),"")</f>
        <v/>
      </c>
      <c r="L1225" s="19">
        <f>IFERROR(IF(OR(G1225="",INDEX(G:G,MATCH(DATE(YEAR($A1225)-1,MONTH($A1225),DAY($A1225)),$A:$A,0))=""),"",G1225/INDEX(G:G,MATCH(DATE(YEAR($A1225)-1,MONTH($A1225),DAY($A1225)),$A:$A,0))-1),"")</f>
        <v/>
      </c>
      <c r="M1225" s="19">
        <f>IF(OR(E1225="",E1224=""),"",E1225/E1224-1)</f>
        <v/>
      </c>
      <c r="N1225" s="19">
        <f>IF(OR(F1225="",F1224=""),"",F1225/F1224-1)</f>
        <v/>
      </c>
      <c r="O1225" s="19">
        <f>IF(OR(G1225="",G1224=""),"",G1225/G1224-1)</f>
        <v/>
      </c>
      <c r="P1225" s="22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IF(R1225="","",P1225/R1225)</f>
        <v/>
      </c>
      <c r="T1225" s="23">
        <f>IF(R1225="","",Q1225/R1225)</f>
        <v/>
      </c>
      <c r="U1225" s="24">
        <f>IF(SUMIFS('Daily NSE Equity Options'!$M:$M,'Daily NSE Equity Options'!$A:$A,$A1225)=0,"",SUMIFS('Daily NSE Equity Options'!$M:$M,'Daily NSE Equity Options'!$A:$A,$A1225))</f>
        <v/>
      </c>
      <c r="V1225" s="9">
        <f>IF(SUMIFS('Daily BSE Equity Options'!$M:$M,'Daily BSE Equity Options'!$A:$A,$A1225)=0,"",SUMIFS('Daily BSE Equity Options'!$M:$M,'Daily BSE Equity Options'!$A:$A,$A1225))</f>
        <v/>
      </c>
      <c r="W1225" s="9">
        <f>IF(OR(U1225="",V1225=""),"",U1225+V1225)</f>
        <v/>
      </c>
      <c r="X1225" s="25">
        <f>IF(W1225="","",U1225/W1225)</f>
        <v/>
      </c>
      <c r="Y1225" s="25">
        <f>IF(W1225="","",V1225/W1225)</f>
        <v/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19">
        <f>IF(G1226="","",E1226/G1226)</f>
        <v/>
      </c>
      <c r="I1226" s="19">
        <f>IF(G1226="","",F1226/G1226)</f>
        <v/>
      </c>
      <c r="J1226" s="26">
        <f>IFERROR(IF(OR(E1226="",INDEX(E:E,MATCH(DATE(YEAR($A1226)-1,MONTH($A1226),DAY($A1226)),$A:$A,0))=""),"",E1226/INDEX(E:E,MATCH(DATE(YEAR($A1226)-1,MONTH($A1226),DAY($A1226)),$A:$A,0))-1),"")</f>
        <v/>
      </c>
      <c r="K1226" s="19">
        <f>IFERROR(IF(OR(F1226="",INDEX(F:F,MATCH(DATE(YEAR($A1226)-1,MONTH($A1226),DAY($A1226)),$A:$A,0))=""),"",F1226/INDEX(F:F,MATCH(DATE(YEAR($A1226)-1,MONTH($A1226),DAY($A1226)),$A:$A,0))-1),"")</f>
        <v/>
      </c>
      <c r="L1226" s="19">
        <f>IFERROR(IF(OR(G1226="",INDEX(G:G,MATCH(DATE(YEAR($A1226)-1,MONTH($A1226),DAY($A1226)),$A:$A,0))=""),"",G1226/INDEX(G:G,MATCH(DATE(YEAR($A1226)-1,MONTH($A1226),DAY($A1226)),$A:$A,0))-1),"")</f>
        <v/>
      </c>
      <c r="M1226" s="19">
        <f>IF(OR(E1226="",E1225=""),"",E1226/E1225-1)</f>
        <v/>
      </c>
      <c r="N1226" s="19">
        <f>IF(OR(F1226="",F1225=""),"",F1226/F1225-1)</f>
        <v/>
      </c>
      <c r="O1226" s="19">
        <f>IF(OR(G1226="",G1225=""),"",G1226/G1225-1)</f>
        <v/>
      </c>
      <c r="P1226" s="22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IF(R1226="","",P1226/R1226)</f>
        <v/>
      </c>
      <c r="T1226" s="23">
        <f>IF(R1226="","",Q1226/R1226)</f>
        <v/>
      </c>
      <c r="U1226" s="24">
        <f>IF(SUMIFS('Daily NSE Equity Options'!$M:$M,'Daily NSE Equity Options'!$A:$A,$A1226)=0,"",SUMIFS('Daily NSE Equity Options'!$M:$M,'Daily NSE Equity Options'!$A:$A,$A1226))</f>
        <v/>
      </c>
      <c r="V1226" s="9">
        <f>IF(SUMIFS('Daily BSE Equity Options'!$M:$M,'Daily BSE Equity Options'!$A:$A,$A1226)=0,"",SUMIFS('Daily BSE Equity Options'!$M:$M,'Daily BSE Equity Options'!$A:$A,$A1226))</f>
        <v/>
      </c>
      <c r="W1226" s="9">
        <f>IF(OR(U1226="",V1226=""),"",U1226+V1226)</f>
        <v/>
      </c>
      <c r="X1226" s="25">
        <f>IF(W1226="","",U1226/W1226)</f>
        <v/>
      </c>
      <c r="Y1226" s="25">
        <f>IF(W1226="","",V1226/W1226)</f>
        <v/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19">
        <f>IF(G1227="","",E1227/G1227)</f>
        <v/>
      </c>
      <c r="I1227" s="19">
        <f>IF(G1227="","",F1227/G1227)</f>
        <v/>
      </c>
      <c r="J1227" s="26">
        <f>IFERROR(IF(OR(E1227="",INDEX(E:E,MATCH(DATE(YEAR($A1227)-1,MONTH($A1227),DAY($A1227)),$A:$A,0))=""),"",E1227/INDEX(E:E,MATCH(DATE(YEAR($A1227)-1,MONTH($A1227),DAY($A1227)),$A:$A,0))-1),"")</f>
        <v/>
      </c>
      <c r="K1227" s="19">
        <f>IFERROR(IF(OR(F1227="",INDEX(F:F,MATCH(DATE(YEAR($A1227)-1,MONTH($A1227),DAY($A1227)),$A:$A,0))=""),"",F1227/INDEX(F:F,MATCH(DATE(YEAR($A1227)-1,MONTH($A1227),DAY($A1227)),$A:$A,0))-1),"")</f>
        <v/>
      </c>
      <c r="L1227" s="19">
        <f>IFERROR(IF(OR(G1227="",INDEX(G:G,MATCH(DATE(YEAR($A1227)-1,MONTH($A1227),DAY($A1227)),$A:$A,0))=""),"",G1227/INDEX(G:G,MATCH(DATE(YEAR($A1227)-1,MONTH($A1227),DAY($A1227)),$A:$A,0))-1),"")</f>
        <v/>
      </c>
      <c r="M1227" s="19">
        <f>IF(OR(E1227="",E1226=""),"",E1227/E1226-1)</f>
        <v/>
      </c>
      <c r="N1227" s="19">
        <f>IF(OR(F1227="",F1226=""),"",F1227/F1226-1)</f>
        <v/>
      </c>
      <c r="O1227" s="19">
        <f>IF(OR(G1227="",G1226=""),"",G1227/G1226-1)</f>
        <v/>
      </c>
      <c r="P1227" s="22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IF(R1227="","",P1227/R1227)</f>
        <v/>
      </c>
      <c r="T1227" s="23">
        <f>IF(R1227="","",Q1227/R1227)</f>
        <v/>
      </c>
      <c r="U1227" s="24">
        <f>IF(SUMIFS('Daily NSE Equity Options'!$M:$M,'Daily NSE Equity Options'!$A:$A,$A1227)=0,"",SUMIFS('Daily NSE Equity Options'!$M:$M,'Daily NSE Equity Options'!$A:$A,$A1227))</f>
        <v/>
      </c>
      <c r="V1227" s="9">
        <f>IF(SUMIFS('Daily BSE Equity Options'!$M:$M,'Daily BSE Equity Options'!$A:$A,$A1227)=0,"",SUMIFS('Daily BSE Equity Options'!$M:$M,'Daily BSE Equity Options'!$A:$A,$A1227))</f>
        <v/>
      </c>
      <c r="W1227" s="9">
        <f>IF(OR(U1227="",V1227=""),"",U1227+V1227)</f>
        <v/>
      </c>
      <c r="X1227" s="25">
        <f>IF(W1227="","",U1227/W1227)</f>
        <v/>
      </c>
      <c r="Y1227" s="25">
        <f>IF(W1227="","",V1227/W1227)</f>
        <v/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19">
        <f>IF(G1228="","",E1228/G1228)</f>
        <v/>
      </c>
      <c r="I1228" s="19">
        <f>IF(G1228="","",F1228/G1228)</f>
        <v/>
      </c>
      <c r="J1228" s="26">
        <f>IFERROR(IF(OR(E1228="",INDEX(E:E,MATCH(DATE(YEAR($A1228)-1,MONTH($A1228),DAY($A1228)),$A:$A,0))=""),"",E1228/INDEX(E:E,MATCH(DATE(YEAR($A1228)-1,MONTH($A1228),DAY($A1228)),$A:$A,0))-1),"")</f>
        <v/>
      </c>
      <c r="K1228" s="19">
        <f>IFERROR(IF(OR(F1228="",INDEX(F:F,MATCH(DATE(YEAR($A1228)-1,MONTH($A1228),DAY($A1228)),$A:$A,0))=""),"",F1228/INDEX(F:F,MATCH(DATE(YEAR($A1228)-1,MONTH($A1228),DAY($A1228)),$A:$A,0))-1),"")</f>
        <v/>
      </c>
      <c r="L1228" s="19">
        <f>IFERROR(IF(OR(G1228="",INDEX(G:G,MATCH(DATE(YEAR($A1228)-1,MONTH($A1228),DAY($A1228)),$A:$A,0))=""),"",G1228/INDEX(G:G,MATCH(DATE(YEAR($A1228)-1,MONTH($A1228),DAY($A1228)),$A:$A,0))-1),"")</f>
        <v/>
      </c>
      <c r="M1228" s="19">
        <f>IF(OR(E1228="",E1227=""),"",E1228/E1227-1)</f>
        <v/>
      </c>
      <c r="N1228" s="19">
        <f>IF(OR(F1228="",F1227=""),"",F1228/F1227-1)</f>
        <v/>
      </c>
      <c r="O1228" s="19">
        <f>IF(OR(G1228="",G1227=""),"",G1228/G1227-1)</f>
        <v/>
      </c>
      <c r="P1228" s="22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IF(R1228="","",P1228/R1228)</f>
        <v/>
      </c>
      <c r="T1228" s="23">
        <f>IF(R1228="","",Q1228/R1228)</f>
        <v/>
      </c>
      <c r="U1228" s="24">
        <f>IF(SUMIFS('Daily NSE Equity Options'!$M:$M,'Daily NSE Equity Options'!$A:$A,$A1228)=0,"",SUMIFS('Daily NSE Equity Options'!$M:$M,'Daily NSE Equity Options'!$A:$A,$A1228))</f>
        <v/>
      </c>
      <c r="V1228" s="9">
        <f>IF(SUMIFS('Daily BSE Equity Options'!$M:$M,'Daily BSE Equity Options'!$A:$A,$A1228)=0,"",SUMIFS('Daily BSE Equity Options'!$M:$M,'Daily BSE Equity Options'!$A:$A,$A1228))</f>
        <v/>
      </c>
      <c r="W1228" s="9">
        <f>IF(OR(U1228="",V1228=""),"",U1228+V1228)</f>
        <v/>
      </c>
      <c r="X1228" s="25">
        <f>IF(W1228="","",U1228/W1228)</f>
        <v/>
      </c>
      <c r="Y1228" s="25">
        <f>IF(W1228="","",V1228/W1228)</f>
        <v/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19">
        <f>IF(G1229="","",E1229/G1229)</f>
        <v/>
      </c>
      <c r="I1229" s="19">
        <f>IF(G1229="","",F1229/G1229)</f>
        <v/>
      </c>
      <c r="J1229" s="26">
        <f>IFERROR(IF(OR(E1229="",INDEX(E:E,MATCH(DATE(YEAR($A1229)-1,MONTH($A1229),DAY($A1229)),$A:$A,0))=""),"",E1229/INDEX(E:E,MATCH(DATE(YEAR($A1229)-1,MONTH($A1229),DAY($A1229)),$A:$A,0))-1),"")</f>
        <v/>
      </c>
      <c r="K1229" s="19">
        <f>IFERROR(IF(OR(F1229="",INDEX(F:F,MATCH(DATE(YEAR($A1229)-1,MONTH($A1229),DAY($A1229)),$A:$A,0))=""),"",F1229/INDEX(F:F,MATCH(DATE(YEAR($A1229)-1,MONTH($A1229),DAY($A1229)),$A:$A,0))-1),"")</f>
        <v/>
      </c>
      <c r="L1229" s="19">
        <f>IFERROR(IF(OR(G1229="",INDEX(G:G,MATCH(DATE(YEAR($A1229)-1,MONTH($A1229),DAY($A1229)),$A:$A,0))=""),"",G1229/INDEX(G:G,MATCH(DATE(YEAR($A1229)-1,MONTH($A1229),DAY($A1229)),$A:$A,0))-1),"")</f>
        <v/>
      </c>
      <c r="M1229" s="19">
        <f>IF(OR(E1229="",E1228=""),"",E1229/E1228-1)</f>
        <v/>
      </c>
      <c r="N1229" s="19">
        <f>IF(OR(F1229="",F1228=""),"",F1229/F1228-1)</f>
        <v/>
      </c>
      <c r="O1229" s="19">
        <f>IF(OR(G1229="",G1228=""),"",G1229/G1228-1)</f>
        <v/>
      </c>
      <c r="P1229" s="22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IF(R1229="","",P1229/R1229)</f>
        <v/>
      </c>
      <c r="T1229" s="23">
        <f>IF(R1229="","",Q1229/R1229)</f>
        <v/>
      </c>
      <c r="U1229" s="24">
        <f>IF(SUMIFS('Daily NSE Equity Options'!$M:$M,'Daily NSE Equity Options'!$A:$A,$A1229)=0,"",SUMIFS('Daily NSE Equity Options'!$M:$M,'Daily NSE Equity Options'!$A:$A,$A1229))</f>
        <v/>
      </c>
      <c r="V1229" s="9">
        <f>IF(SUMIFS('Daily BSE Equity Options'!$M:$M,'Daily BSE Equity Options'!$A:$A,$A1229)=0,"",SUMIFS('Daily BSE Equity Options'!$M:$M,'Daily BSE Equity Options'!$A:$A,$A1229))</f>
        <v/>
      </c>
      <c r="W1229" s="9">
        <f>IF(OR(U1229="",V1229=""),"",U1229+V1229)</f>
        <v/>
      </c>
      <c r="X1229" s="25">
        <f>IF(W1229="","",U1229/W1229)</f>
        <v/>
      </c>
      <c r="Y1229" s="25">
        <f>IF(W1229="","",V1229/W1229)</f>
        <v/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19">
        <f>IF(G1230="","",E1230/G1230)</f>
        <v/>
      </c>
      <c r="I1230" s="19">
        <f>IF(G1230="","",F1230/G1230)</f>
        <v/>
      </c>
      <c r="J1230" s="26">
        <f>IFERROR(IF(OR(E1230="",INDEX(E:E,MATCH(DATE(YEAR($A1230)-1,MONTH($A1230),DAY($A1230)),$A:$A,0))=""),"",E1230/INDEX(E:E,MATCH(DATE(YEAR($A1230)-1,MONTH($A1230),DAY($A1230)),$A:$A,0))-1),"")</f>
        <v/>
      </c>
      <c r="K1230" s="19">
        <f>IFERROR(IF(OR(F1230="",INDEX(F:F,MATCH(DATE(YEAR($A1230)-1,MONTH($A1230),DAY($A1230)),$A:$A,0))=""),"",F1230/INDEX(F:F,MATCH(DATE(YEAR($A1230)-1,MONTH($A1230),DAY($A1230)),$A:$A,0))-1),"")</f>
        <v/>
      </c>
      <c r="L1230" s="19">
        <f>IFERROR(IF(OR(G1230="",INDEX(G:G,MATCH(DATE(YEAR($A1230)-1,MONTH($A1230),DAY($A1230)),$A:$A,0))=""),"",G1230/INDEX(G:G,MATCH(DATE(YEAR($A1230)-1,MONTH($A1230),DAY($A1230)),$A:$A,0))-1),"")</f>
        <v/>
      </c>
      <c r="M1230" s="19">
        <f>IF(OR(E1230="",E1229=""),"",E1230/E1229-1)</f>
        <v/>
      </c>
      <c r="N1230" s="19">
        <f>IF(OR(F1230="",F1229=""),"",F1230/F1229-1)</f>
        <v/>
      </c>
      <c r="O1230" s="19">
        <f>IF(OR(G1230="",G1229=""),"",G1230/G1229-1)</f>
        <v/>
      </c>
      <c r="P1230" s="22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IF(R1230="","",P1230/R1230)</f>
        <v/>
      </c>
      <c r="T1230" s="23">
        <f>IF(R1230="","",Q1230/R1230)</f>
        <v/>
      </c>
      <c r="U1230" s="24">
        <f>IF(SUMIFS('Daily NSE Equity Options'!$M:$M,'Daily NSE Equity Options'!$A:$A,$A1230)=0,"",SUMIFS('Daily NSE Equity Options'!$M:$M,'Daily NSE Equity Options'!$A:$A,$A1230))</f>
        <v/>
      </c>
      <c r="V1230" s="9">
        <f>IF(SUMIFS('Daily BSE Equity Options'!$M:$M,'Daily BSE Equity Options'!$A:$A,$A1230)=0,"",SUMIFS('Daily BSE Equity Options'!$M:$M,'Daily BSE Equity Options'!$A:$A,$A1230))</f>
        <v/>
      </c>
      <c r="W1230" s="9">
        <f>IF(OR(U1230="",V1230=""),"",U1230+V1230)</f>
        <v/>
      </c>
      <c r="X1230" s="25">
        <f>IF(W1230="","",U1230/W1230)</f>
        <v/>
      </c>
      <c r="Y1230" s="25">
        <f>IF(W1230="","",V1230/W1230)</f>
        <v/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19">
        <f>IF(G1231="","",E1231/G1231)</f>
        <v/>
      </c>
      <c r="I1231" s="19">
        <f>IF(G1231="","",F1231/G1231)</f>
        <v/>
      </c>
      <c r="J1231" s="26">
        <f>IFERROR(IF(OR(E1231="",INDEX(E:E,MATCH(DATE(YEAR($A1231)-1,MONTH($A1231),DAY($A1231)),$A:$A,0))=""),"",E1231/INDEX(E:E,MATCH(DATE(YEAR($A1231)-1,MONTH($A1231),DAY($A1231)),$A:$A,0))-1),"")</f>
        <v/>
      </c>
      <c r="K1231" s="19">
        <f>IFERROR(IF(OR(F1231="",INDEX(F:F,MATCH(DATE(YEAR($A1231)-1,MONTH($A1231),DAY($A1231)),$A:$A,0))=""),"",F1231/INDEX(F:F,MATCH(DATE(YEAR($A1231)-1,MONTH($A1231),DAY($A1231)),$A:$A,0))-1),"")</f>
        <v/>
      </c>
      <c r="L1231" s="19">
        <f>IFERROR(IF(OR(G1231="",INDEX(G:G,MATCH(DATE(YEAR($A1231)-1,MONTH($A1231),DAY($A1231)),$A:$A,0))=""),"",G1231/INDEX(G:G,MATCH(DATE(YEAR($A1231)-1,MONTH($A1231),DAY($A1231)),$A:$A,0))-1),"")</f>
        <v/>
      </c>
      <c r="M1231" s="19">
        <f>IF(OR(E1231="",E1230=""),"",E1231/E1230-1)</f>
        <v/>
      </c>
      <c r="N1231" s="19">
        <f>IF(OR(F1231="",F1230=""),"",F1231/F1230-1)</f>
        <v/>
      </c>
      <c r="O1231" s="19">
        <f>IF(OR(G1231="",G1230=""),"",G1231/G1230-1)</f>
        <v/>
      </c>
      <c r="P1231" s="22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IF(R1231="","",P1231/R1231)</f>
        <v/>
      </c>
      <c r="T1231" s="23">
        <f>IF(R1231="","",Q1231/R1231)</f>
        <v/>
      </c>
      <c r="U1231" s="24">
        <f>IF(SUMIFS('Daily NSE Equity Options'!$M:$M,'Daily NSE Equity Options'!$A:$A,$A1231)=0,"",SUMIFS('Daily NSE Equity Options'!$M:$M,'Daily NSE Equity Options'!$A:$A,$A1231))</f>
        <v/>
      </c>
      <c r="V1231" s="9">
        <f>IF(SUMIFS('Daily BSE Equity Options'!$M:$M,'Daily BSE Equity Options'!$A:$A,$A1231)=0,"",SUMIFS('Daily BSE Equity Options'!$M:$M,'Daily BSE Equity Options'!$A:$A,$A1231))</f>
        <v/>
      </c>
      <c r="W1231" s="9">
        <f>IF(OR(U1231="",V1231=""),"",U1231+V1231)</f>
        <v/>
      </c>
      <c r="X1231" s="25">
        <f>IF(W1231="","",U1231/W1231)</f>
        <v/>
      </c>
      <c r="Y1231" s="25">
        <f>IF(W1231="","",V1231/W1231)</f>
        <v/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19">
        <f>IF(G1232="","",E1232/G1232)</f>
        <v/>
      </c>
      <c r="I1232" s="19">
        <f>IF(G1232="","",F1232/G1232)</f>
        <v/>
      </c>
      <c r="J1232" s="26">
        <f>IFERROR(IF(OR(E1232="",INDEX(E:E,MATCH(DATE(YEAR($A1232)-1,MONTH($A1232),DAY($A1232)),$A:$A,0))=""),"",E1232/INDEX(E:E,MATCH(DATE(YEAR($A1232)-1,MONTH($A1232),DAY($A1232)),$A:$A,0))-1),"")</f>
        <v/>
      </c>
      <c r="K1232" s="19">
        <f>IFERROR(IF(OR(F1232="",INDEX(F:F,MATCH(DATE(YEAR($A1232)-1,MONTH($A1232),DAY($A1232)),$A:$A,0))=""),"",F1232/INDEX(F:F,MATCH(DATE(YEAR($A1232)-1,MONTH($A1232),DAY($A1232)),$A:$A,0))-1),"")</f>
        <v/>
      </c>
      <c r="L1232" s="19">
        <f>IFERROR(IF(OR(G1232="",INDEX(G:G,MATCH(DATE(YEAR($A1232)-1,MONTH($A1232),DAY($A1232)),$A:$A,0))=""),"",G1232/INDEX(G:G,MATCH(DATE(YEAR($A1232)-1,MONTH($A1232),DAY($A1232)),$A:$A,0))-1),"")</f>
        <v/>
      </c>
      <c r="M1232" s="19">
        <f>IF(OR(E1232="",E1231=""),"",E1232/E1231-1)</f>
        <v/>
      </c>
      <c r="N1232" s="19">
        <f>IF(OR(F1232="",F1231=""),"",F1232/F1231-1)</f>
        <v/>
      </c>
      <c r="O1232" s="19">
        <f>IF(OR(G1232="",G1231=""),"",G1232/G1231-1)</f>
        <v/>
      </c>
      <c r="P1232" s="22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IF(R1232="","",P1232/R1232)</f>
        <v/>
      </c>
      <c r="T1232" s="23">
        <f>IF(R1232="","",Q1232/R1232)</f>
        <v/>
      </c>
      <c r="U1232" s="24">
        <f>IF(SUMIFS('Daily NSE Equity Options'!$M:$M,'Daily NSE Equity Options'!$A:$A,$A1232)=0,"",SUMIFS('Daily NSE Equity Options'!$M:$M,'Daily NSE Equity Options'!$A:$A,$A1232))</f>
        <v/>
      </c>
      <c r="V1232" s="9">
        <f>IF(SUMIFS('Daily BSE Equity Options'!$M:$M,'Daily BSE Equity Options'!$A:$A,$A1232)=0,"",SUMIFS('Daily BSE Equity Options'!$M:$M,'Daily BSE Equity Options'!$A:$A,$A1232))</f>
        <v/>
      </c>
      <c r="W1232" s="9">
        <f>IF(OR(U1232="",V1232=""),"",U1232+V1232)</f>
        <v/>
      </c>
      <c r="X1232" s="25">
        <f>IF(W1232="","",U1232/W1232)</f>
        <v/>
      </c>
      <c r="Y1232" s="25">
        <f>IF(W1232="","",V1232/W1232)</f>
        <v/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19">
        <f>IF(G1233="","",E1233/G1233)</f>
        <v/>
      </c>
      <c r="I1233" s="19">
        <f>IF(G1233="","",F1233/G1233)</f>
        <v/>
      </c>
      <c r="J1233" s="26">
        <f>IFERROR(IF(OR(E1233="",INDEX(E:E,MATCH(DATE(YEAR($A1233)-1,MONTH($A1233),DAY($A1233)),$A:$A,0))=""),"",E1233/INDEX(E:E,MATCH(DATE(YEAR($A1233)-1,MONTH($A1233),DAY($A1233)),$A:$A,0))-1),"")</f>
        <v/>
      </c>
      <c r="K1233" s="19">
        <f>IFERROR(IF(OR(F1233="",INDEX(F:F,MATCH(DATE(YEAR($A1233)-1,MONTH($A1233),DAY($A1233)),$A:$A,0))=""),"",F1233/INDEX(F:F,MATCH(DATE(YEAR($A1233)-1,MONTH($A1233),DAY($A1233)),$A:$A,0))-1),"")</f>
        <v/>
      </c>
      <c r="L1233" s="19">
        <f>IFERROR(IF(OR(G1233="",INDEX(G:G,MATCH(DATE(YEAR($A1233)-1,MONTH($A1233),DAY($A1233)),$A:$A,0))=""),"",G1233/INDEX(G:G,MATCH(DATE(YEAR($A1233)-1,MONTH($A1233),DAY($A1233)),$A:$A,0))-1),"")</f>
        <v/>
      </c>
      <c r="M1233" s="19">
        <f>IF(OR(E1233="",E1232=""),"",E1233/E1232-1)</f>
        <v/>
      </c>
      <c r="N1233" s="19">
        <f>IF(OR(F1233="",F1232=""),"",F1233/F1232-1)</f>
        <v/>
      </c>
      <c r="O1233" s="19">
        <f>IF(OR(G1233="",G1232=""),"",G1233/G1232-1)</f>
        <v/>
      </c>
      <c r="P1233" s="22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IF(R1233="","",P1233/R1233)</f>
        <v/>
      </c>
      <c r="T1233" s="23">
        <f>IF(R1233="","",Q1233/R1233)</f>
        <v/>
      </c>
      <c r="U1233" s="24">
        <f>IF(SUMIFS('Daily NSE Equity Options'!$M:$M,'Daily NSE Equity Options'!$A:$A,$A1233)=0,"",SUMIFS('Daily NSE Equity Options'!$M:$M,'Daily NSE Equity Options'!$A:$A,$A1233))</f>
        <v/>
      </c>
      <c r="V1233" s="9">
        <f>IF(SUMIFS('Daily BSE Equity Options'!$M:$M,'Daily BSE Equity Options'!$A:$A,$A1233)=0,"",SUMIFS('Daily BSE Equity Options'!$M:$M,'Daily BSE Equity Options'!$A:$A,$A1233))</f>
        <v/>
      </c>
      <c r="W1233" s="9">
        <f>IF(OR(U1233="",V1233=""),"",U1233+V1233)</f>
        <v/>
      </c>
      <c r="X1233" s="25">
        <f>IF(W1233="","",U1233/W1233)</f>
        <v/>
      </c>
      <c r="Y1233" s="25">
        <f>IF(W1233="","",V1233/W1233)</f>
        <v/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19">
        <f>IF(G1234="","",E1234/G1234)</f>
        <v/>
      </c>
      <c r="I1234" s="19">
        <f>IF(G1234="","",F1234/G1234)</f>
        <v/>
      </c>
      <c r="J1234" s="26">
        <f>IFERROR(IF(OR(E1234="",INDEX(E:E,MATCH(DATE(YEAR($A1234)-1,MONTH($A1234),DAY($A1234)),$A:$A,0))=""),"",E1234/INDEX(E:E,MATCH(DATE(YEAR($A1234)-1,MONTH($A1234),DAY($A1234)),$A:$A,0))-1),"")</f>
        <v/>
      </c>
      <c r="K1234" s="19">
        <f>IFERROR(IF(OR(F1234="",INDEX(F:F,MATCH(DATE(YEAR($A1234)-1,MONTH($A1234),DAY($A1234)),$A:$A,0))=""),"",F1234/INDEX(F:F,MATCH(DATE(YEAR($A1234)-1,MONTH($A1234),DAY($A1234)),$A:$A,0))-1),"")</f>
        <v/>
      </c>
      <c r="L1234" s="19">
        <f>IFERROR(IF(OR(G1234="",INDEX(G:G,MATCH(DATE(YEAR($A1234)-1,MONTH($A1234),DAY($A1234)),$A:$A,0))=""),"",G1234/INDEX(G:G,MATCH(DATE(YEAR($A1234)-1,MONTH($A1234),DAY($A1234)),$A:$A,0))-1),"")</f>
        <v/>
      </c>
      <c r="M1234" s="19">
        <f>IF(OR(E1234="",E1233=""),"",E1234/E1233-1)</f>
        <v/>
      </c>
      <c r="N1234" s="19">
        <f>IF(OR(F1234="",F1233=""),"",F1234/F1233-1)</f>
        <v/>
      </c>
      <c r="O1234" s="19">
        <f>IF(OR(G1234="",G1233=""),"",G1234/G1233-1)</f>
        <v/>
      </c>
      <c r="P1234" s="22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IF(R1234="","",P1234/R1234)</f>
        <v/>
      </c>
      <c r="T1234" s="23">
        <f>IF(R1234="","",Q1234/R1234)</f>
        <v/>
      </c>
      <c r="U1234" s="24">
        <f>IF(SUMIFS('Daily NSE Equity Options'!$M:$M,'Daily NSE Equity Options'!$A:$A,$A1234)=0,"",SUMIFS('Daily NSE Equity Options'!$M:$M,'Daily NSE Equity Options'!$A:$A,$A1234))</f>
        <v/>
      </c>
      <c r="V1234" s="9">
        <f>IF(SUMIFS('Daily BSE Equity Options'!$M:$M,'Daily BSE Equity Options'!$A:$A,$A1234)=0,"",SUMIFS('Daily BSE Equity Options'!$M:$M,'Daily BSE Equity Options'!$A:$A,$A1234))</f>
        <v/>
      </c>
      <c r="W1234" s="9">
        <f>IF(OR(U1234="",V1234=""),"",U1234+V1234)</f>
        <v/>
      </c>
      <c r="X1234" s="25">
        <f>IF(W1234="","",U1234/W1234)</f>
        <v/>
      </c>
      <c r="Y1234" s="25">
        <f>IF(W1234="","",V1234/W1234)</f>
        <v/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19">
        <f>IF(G1235="","",E1235/G1235)</f>
        <v/>
      </c>
      <c r="I1235" s="19">
        <f>IF(G1235="","",F1235/G1235)</f>
        <v/>
      </c>
      <c r="J1235" s="26">
        <f>IFERROR(IF(OR(E1235="",INDEX(E:E,MATCH(DATE(YEAR($A1235)-1,MONTH($A1235),DAY($A1235)),$A:$A,0))=""),"",E1235/INDEX(E:E,MATCH(DATE(YEAR($A1235)-1,MONTH($A1235),DAY($A1235)),$A:$A,0))-1),"")</f>
        <v/>
      </c>
      <c r="K1235" s="19">
        <f>IFERROR(IF(OR(F1235="",INDEX(F:F,MATCH(DATE(YEAR($A1235)-1,MONTH($A1235),DAY($A1235)),$A:$A,0))=""),"",F1235/INDEX(F:F,MATCH(DATE(YEAR($A1235)-1,MONTH($A1235),DAY($A1235)),$A:$A,0))-1),"")</f>
        <v/>
      </c>
      <c r="L1235" s="19">
        <f>IFERROR(IF(OR(G1235="",INDEX(G:G,MATCH(DATE(YEAR($A1235)-1,MONTH($A1235),DAY($A1235)),$A:$A,0))=""),"",G1235/INDEX(G:G,MATCH(DATE(YEAR($A1235)-1,MONTH($A1235),DAY($A1235)),$A:$A,0))-1),"")</f>
        <v/>
      </c>
      <c r="M1235" s="19">
        <f>IF(OR(E1235="",E1234=""),"",E1235/E1234-1)</f>
        <v/>
      </c>
      <c r="N1235" s="19">
        <f>IF(OR(F1235="",F1234=""),"",F1235/F1234-1)</f>
        <v/>
      </c>
      <c r="O1235" s="19">
        <f>IF(OR(G1235="",G1234=""),"",G1235/G1234-1)</f>
        <v/>
      </c>
      <c r="P1235" s="22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IF(R1235="","",P1235/R1235)</f>
        <v/>
      </c>
      <c r="T1235" s="23">
        <f>IF(R1235="","",Q1235/R1235)</f>
        <v/>
      </c>
      <c r="U1235" s="24">
        <f>IF(SUMIFS('Daily NSE Equity Options'!$M:$M,'Daily NSE Equity Options'!$A:$A,$A1235)=0,"",SUMIFS('Daily NSE Equity Options'!$M:$M,'Daily NSE Equity Options'!$A:$A,$A1235))</f>
        <v/>
      </c>
      <c r="V1235" s="9">
        <f>IF(SUMIFS('Daily BSE Equity Options'!$M:$M,'Daily BSE Equity Options'!$A:$A,$A1235)=0,"",SUMIFS('Daily BSE Equity Options'!$M:$M,'Daily BSE Equity Options'!$A:$A,$A1235))</f>
        <v/>
      </c>
      <c r="W1235" s="9">
        <f>IF(OR(U1235="",V1235=""),"",U1235+V1235)</f>
        <v/>
      </c>
      <c r="X1235" s="25">
        <f>IF(W1235="","",U1235/W1235)</f>
        <v/>
      </c>
      <c r="Y1235" s="25">
        <f>IF(W1235="","",V1235/W1235)</f>
        <v/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19">
        <f>IF(G1236="","",E1236/G1236)</f>
        <v/>
      </c>
      <c r="I1236" s="19">
        <f>IF(G1236="","",F1236/G1236)</f>
        <v/>
      </c>
      <c r="J1236" s="26">
        <f>IFERROR(IF(OR(E1236="",INDEX(E:E,MATCH(DATE(YEAR($A1236)-1,MONTH($A1236),DAY($A1236)),$A:$A,0))=""),"",E1236/INDEX(E:E,MATCH(DATE(YEAR($A1236)-1,MONTH($A1236),DAY($A1236)),$A:$A,0))-1),"")</f>
        <v/>
      </c>
      <c r="K1236" s="19">
        <f>IFERROR(IF(OR(F1236="",INDEX(F:F,MATCH(DATE(YEAR($A1236)-1,MONTH($A1236),DAY($A1236)),$A:$A,0))=""),"",F1236/INDEX(F:F,MATCH(DATE(YEAR($A1236)-1,MONTH($A1236),DAY($A1236)),$A:$A,0))-1),"")</f>
        <v/>
      </c>
      <c r="L1236" s="19">
        <f>IFERROR(IF(OR(G1236="",INDEX(G:G,MATCH(DATE(YEAR($A1236)-1,MONTH($A1236),DAY($A1236)),$A:$A,0))=""),"",G1236/INDEX(G:G,MATCH(DATE(YEAR($A1236)-1,MONTH($A1236),DAY($A1236)),$A:$A,0))-1),"")</f>
        <v/>
      </c>
      <c r="M1236" s="19">
        <f>IF(OR(E1236="",E1235=""),"",E1236/E1235-1)</f>
        <v/>
      </c>
      <c r="N1236" s="19">
        <f>IF(OR(F1236="",F1235=""),"",F1236/F1235-1)</f>
        <v/>
      </c>
      <c r="O1236" s="19">
        <f>IF(OR(G1236="",G1235=""),"",G1236/G1235-1)</f>
        <v/>
      </c>
      <c r="P1236" s="22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IF(R1236="","",P1236/R1236)</f>
        <v/>
      </c>
      <c r="T1236" s="23">
        <f>IF(R1236="","",Q1236/R1236)</f>
        <v/>
      </c>
      <c r="U1236" s="24">
        <f>IF(SUMIFS('Daily NSE Equity Options'!$M:$M,'Daily NSE Equity Options'!$A:$A,$A1236)=0,"",SUMIFS('Daily NSE Equity Options'!$M:$M,'Daily NSE Equity Options'!$A:$A,$A1236))</f>
        <v/>
      </c>
      <c r="V1236" s="9">
        <f>IF(SUMIFS('Daily BSE Equity Options'!$M:$M,'Daily BSE Equity Options'!$A:$A,$A1236)=0,"",SUMIFS('Daily BSE Equity Options'!$M:$M,'Daily BSE Equity Options'!$A:$A,$A1236))</f>
        <v/>
      </c>
      <c r="W1236" s="9">
        <f>IF(OR(U1236="",V1236=""),"",U1236+V1236)</f>
        <v/>
      </c>
      <c r="X1236" s="25">
        <f>IF(W1236="","",U1236/W1236)</f>
        <v/>
      </c>
      <c r="Y1236" s="25">
        <f>IF(W1236="","",V1236/W1236)</f>
        <v/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19">
        <f>IF(G1237="","",E1237/G1237)</f>
        <v/>
      </c>
      <c r="I1237" s="19">
        <f>IF(G1237="","",F1237/G1237)</f>
        <v/>
      </c>
      <c r="J1237" s="26">
        <f>IFERROR(IF(OR(E1237="",INDEX(E:E,MATCH(DATE(YEAR($A1237)-1,MONTH($A1237),DAY($A1237)),$A:$A,0))=""),"",E1237/INDEX(E:E,MATCH(DATE(YEAR($A1237)-1,MONTH($A1237),DAY($A1237)),$A:$A,0))-1),"")</f>
        <v/>
      </c>
      <c r="K1237" s="19">
        <f>IFERROR(IF(OR(F1237="",INDEX(F:F,MATCH(DATE(YEAR($A1237)-1,MONTH($A1237),DAY($A1237)),$A:$A,0))=""),"",F1237/INDEX(F:F,MATCH(DATE(YEAR($A1237)-1,MONTH($A1237),DAY($A1237)),$A:$A,0))-1),"")</f>
        <v/>
      </c>
      <c r="L1237" s="19">
        <f>IFERROR(IF(OR(G1237="",INDEX(G:G,MATCH(DATE(YEAR($A1237)-1,MONTH($A1237),DAY($A1237)),$A:$A,0))=""),"",G1237/INDEX(G:G,MATCH(DATE(YEAR($A1237)-1,MONTH($A1237),DAY($A1237)),$A:$A,0))-1),"")</f>
        <v/>
      </c>
      <c r="M1237" s="19">
        <f>IF(OR(E1237="",E1236=""),"",E1237/E1236-1)</f>
        <v/>
      </c>
      <c r="N1237" s="19">
        <f>IF(OR(F1237="",F1236=""),"",F1237/F1236-1)</f>
        <v/>
      </c>
      <c r="O1237" s="19">
        <f>IF(OR(G1237="",G1236=""),"",G1237/G1236-1)</f>
        <v/>
      </c>
      <c r="P1237" s="22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IF(R1237="","",P1237/R1237)</f>
        <v/>
      </c>
      <c r="T1237" s="23">
        <f>IF(R1237="","",Q1237/R1237)</f>
        <v/>
      </c>
      <c r="U1237" s="24">
        <f>IF(SUMIFS('Daily NSE Equity Options'!$M:$M,'Daily NSE Equity Options'!$A:$A,$A1237)=0,"",SUMIFS('Daily NSE Equity Options'!$M:$M,'Daily NSE Equity Options'!$A:$A,$A1237))</f>
        <v/>
      </c>
      <c r="V1237" s="9">
        <f>IF(SUMIFS('Daily BSE Equity Options'!$M:$M,'Daily BSE Equity Options'!$A:$A,$A1237)=0,"",SUMIFS('Daily BSE Equity Options'!$M:$M,'Daily BSE Equity Options'!$A:$A,$A1237))</f>
        <v/>
      </c>
      <c r="W1237" s="9">
        <f>IF(OR(U1237="",V1237=""),"",U1237+V1237)</f>
        <v/>
      </c>
      <c r="X1237" s="25">
        <f>IF(W1237="","",U1237/W1237)</f>
        <v/>
      </c>
      <c r="Y1237" s="25">
        <f>IF(W1237="","",V1237/W1237)</f>
        <v/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19">
        <f>IF(G1238="","",E1238/G1238)</f>
        <v/>
      </c>
      <c r="I1238" s="19">
        <f>IF(G1238="","",F1238/G1238)</f>
        <v/>
      </c>
      <c r="J1238" s="26">
        <f>IFERROR(IF(OR(E1238="",INDEX(E:E,MATCH(DATE(YEAR($A1238)-1,MONTH($A1238),DAY($A1238)),$A:$A,0))=""),"",E1238/INDEX(E:E,MATCH(DATE(YEAR($A1238)-1,MONTH($A1238),DAY($A1238)),$A:$A,0))-1),"")</f>
        <v/>
      </c>
      <c r="K1238" s="19">
        <f>IFERROR(IF(OR(F1238="",INDEX(F:F,MATCH(DATE(YEAR($A1238)-1,MONTH($A1238),DAY($A1238)),$A:$A,0))=""),"",F1238/INDEX(F:F,MATCH(DATE(YEAR($A1238)-1,MONTH($A1238),DAY($A1238)),$A:$A,0))-1),"")</f>
        <v/>
      </c>
      <c r="L1238" s="19">
        <f>IFERROR(IF(OR(G1238="",INDEX(G:G,MATCH(DATE(YEAR($A1238)-1,MONTH($A1238),DAY($A1238)),$A:$A,0))=""),"",G1238/INDEX(G:G,MATCH(DATE(YEAR($A1238)-1,MONTH($A1238),DAY($A1238)),$A:$A,0))-1),"")</f>
        <v/>
      </c>
      <c r="M1238" s="19">
        <f>IF(OR(E1238="",E1237=""),"",E1238/E1237-1)</f>
        <v/>
      </c>
      <c r="N1238" s="19">
        <f>IF(OR(F1238="",F1237=""),"",F1238/F1237-1)</f>
        <v/>
      </c>
      <c r="O1238" s="19">
        <f>IF(OR(G1238="",G1237=""),"",G1238/G1237-1)</f>
        <v/>
      </c>
      <c r="P1238" s="22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IF(R1238="","",P1238/R1238)</f>
        <v/>
      </c>
      <c r="T1238" s="23">
        <f>IF(R1238="","",Q1238/R1238)</f>
        <v/>
      </c>
      <c r="U1238" s="24">
        <f>IF(SUMIFS('Daily NSE Equity Options'!$M:$M,'Daily NSE Equity Options'!$A:$A,$A1238)=0,"",SUMIFS('Daily NSE Equity Options'!$M:$M,'Daily NSE Equity Options'!$A:$A,$A1238))</f>
        <v/>
      </c>
      <c r="V1238" s="9">
        <f>IF(SUMIFS('Daily BSE Equity Options'!$M:$M,'Daily BSE Equity Options'!$A:$A,$A1238)=0,"",SUMIFS('Daily BSE Equity Options'!$M:$M,'Daily BSE Equity Options'!$A:$A,$A1238))</f>
        <v/>
      </c>
      <c r="W1238" s="9">
        <f>IF(OR(U1238="",V1238=""),"",U1238+V1238)</f>
        <v/>
      </c>
      <c r="X1238" s="25">
        <f>IF(W1238="","",U1238/W1238)</f>
        <v/>
      </c>
      <c r="Y1238" s="25">
        <f>IF(W1238="","",V1238/W1238)</f>
        <v/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19">
        <f>IF(G1239="","",E1239/G1239)</f>
        <v/>
      </c>
      <c r="I1239" s="19">
        <f>IF(G1239="","",F1239/G1239)</f>
        <v/>
      </c>
      <c r="J1239" s="26">
        <f>IFERROR(IF(OR(E1239="",INDEX(E:E,MATCH(DATE(YEAR($A1239)-1,MONTH($A1239),DAY($A1239)),$A:$A,0))=""),"",E1239/INDEX(E:E,MATCH(DATE(YEAR($A1239)-1,MONTH($A1239),DAY($A1239)),$A:$A,0))-1),"")</f>
        <v/>
      </c>
      <c r="K1239" s="19">
        <f>IFERROR(IF(OR(F1239="",INDEX(F:F,MATCH(DATE(YEAR($A1239)-1,MONTH($A1239),DAY($A1239)),$A:$A,0))=""),"",F1239/INDEX(F:F,MATCH(DATE(YEAR($A1239)-1,MONTH($A1239),DAY($A1239)),$A:$A,0))-1),"")</f>
        <v/>
      </c>
      <c r="L1239" s="19">
        <f>IFERROR(IF(OR(G1239="",INDEX(G:G,MATCH(DATE(YEAR($A1239)-1,MONTH($A1239),DAY($A1239)),$A:$A,0))=""),"",G1239/INDEX(G:G,MATCH(DATE(YEAR($A1239)-1,MONTH($A1239),DAY($A1239)),$A:$A,0))-1),"")</f>
        <v/>
      </c>
      <c r="M1239" s="19">
        <f>IF(OR(E1239="",E1238=""),"",E1239/E1238-1)</f>
        <v/>
      </c>
      <c r="N1239" s="19">
        <f>IF(OR(F1239="",F1238=""),"",F1239/F1238-1)</f>
        <v/>
      </c>
      <c r="O1239" s="19">
        <f>IF(OR(G1239="",G1238=""),"",G1239/G1238-1)</f>
        <v/>
      </c>
      <c r="P1239" s="22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IF(R1239="","",P1239/R1239)</f>
        <v/>
      </c>
      <c r="T1239" s="23">
        <f>IF(R1239="","",Q1239/R1239)</f>
        <v/>
      </c>
      <c r="U1239" s="24">
        <f>IF(SUMIFS('Daily NSE Equity Options'!$M:$M,'Daily NSE Equity Options'!$A:$A,$A1239)=0,"",SUMIFS('Daily NSE Equity Options'!$M:$M,'Daily NSE Equity Options'!$A:$A,$A1239))</f>
        <v/>
      </c>
      <c r="V1239" s="9">
        <f>IF(SUMIFS('Daily BSE Equity Options'!$M:$M,'Daily BSE Equity Options'!$A:$A,$A1239)=0,"",SUMIFS('Daily BSE Equity Options'!$M:$M,'Daily BSE Equity Options'!$A:$A,$A1239))</f>
        <v/>
      </c>
      <c r="W1239" s="9">
        <f>IF(OR(U1239="",V1239=""),"",U1239+V1239)</f>
        <v/>
      </c>
      <c r="X1239" s="25">
        <f>IF(W1239="","",U1239/W1239)</f>
        <v/>
      </c>
      <c r="Y1239" s="25">
        <f>IF(W1239="","",V1239/W1239)</f>
        <v/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19">
        <f>IF(G1240="","",E1240/G1240)</f>
        <v/>
      </c>
      <c r="I1240" s="19">
        <f>IF(G1240="","",F1240/G1240)</f>
        <v/>
      </c>
      <c r="J1240" s="26">
        <f>IFERROR(IF(OR(E1240="",INDEX(E:E,MATCH(DATE(YEAR($A1240)-1,MONTH($A1240),DAY($A1240)),$A:$A,0))=""),"",E1240/INDEX(E:E,MATCH(DATE(YEAR($A1240)-1,MONTH($A1240),DAY($A1240)),$A:$A,0))-1),"")</f>
        <v/>
      </c>
      <c r="K1240" s="19">
        <f>IFERROR(IF(OR(F1240="",INDEX(F:F,MATCH(DATE(YEAR($A1240)-1,MONTH($A1240),DAY($A1240)),$A:$A,0))=""),"",F1240/INDEX(F:F,MATCH(DATE(YEAR($A1240)-1,MONTH($A1240),DAY($A1240)),$A:$A,0))-1),"")</f>
        <v/>
      </c>
      <c r="L1240" s="19">
        <f>IFERROR(IF(OR(G1240="",INDEX(G:G,MATCH(DATE(YEAR($A1240)-1,MONTH($A1240),DAY($A1240)),$A:$A,0))=""),"",G1240/INDEX(G:G,MATCH(DATE(YEAR($A1240)-1,MONTH($A1240),DAY($A1240)),$A:$A,0))-1),"")</f>
        <v/>
      </c>
      <c r="M1240" s="19">
        <f>IF(OR(E1240="",E1239=""),"",E1240/E1239-1)</f>
        <v/>
      </c>
      <c r="N1240" s="19">
        <f>IF(OR(F1240="",F1239=""),"",F1240/F1239-1)</f>
        <v/>
      </c>
      <c r="O1240" s="19">
        <f>IF(OR(G1240="",G1239=""),"",G1240/G1239-1)</f>
        <v/>
      </c>
      <c r="P1240" s="22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IF(R1240="","",P1240/R1240)</f>
        <v/>
      </c>
      <c r="T1240" s="23">
        <f>IF(R1240="","",Q1240/R1240)</f>
        <v/>
      </c>
      <c r="U1240" s="24">
        <f>IF(SUMIFS('Daily NSE Equity Options'!$M:$M,'Daily NSE Equity Options'!$A:$A,$A1240)=0,"",SUMIFS('Daily NSE Equity Options'!$M:$M,'Daily NSE Equity Options'!$A:$A,$A1240))</f>
        <v/>
      </c>
      <c r="V1240" s="9">
        <f>IF(SUMIFS('Daily BSE Equity Options'!$M:$M,'Daily BSE Equity Options'!$A:$A,$A1240)=0,"",SUMIFS('Daily BSE Equity Options'!$M:$M,'Daily BSE Equity Options'!$A:$A,$A1240))</f>
        <v/>
      </c>
      <c r="W1240" s="9">
        <f>IF(OR(U1240="",V1240=""),"",U1240+V1240)</f>
        <v/>
      </c>
      <c r="X1240" s="25">
        <f>IF(W1240="","",U1240/W1240)</f>
        <v/>
      </c>
      <c r="Y1240" s="25">
        <f>IF(W1240="","",V1240/W1240)</f>
        <v/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19">
        <f>IF(G1241="","",E1241/G1241)</f>
        <v/>
      </c>
      <c r="I1241" s="19">
        <f>IF(G1241="","",F1241/G1241)</f>
        <v/>
      </c>
      <c r="J1241" s="26">
        <f>IFERROR(IF(OR(E1241="",INDEX(E:E,MATCH(DATE(YEAR($A1241)-1,MONTH($A1241),DAY($A1241)),$A:$A,0))=""),"",E1241/INDEX(E:E,MATCH(DATE(YEAR($A1241)-1,MONTH($A1241),DAY($A1241)),$A:$A,0))-1),"")</f>
        <v/>
      </c>
      <c r="K1241" s="19">
        <f>IFERROR(IF(OR(F1241="",INDEX(F:F,MATCH(DATE(YEAR($A1241)-1,MONTH($A1241),DAY($A1241)),$A:$A,0))=""),"",F1241/INDEX(F:F,MATCH(DATE(YEAR($A1241)-1,MONTH($A1241),DAY($A1241)),$A:$A,0))-1),"")</f>
        <v/>
      </c>
      <c r="L1241" s="19">
        <f>IFERROR(IF(OR(G1241="",INDEX(G:G,MATCH(DATE(YEAR($A1241)-1,MONTH($A1241),DAY($A1241)),$A:$A,0))=""),"",G1241/INDEX(G:G,MATCH(DATE(YEAR($A1241)-1,MONTH($A1241),DAY($A1241)),$A:$A,0))-1),"")</f>
        <v/>
      </c>
      <c r="M1241" s="19">
        <f>IF(OR(E1241="",E1240=""),"",E1241/E1240-1)</f>
        <v/>
      </c>
      <c r="N1241" s="19">
        <f>IF(OR(F1241="",F1240=""),"",F1241/F1240-1)</f>
        <v/>
      </c>
      <c r="O1241" s="19">
        <f>IF(OR(G1241="",G1240=""),"",G1241/G1240-1)</f>
        <v/>
      </c>
      <c r="P1241" s="22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IF(R1241="","",P1241/R1241)</f>
        <v/>
      </c>
      <c r="T1241" s="23">
        <f>IF(R1241="","",Q1241/R1241)</f>
        <v/>
      </c>
      <c r="U1241" s="24">
        <f>IF(SUMIFS('Daily NSE Equity Options'!$M:$M,'Daily NSE Equity Options'!$A:$A,$A1241)=0,"",SUMIFS('Daily NSE Equity Options'!$M:$M,'Daily NSE Equity Options'!$A:$A,$A1241))</f>
        <v/>
      </c>
      <c r="V1241" s="9">
        <f>IF(SUMIFS('Daily BSE Equity Options'!$M:$M,'Daily BSE Equity Options'!$A:$A,$A1241)=0,"",SUMIFS('Daily BSE Equity Options'!$M:$M,'Daily BSE Equity Options'!$A:$A,$A1241))</f>
        <v/>
      </c>
      <c r="W1241" s="9">
        <f>IF(OR(U1241="",V1241=""),"",U1241+V1241)</f>
        <v/>
      </c>
      <c r="X1241" s="25">
        <f>IF(W1241="","",U1241/W1241)</f>
        <v/>
      </c>
      <c r="Y1241" s="25">
        <f>IF(W1241="","",V1241/W1241)</f>
        <v/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19">
        <f>IF(G1242="","",E1242/G1242)</f>
        <v/>
      </c>
      <c r="I1242" s="19">
        <f>IF(G1242="","",F1242/G1242)</f>
        <v/>
      </c>
      <c r="J1242" s="26">
        <f>IFERROR(IF(OR(E1242="",INDEX(E:E,MATCH(DATE(YEAR($A1242)-1,MONTH($A1242),DAY($A1242)),$A:$A,0))=""),"",E1242/INDEX(E:E,MATCH(DATE(YEAR($A1242)-1,MONTH($A1242),DAY($A1242)),$A:$A,0))-1),"")</f>
        <v/>
      </c>
      <c r="K1242" s="19">
        <f>IFERROR(IF(OR(F1242="",INDEX(F:F,MATCH(DATE(YEAR($A1242)-1,MONTH($A1242),DAY($A1242)),$A:$A,0))=""),"",F1242/INDEX(F:F,MATCH(DATE(YEAR($A1242)-1,MONTH($A1242),DAY($A1242)),$A:$A,0))-1),"")</f>
        <v/>
      </c>
      <c r="L1242" s="19">
        <f>IFERROR(IF(OR(G1242="",INDEX(G:G,MATCH(DATE(YEAR($A1242)-1,MONTH($A1242),DAY($A1242)),$A:$A,0))=""),"",G1242/INDEX(G:G,MATCH(DATE(YEAR($A1242)-1,MONTH($A1242),DAY($A1242)),$A:$A,0))-1),"")</f>
        <v/>
      </c>
      <c r="M1242" s="19">
        <f>IF(OR(E1242="",E1241=""),"",E1242/E1241-1)</f>
        <v/>
      </c>
      <c r="N1242" s="19">
        <f>IF(OR(F1242="",F1241=""),"",F1242/F1241-1)</f>
        <v/>
      </c>
      <c r="O1242" s="19">
        <f>IF(OR(G1242="",G1241=""),"",G1242/G1241-1)</f>
        <v/>
      </c>
      <c r="P1242" s="22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IF(R1242="","",P1242/R1242)</f>
        <v/>
      </c>
      <c r="T1242" s="23">
        <f>IF(R1242="","",Q1242/R1242)</f>
        <v/>
      </c>
      <c r="U1242" s="24">
        <f>IF(SUMIFS('Daily NSE Equity Options'!$M:$M,'Daily NSE Equity Options'!$A:$A,$A1242)=0,"",SUMIFS('Daily NSE Equity Options'!$M:$M,'Daily NSE Equity Options'!$A:$A,$A1242))</f>
        <v/>
      </c>
      <c r="V1242" s="9">
        <f>IF(SUMIFS('Daily BSE Equity Options'!$M:$M,'Daily BSE Equity Options'!$A:$A,$A1242)=0,"",SUMIFS('Daily BSE Equity Options'!$M:$M,'Daily BSE Equity Options'!$A:$A,$A1242))</f>
        <v/>
      </c>
      <c r="W1242" s="9">
        <f>IF(OR(U1242="",V1242=""),"",U1242+V1242)</f>
        <v/>
      </c>
      <c r="X1242" s="25">
        <f>IF(W1242="","",U1242/W1242)</f>
        <v/>
      </c>
      <c r="Y1242" s="25">
        <f>IF(W1242="","",V1242/W1242)</f>
        <v/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19">
        <f>IF(G1243="","",E1243/G1243)</f>
        <v/>
      </c>
      <c r="I1243" s="19">
        <f>IF(G1243="","",F1243/G1243)</f>
        <v/>
      </c>
      <c r="J1243" s="26">
        <f>IFERROR(IF(OR(E1243="",INDEX(E:E,MATCH(DATE(YEAR($A1243)-1,MONTH($A1243),DAY($A1243)),$A:$A,0))=""),"",E1243/INDEX(E:E,MATCH(DATE(YEAR($A1243)-1,MONTH($A1243),DAY($A1243)),$A:$A,0))-1),"")</f>
        <v/>
      </c>
      <c r="K1243" s="19">
        <f>IFERROR(IF(OR(F1243="",INDEX(F:F,MATCH(DATE(YEAR($A1243)-1,MONTH($A1243),DAY($A1243)),$A:$A,0))=""),"",F1243/INDEX(F:F,MATCH(DATE(YEAR($A1243)-1,MONTH($A1243),DAY($A1243)),$A:$A,0))-1),"")</f>
        <v/>
      </c>
      <c r="L1243" s="19">
        <f>IFERROR(IF(OR(G1243="",INDEX(G:G,MATCH(DATE(YEAR($A1243)-1,MONTH($A1243),DAY($A1243)),$A:$A,0))=""),"",G1243/INDEX(G:G,MATCH(DATE(YEAR($A1243)-1,MONTH($A1243),DAY($A1243)),$A:$A,0))-1),"")</f>
        <v/>
      </c>
      <c r="M1243" s="19">
        <f>IF(OR(E1243="",E1242=""),"",E1243/E1242-1)</f>
        <v/>
      </c>
      <c r="N1243" s="19">
        <f>IF(OR(F1243="",F1242=""),"",F1243/F1242-1)</f>
        <v/>
      </c>
      <c r="O1243" s="19">
        <f>IF(OR(G1243="",G1242=""),"",G1243/G1242-1)</f>
        <v/>
      </c>
      <c r="P1243" s="22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IF(R1243="","",P1243/R1243)</f>
        <v/>
      </c>
      <c r="T1243" s="23">
        <f>IF(R1243="","",Q1243/R1243)</f>
        <v/>
      </c>
      <c r="U1243" s="24">
        <f>IF(SUMIFS('Daily NSE Equity Options'!$M:$M,'Daily NSE Equity Options'!$A:$A,$A1243)=0,"",SUMIFS('Daily NSE Equity Options'!$M:$M,'Daily NSE Equity Options'!$A:$A,$A1243))</f>
        <v/>
      </c>
      <c r="V1243" s="9">
        <f>IF(SUMIFS('Daily BSE Equity Options'!$M:$M,'Daily BSE Equity Options'!$A:$A,$A1243)=0,"",SUMIFS('Daily BSE Equity Options'!$M:$M,'Daily BSE Equity Options'!$A:$A,$A1243))</f>
        <v/>
      </c>
      <c r="W1243" s="9">
        <f>IF(OR(U1243="",V1243=""),"",U1243+V1243)</f>
        <v/>
      </c>
      <c r="X1243" s="25">
        <f>IF(W1243="","",U1243/W1243)</f>
        <v/>
      </c>
      <c r="Y1243" s="25">
        <f>IF(W1243="","",V1243/W1243)</f>
        <v/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19">
        <f>IF(G1244="","",E1244/G1244)</f>
        <v/>
      </c>
      <c r="I1244" s="19">
        <f>IF(G1244="","",F1244/G1244)</f>
        <v/>
      </c>
      <c r="J1244" s="26">
        <f>IFERROR(IF(OR(E1244="",INDEX(E:E,MATCH(DATE(YEAR($A1244)-1,MONTH($A1244),DAY($A1244)),$A:$A,0))=""),"",E1244/INDEX(E:E,MATCH(DATE(YEAR($A1244)-1,MONTH($A1244),DAY($A1244)),$A:$A,0))-1),"")</f>
        <v/>
      </c>
      <c r="K1244" s="19">
        <f>IFERROR(IF(OR(F1244="",INDEX(F:F,MATCH(DATE(YEAR($A1244)-1,MONTH($A1244),DAY($A1244)),$A:$A,0))=""),"",F1244/INDEX(F:F,MATCH(DATE(YEAR($A1244)-1,MONTH($A1244),DAY($A1244)),$A:$A,0))-1),"")</f>
        <v/>
      </c>
      <c r="L1244" s="19">
        <f>IFERROR(IF(OR(G1244="",INDEX(G:G,MATCH(DATE(YEAR($A1244)-1,MONTH($A1244),DAY($A1244)),$A:$A,0))=""),"",G1244/INDEX(G:G,MATCH(DATE(YEAR($A1244)-1,MONTH($A1244),DAY($A1244)),$A:$A,0))-1),"")</f>
        <v/>
      </c>
      <c r="M1244" s="19">
        <f>IF(OR(E1244="",E1243=""),"",E1244/E1243-1)</f>
        <v/>
      </c>
      <c r="N1244" s="19">
        <f>IF(OR(F1244="",F1243=""),"",F1244/F1243-1)</f>
        <v/>
      </c>
      <c r="O1244" s="19">
        <f>IF(OR(G1244="",G1243=""),"",G1244/G1243-1)</f>
        <v/>
      </c>
      <c r="P1244" s="22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IF(R1244="","",P1244/R1244)</f>
        <v/>
      </c>
      <c r="T1244" s="23">
        <f>IF(R1244="","",Q1244/R1244)</f>
        <v/>
      </c>
      <c r="U1244" s="24">
        <f>IF(SUMIFS('Daily NSE Equity Options'!$M:$M,'Daily NSE Equity Options'!$A:$A,$A1244)=0,"",SUMIFS('Daily NSE Equity Options'!$M:$M,'Daily NSE Equity Options'!$A:$A,$A1244))</f>
        <v/>
      </c>
      <c r="V1244" s="9">
        <f>IF(SUMIFS('Daily BSE Equity Options'!$M:$M,'Daily BSE Equity Options'!$A:$A,$A1244)=0,"",SUMIFS('Daily BSE Equity Options'!$M:$M,'Daily BSE Equity Options'!$A:$A,$A1244))</f>
        <v/>
      </c>
      <c r="W1244" s="9">
        <f>IF(OR(U1244="",V1244=""),"",U1244+V1244)</f>
        <v/>
      </c>
      <c r="X1244" s="25">
        <f>IF(W1244="","",U1244/W1244)</f>
        <v/>
      </c>
      <c r="Y1244" s="25">
        <f>IF(W1244="","",V1244/W1244)</f>
        <v/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19">
        <f>IF(G1245="","",E1245/G1245)</f>
        <v/>
      </c>
      <c r="I1245" s="19">
        <f>IF(G1245="","",F1245/G1245)</f>
        <v/>
      </c>
      <c r="J1245" s="26">
        <f>IFERROR(IF(OR(E1245="",INDEX(E:E,MATCH(DATE(YEAR($A1245)-1,MONTH($A1245),DAY($A1245)),$A:$A,0))=""),"",E1245/INDEX(E:E,MATCH(DATE(YEAR($A1245)-1,MONTH($A1245),DAY($A1245)),$A:$A,0))-1),"")</f>
        <v/>
      </c>
      <c r="K1245" s="19">
        <f>IFERROR(IF(OR(F1245="",INDEX(F:F,MATCH(DATE(YEAR($A1245)-1,MONTH($A1245),DAY($A1245)),$A:$A,0))=""),"",F1245/INDEX(F:F,MATCH(DATE(YEAR($A1245)-1,MONTH($A1245),DAY($A1245)),$A:$A,0))-1),"")</f>
        <v/>
      </c>
      <c r="L1245" s="19">
        <f>IFERROR(IF(OR(G1245="",INDEX(G:G,MATCH(DATE(YEAR($A1245)-1,MONTH($A1245),DAY($A1245)),$A:$A,0))=""),"",G1245/INDEX(G:G,MATCH(DATE(YEAR($A1245)-1,MONTH($A1245),DAY($A1245)),$A:$A,0))-1),"")</f>
        <v/>
      </c>
      <c r="M1245" s="19">
        <f>IF(OR(E1245="",E1244=""),"",E1245/E1244-1)</f>
        <v/>
      </c>
      <c r="N1245" s="19">
        <f>IF(OR(F1245="",F1244=""),"",F1245/F1244-1)</f>
        <v/>
      </c>
      <c r="O1245" s="19">
        <f>IF(OR(G1245="",G1244=""),"",G1245/G1244-1)</f>
        <v/>
      </c>
      <c r="P1245" s="22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IF(R1245="","",P1245/R1245)</f>
        <v/>
      </c>
      <c r="T1245" s="23">
        <f>IF(R1245="","",Q1245/R1245)</f>
        <v/>
      </c>
      <c r="U1245" s="24">
        <f>IF(SUMIFS('Daily NSE Equity Options'!$M:$M,'Daily NSE Equity Options'!$A:$A,$A1245)=0,"",SUMIFS('Daily NSE Equity Options'!$M:$M,'Daily NSE Equity Options'!$A:$A,$A1245))</f>
        <v/>
      </c>
      <c r="V1245" s="9">
        <f>IF(SUMIFS('Daily BSE Equity Options'!$M:$M,'Daily BSE Equity Options'!$A:$A,$A1245)=0,"",SUMIFS('Daily BSE Equity Options'!$M:$M,'Daily BSE Equity Options'!$A:$A,$A1245))</f>
        <v/>
      </c>
      <c r="W1245" s="9">
        <f>IF(OR(U1245="",V1245=""),"",U1245+V1245)</f>
        <v/>
      </c>
      <c r="X1245" s="25">
        <f>IF(W1245="","",U1245/W1245)</f>
        <v/>
      </c>
      <c r="Y1245" s="25">
        <f>IF(W1245="","",V1245/W1245)</f>
        <v/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19">
        <f>IF(G1246="","",E1246/G1246)</f>
        <v/>
      </c>
      <c r="I1246" s="19">
        <f>IF(G1246="","",F1246/G1246)</f>
        <v/>
      </c>
      <c r="J1246" s="26">
        <f>IFERROR(IF(OR(E1246="",INDEX(E:E,MATCH(DATE(YEAR($A1246)-1,MONTH($A1246),DAY($A1246)),$A:$A,0))=""),"",E1246/INDEX(E:E,MATCH(DATE(YEAR($A1246)-1,MONTH($A1246),DAY($A1246)),$A:$A,0))-1),"")</f>
        <v/>
      </c>
      <c r="K1246" s="19">
        <f>IFERROR(IF(OR(F1246="",INDEX(F:F,MATCH(DATE(YEAR($A1246)-1,MONTH($A1246),DAY($A1246)),$A:$A,0))=""),"",F1246/INDEX(F:F,MATCH(DATE(YEAR($A1246)-1,MONTH($A1246),DAY($A1246)),$A:$A,0))-1),"")</f>
        <v/>
      </c>
      <c r="L1246" s="19">
        <f>IFERROR(IF(OR(G1246="",INDEX(G:G,MATCH(DATE(YEAR($A1246)-1,MONTH($A1246),DAY($A1246)),$A:$A,0))=""),"",G1246/INDEX(G:G,MATCH(DATE(YEAR($A1246)-1,MONTH($A1246),DAY($A1246)),$A:$A,0))-1),"")</f>
        <v/>
      </c>
      <c r="M1246" s="19">
        <f>IF(OR(E1246="",E1245=""),"",E1246/E1245-1)</f>
        <v/>
      </c>
      <c r="N1246" s="19">
        <f>IF(OR(F1246="",F1245=""),"",F1246/F1245-1)</f>
        <v/>
      </c>
      <c r="O1246" s="19">
        <f>IF(OR(G1246="",G1245=""),"",G1246/G1245-1)</f>
        <v/>
      </c>
      <c r="P1246" s="22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IF(R1246="","",P1246/R1246)</f>
        <v/>
      </c>
      <c r="T1246" s="23">
        <f>IF(R1246="","",Q1246/R1246)</f>
        <v/>
      </c>
      <c r="U1246" s="24">
        <f>IF(SUMIFS('Daily NSE Equity Options'!$M:$M,'Daily NSE Equity Options'!$A:$A,$A1246)=0,"",SUMIFS('Daily NSE Equity Options'!$M:$M,'Daily NSE Equity Options'!$A:$A,$A1246))</f>
        <v/>
      </c>
      <c r="V1246" s="9">
        <f>IF(SUMIFS('Daily BSE Equity Options'!$M:$M,'Daily BSE Equity Options'!$A:$A,$A1246)=0,"",SUMIFS('Daily BSE Equity Options'!$M:$M,'Daily BSE Equity Options'!$A:$A,$A1246))</f>
        <v/>
      </c>
      <c r="W1246" s="9">
        <f>IF(OR(U1246="",V1246=""),"",U1246+V1246)</f>
        <v/>
      </c>
      <c r="X1246" s="25">
        <f>IF(W1246="","",U1246/W1246)</f>
        <v/>
      </c>
      <c r="Y1246" s="25">
        <f>IF(W1246="","",V1246/W1246)</f>
        <v/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19">
        <f>IF(G1247="","",E1247/G1247)</f>
        <v/>
      </c>
      <c r="I1247" s="19">
        <f>IF(G1247="","",F1247/G1247)</f>
        <v/>
      </c>
      <c r="J1247" s="26">
        <f>IFERROR(IF(OR(E1247="",INDEX(E:E,MATCH(DATE(YEAR($A1247)-1,MONTH($A1247),DAY($A1247)),$A:$A,0))=""),"",E1247/INDEX(E:E,MATCH(DATE(YEAR($A1247)-1,MONTH($A1247),DAY($A1247)),$A:$A,0))-1),"")</f>
        <v/>
      </c>
      <c r="K1247" s="19">
        <f>IFERROR(IF(OR(F1247="",INDEX(F:F,MATCH(DATE(YEAR($A1247)-1,MONTH($A1247),DAY($A1247)),$A:$A,0))=""),"",F1247/INDEX(F:F,MATCH(DATE(YEAR($A1247)-1,MONTH($A1247),DAY($A1247)),$A:$A,0))-1),"")</f>
        <v/>
      </c>
      <c r="L1247" s="19">
        <f>IFERROR(IF(OR(G1247="",INDEX(G:G,MATCH(DATE(YEAR($A1247)-1,MONTH($A1247),DAY($A1247)),$A:$A,0))=""),"",G1247/INDEX(G:G,MATCH(DATE(YEAR($A1247)-1,MONTH($A1247),DAY($A1247)),$A:$A,0))-1),"")</f>
        <v/>
      </c>
      <c r="M1247" s="19">
        <f>IF(OR(E1247="",E1246=""),"",E1247/E1246-1)</f>
        <v/>
      </c>
      <c r="N1247" s="19">
        <f>IF(OR(F1247="",F1246=""),"",F1247/F1246-1)</f>
        <v/>
      </c>
      <c r="O1247" s="19">
        <f>IF(OR(G1247="",G1246=""),"",G1247/G1246-1)</f>
        <v/>
      </c>
      <c r="P1247" s="22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IF(R1247="","",P1247/R1247)</f>
        <v/>
      </c>
      <c r="T1247" s="23">
        <f>IF(R1247="","",Q1247/R1247)</f>
        <v/>
      </c>
      <c r="U1247" s="24">
        <f>IF(SUMIFS('Daily NSE Equity Options'!$M:$M,'Daily NSE Equity Options'!$A:$A,$A1247)=0,"",SUMIFS('Daily NSE Equity Options'!$M:$M,'Daily NSE Equity Options'!$A:$A,$A1247))</f>
        <v/>
      </c>
      <c r="V1247" s="9">
        <f>IF(SUMIFS('Daily BSE Equity Options'!$M:$M,'Daily BSE Equity Options'!$A:$A,$A1247)=0,"",SUMIFS('Daily BSE Equity Options'!$M:$M,'Daily BSE Equity Options'!$A:$A,$A1247))</f>
        <v/>
      </c>
      <c r="W1247" s="9">
        <f>IF(OR(U1247="",V1247=""),"",U1247+V1247)</f>
        <v/>
      </c>
      <c r="X1247" s="25">
        <f>IF(W1247="","",U1247/W1247)</f>
        <v/>
      </c>
      <c r="Y1247" s="25">
        <f>IF(W1247="","",V1247/W1247)</f>
        <v/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19">
        <f>IF(G1248="","",E1248/G1248)</f>
        <v/>
      </c>
      <c r="I1248" s="19">
        <f>IF(G1248="","",F1248/G1248)</f>
        <v/>
      </c>
      <c r="J1248" s="26">
        <f>IFERROR(IF(OR(E1248="",INDEX(E:E,MATCH(DATE(YEAR($A1248)-1,MONTH($A1248),DAY($A1248)),$A:$A,0))=""),"",E1248/INDEX(E:E,MATCH(DATE(YEAR($A1248)-1,MONTH($A1248),DAY($A1248)),$A:$A,0))-1),"")</f>
        <v/>
      </c>
      <c r="K1248" s="19">
        <f>IFERROR(IF(OR(F1248="",INDEX(F:F,MATCH(DATE(YEAR($A1248)-1,MONTH($A1248),DAY($A1248)),$A:$A,0))=""),"",F1248/INDEX(F:F,MATCH(DATE(YEAR($A1248)-1,MONTH($A1248),DAY($A1248)),$A:$A,0))-1),"")</f>
        <v/>
      </c>
      <c r="L1248" s="19">
        <f>IFERROR(IF(OR(G1248="",INDEX(G:G,MATCH(DATE(YEAR($A1248)-1,MONTH($A1248),DAY($A1248)),$A:$A,0))=""),"",G1248/INDEX(G:G,MATCH(DATE(YEAR($A1248)-1,MONTH($A1248),DAY($A1248)),$A:$A,0))-1),"")</f>
        <v/>
      </c>
      <c r="M1248" s="19">
        <f>IF(OR(E1248="",E1247=""),"",E1248/E1247-1)</f>
        <v/>
      </c>
      <c r="N1248" s="19">
        <f>IF(OR(F1248="",F1247=""),"",F1248/F1247-1)</f>
        <v/>
      </c>
      <c r="O1248" s="19">
        <f>IF(OR(G1248="",G1247=""),"",G1248/G1247-1)</f>
        <v/>
      </c>
      <c r="P1248" s="22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IF(R1248="","",P1248/R1248)</f>
        <v/>
      </c>
      <c r="T1248" s="23">
        <f>IF(R1248="","",Q1248/R1248)</f>
        <v/>
      </c>
      <c r="U1248" s="24">
        <f>IF(SUMIFS('Daily NSE Equity Options'!$M:$M,'Daily NSE Equity Options'!$A:$A,$A1248)=0,"",SUMIFS('Daily NSE Equity Options'!$M:$M,'Daily NSE Equity Options'!$A:$A,$A1248))</f>
        <v/>
      </c>
      <c r="V1248" s="9">
        <f>IF(SUMIFS('Daily BSE Equity Options'!$M:$M,'Daily BSE Equity Options'!$A:$A,$A1248)=0,"",SUMIFS('Daily BSE Equity Options'!$M:$M,'Daily BSE Equity Options'!$A:$A,$A1248))</f>
        <v/>
      </c>
      <c r="W1248" s="9">
        <f>IF(OR(U1248="",V1248=""),"",U1248+V1248)</f>
        <v/>
      </c>
      <c r="X1248" s="25">
        <f>IF(W1248="","",U1248/W1248)</f>
        <v/>
      </c>
      <c r="Y1248" s="25">
        <f>IF(W1248="","",V1248/W1248)</f>
        <v/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19">
        <f>IF(G1249="","",E1249/G1249)</f>
        <v/>
      </c>
      <c r="I1249" s="19">
        <f>IF(G1249="","",F1249/G1249)</f>
        <v/>
      </c>
      <c r="J1249" s="26">
        <f>IFERROR(IF(OR(E1249="",INDEX(E:E,MATCH(DATE(YEAR($A1249)-1,MONTH($A1249),DAY($A1249)),$A:$A,0))=""),"",E1249/INDEX(E:E,MATCH(DATE(YEAR($A1249)-1,MONTH($A1249),DAY($A1249)),$A:$A,0))-1),"")</f>
        <v/>
      </c>
      <c r="K1249" s="19">
        <f>IFERROR(IF(OR(F1249="",INDEX(F:F,MATCH(DATE(YEAR($A1249)-1,MONTH($A1249),DAY($A1249)),$A:$A,0))=""),"",F1249/INDEX(F:F,MATCH(DATE(YEAR($A1249)-1,MONTH($A1249),DAY($A1249)),$A:$A,0))-1),"")</f>
        <v/>
      </c>
      <c r="L1249" s="19">
        <f>IFERROR(IF(OR(G1249="",INDEX(G:G,MATCH(DATE(YEAR($A1249)-1,MONTH($A1249),DAY($A1249)),$A:$A,0))=""),"",G1249/INDEX(G:G,MATCH(DATE(YEAR($A1249)-1,MONTH($A1249),DAY($A1249)),$A:$A,0))-1),"")</f>
        <v/>
      </c>
      <c r="M1249" s="19">
        <f>IF(OR(E1249="",E1248=""),"",E1249/E1248-1)</f>
        <v/>
      </c>
      <c r="N1249" s="19">
        <f>IF(OR(F1249="",F1248=""),"",F1249/F1248-1)</f>
        <v/>
      </c>
      <c r="O1249" s="19">
        <f>IF(OR(G1249="",G1248=""),"",G1249/G1248-1)</f>
        <v/>
      </c>
      <c r="P1249" s="22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IF(R1249="","",P1249/R1249)</f>
        <v/>
      </c>
      <c r="T1249" s="23">
        <f>IF(R1249="","",Q1249/R1249)</f>
        <v/>
      </c>
      <c r="U1249" s="24">
        <f>IF(SUMIFS('Daily NSE Equity Options'!$M:$M,'Daily NSE Equity Options'!$A:$A,$A1249)=0,"",SUMIFS('Daily NSE Equity Options'!$M:$M,'Daily NSE Equity Options'!$A:$A,$A1249))</f>
        <v/>
      </c>
      <c r="V1249" s="9">
        <f>IF(SUMIFS('Daily BSE Equity Options'!$M:$M,'Daily BSE Equity Options'!$A:$A,$A1249)=0,"",SUMIFS('Daily BSE Equity Options'!$M:$M,'Daily BSE Equity Options'!$A:$A,$A1249))</f>
        <v/>
      </c>
      <c r="W1249" s="9">
        <f>IF(OR(U1249="",V1249=""),"",U1249+V1249)</f>
        <v/>
      </c>
      <c r="X1249" s="25">
        <f>IF(W1249="","",U1249/W1249)</f>
        <v/>
      </c>
      <c r="Y1249" s="25">
        <f>IF(W1249="","",V1249/W1249)</f>
        <v/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19">
        <f>IF(G1250="","",E1250/G1250)</f>
        <v/>
      </c>
      <c r="I1250" s="19">
        <f>IF(G1250="","",F1250/G1250)</f>
        <v/>
      </c>
      <c r="J1250" s="26">
        <f>IFERROR(IF(OR(E1250="",INDEX(E:E,MATCH(DATE(YEAR($A1250)-1,MONTH($A1250),DAY($A1250)),$A:$A,0))=""),"",E1250/INDEX(E:E,MATCH(DATE(YEAR($A1250)-1,MONTH($A1250),DAY($A1250)),$A:$A,0))-1),"")</f>
        <v/>
      </c>
      <c r="K1250" s="19">
        <f>IFERROR(IF(OR(F1250="",INDEX(F:F,MATCH(DATE(YEAR($A1250)-1,MONTH($A1250),DAY($A1250)),$A:$A,0))=""),"",F1250/INDEX(F:F,MATCH(DATE(YEAR($A1250)-1,MONTH($A1250),DAY($A1250)),$A:$A,0))-1),"")</f>
        <v/>
      </c>
      <c r="L1250" s="19">
        <f>IFERROR(IF(OR(G1250="",INDEX(G:G,MATCH(DATE(YEAR($A1250)-1,MONTH($A1250),DAY($A1250)),$A:$A,0))=""),"",G1250/INDEX(G:G,MATCH(DATE(YEAR($A1250)-1,MONTH($A1250),DAY($A1250)),$A:$A,0))-1),"")</f>
        <v/>
      </c>
      <c r="M1250" s="19">
        <f>IF(OR(E1250="",E1249=""),"",E1250/E1249-1)</f>
        <v/>
      </c>
      <c r="N1250" s="19">
        <f>IF(OR(F1250="",F1249=""),"",F1250/F1249-1)</f>
        <v/>
      </c>
      <c r="O1250" s="19">
        <f>IF(OR(G1250="",G1249=""),"",G1250/G1249-1)</f>
        <v/>
      </c>
      <c r="P1250" s="22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IF(R1250="","",P1250/R1250)</f>
        <v/>
      </c>
      <c r="T1250" s="23">
        <f>IF(R1250="","",Q1250/R1250)</f>
        <v/>
      </c>
      <c r="U1250" s="24">
        <f>IF(SUMIFS('Daily NSE Equity Options'!$M:$M,'Daily NSE Equity Options'!$A:$A,$A1250)=0,"",SUMIFS('Daily NSE Equity Options'!$M:$M,'Daily NSE Equity Options'!$A:$A,$A1250))</f>
        <v/>
      </c>
      <c r="V1250" s="9">
        <f>IF(SUMIFS('Daily BSE Equity Options'!$M:$M,'Daily BSE Equity Options'!$A:$A,$A1250)=0,"",SUMIFS('Daily BSE Equity Options'!$M:$M,'Daily BSE Equity Options'!$A:$A,$A1250))</f>
        <v/>
      </c>
      <c r="W1250" s="9">
        <f>IF(OR(U1250="",V1250=""),"",U1250+V1250)</f>
        <v/>
      </c>
      <c r="X1250" s="25">
        <f>IF(W1250="","",U1250/W1250)</f>
        <v/>
      </c>
      <c r="Y1250" s="25">
        <f>IF(W1250="","",V1250/W1250)</f>
        <v/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19">
        <f>IF(G1251="","",E1251/G1251)</f>
        <v/>
      </c>
      <c r="I1251" s="19">
        <f>IF(G1251="","",F1251/G1251)</f>
        <v/>
      </c>
      <c r="J1251" s="26">
        <f>IFERROR(IF(OR(E1251="",INDEX(E:E,MATCH(DATE(YEAR($A1251)-1,MONTH($A1251),DAY($A1251)),$A:$A,0))=""),"",E1251/INDEX(E:E,MATCH(DATE(YEAR($A1251)-1,MONTH($A1251),DAY($A1251)),$A:$A,0))-1),"")</f>
        <v/>
      </c>
      <c r="K1251" s="19">
        <f>IFERROR(IF(OR(F1251="",INDEX(F:F,MATCH(DATE(YEAR($A1251)-1,MONTH($A1251),DAY($A1251)),$A:$A,0))=""),"",F1251/INDEX(F:F,MATCH(DATE(YEAR($A1251)-1,MONTH($A1251),DAY($A1251)),$A:$A,0))-1),"")</f>
        <v/>
      </c>
      <c r="L1251" s="19">
        <f>IFERROR(IF(OR(G1251="",INDEX(G:G,MATCH(DATE(YEAR($A1251)-1,MONTH($A1251),DAY($A1251)),$A:$A,0))=""),"",G1251/INDEX(G:G,MATCH(DATE(YEAR($A1251)-1,MONTH($A1251),DAY($A1251)),$A:$A,0))-1),"")</f>
        <v/>
      </c>
      <c r="M1251" s="19">
        <f>IF(OR(E1251="",E1250=""),"",E1251/E1250-1)</f>
        <v/>
      </c>
      <c r="N1251" s="19">
        <f>IF(OR(F1251="",F1250=""),"",F1251/F1250-1)</f>
        <v/>
      </c>
      <c r="O1251" s="19">
        <f>IF(OR(G1251="",G1250=""),"",G1251/G1250-1)</f>
        <v/>
      </c>
      <c r="P1251" s="22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IF(R1251="","",P1251/R1251)</f>
        <v/>
      </c>
      <c r="T1251" s="23">
        <f>IF(R1251="","",Q1251/R1251)</f>
        <v/>
      </c>
      <c r="U1251" s="24">
        <f>IF(SUMIFS('Daily NSE Equity Options'!$M:$M,'Daily NSE Equity Options'!$A:$A,$A1251)=0,"",SUMIFS('Daily NSE Equity Options'!$M:$M,'Daily NSE Equity Options'!$A:$A,$A1251))</f>
        <v/>
      </c>
      <c r="V1251" s="9">
        <f>IF(SUMIFS('Daily BSE Equity Options'!$M:$M,'Daily BSE Equity Options'!$A:$A,$A1251)=0,"",SUMIFS('Daily BSE Equity Options'!$M:$M,'Daily BSE Equity Options'!$A:$A,$A1251))</f>
        <v/>
      </c>
      <c r="W1251" s="9">
        <f>IF(OR(U1251="",V1251=""),"",U1251+V1251)</f>
        <v/>
      </c>
      <c r="X1251" s="25">
        <f>IF(W1251="","",U1251/W1251)</f>
        <v/>
      </c>
      <c r="Y1251" s="25">
        <f>IF(W1251="","",V1251/W1251)</f>
        <v/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19">
        <f>IF(G1252="","",E1252/G1252)</f>
        <v/>
      </c>
      <c r="I1252" s="19">
        <f>IF(G1252="","",F1252/G1252)</f>
        <v/>
      </c>
      <c r="J1252" s="26">
        <f>IFERROR(IF(OR(E1252="",INDEX(E:E,MATCH(DATE(YEAR($A1252)-1,MONTH($A1252),DAY($A1252)),$A:$A,0))=""),"",E1252/INDEX(E:E,MATCH(DATE(YEAR($A1252)-1,MONTH($A1252),DAY($A1252)),$A:$A,0))-1),"")</f>
        <v/>
      </c>
      <c r="K1252" s="19">
        <f>IFERROR(IF(OR(F1252="",INDEX(F:F,MATCH(DATE(YEAR($A1252)-1,MONTH($A1252),DAY($A1252)),$A:$A,0))=""),"",F1252/INDEX(F:F,MATCH(DATE(YEAR($A1252)-1,MONTH($A1252),DAY($A1252)),$A:$A,0))-1),"")</f>
        <v/>
      </c>
      <c r="L1252" s="19">
        <f>IFERROR(IF(OR(G1252="",INDEX(G:G,MATCH(DATE(YEAR($A1252)-1,MONTH($A1252),DAY($A1252)),$A:$A,0))=""),"",G1252/INDEX(G:G,MATCH(DATE(YEAR($A1252)-1,MONTH($A1252),DAY($A1252)),$A:$A,0))-1),"")</f>
        <v/>
      </c>
      <c r="M1252" s="19">
        <f>IF(OR(E1252="",E1251=""),"",E1252/E1251-1)</f>
        <v/>
      </c>
      <c r="N1252" s="19">
        <f>IF(OR(F1252="",F1251=""),"",F1252/F1251-1)</f>
        <v/>
      </c>
      <c r="O1252" s="19">
        <f>IF(OR(G1252="",G1251=""),"",G1252/G1251-1)</f>
        <v/>
      </c>
      <c r="P1252" s="22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IF(R1252="","",P1252/R1252)</f>
        <v/>
      </c>
      <c r="T1252" s="23">
        <f>IF(R1252="","",Q1252/R1252)</f>
        <v/>
      </c>
      <c r="U1252" s="24">
        <f>IF(SUMIFS('Daily NSE Equity Options'!$M:$M,'Daily NSE Equity Options'!$A:$A,$A1252)=0,"",SUMIFS('Daily NSE Equity Options'!$M:$M,'Daily NSE Equity Options'!$A:$A,$A1252))</f>
        <v/>
      </c>
      <c r="V1252" s="9">
        <f>IF(SUMIFS('Daily BSE Equity Options'!$M:$M,'Daily BSE Equity Options'!$A:$A,$A1252)=0,"",SUMIFS('Daily BSE Equity Options'!$M:$M,'Daily BSE Equity Options'!$A:$A,$A1252))</f>
        <v/>
      </c>
      <c r="W1252" s="9">
        <f>IF(OR(U1252="",V1252=""),"",U1252+V1252)</f>
        <v/>
      </c>
      <c r="X1252" s="25">
        <f>IF(W1252="","",U1252/W1252)</f>
        <v/>
      </c>
      <c r="Y1252" s="25">
        <f>IF(W1252="","",V1252/W1252)</f>
        <v/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19">
        <f>IF(G1253="","",E1253/G1253)</f>
        <v/>
      </c>
      <c r="I1253" s="19">
        <f>IF(G1253="","",F1253/G1253)</f>
        <v/>
      </c>
      <c r="J1253" s="26">
        <f>IFERROR(IF(OR(E1253="",INDEX(E:E,MATCH(DATE(YEAR($A1253)-1,MONTH($A1253),DAY($A1253)),$A:$A,0))=""),"",E1253/INDEX(E:E,MATCH(DATE(YEAR($A1253)-1,MONTH($A1253),DAY($A1253)),$A:$A,0))-1),"")</f>
        <v/>
      </c>
      <c r="K1253" s="19">
        <f>IFERROR(IF(OR(F1253="",INDEX(F:F,MATCH(DATE(YEAR($A1253)-1,MONTH($A1253),DAY($A1253)),$A:$A,0))=""),"",F1253/INDEX(F:F,MATCH(DATE(YEAR($A1253)-1,MONTH($A1253),DAY($A1253)),$A:$A,0))-1),"")</f>
        <v/>
      </c>
      <c r="L1253" s="19">
        <f>IFERROR(IF(OR(G1253="",INDEX(G:G,MATCH(DATE(YEAR($A1253)-1,MONTH($A1253),DAY($A1253)),$A:$A,0))=""),"",G1253/INDEX(G:G,MATCH(DATE(YEAR($A1253)-1,MONTH($A1253),DAY($A1253)),$A:$A,0))-1),"")</f>
        <v/>
      </c>
      <c r="M1253" s="19">
        <f>IF(OR(E1253="",E1252=""),"",E1253/E1252-1)</f>
        <v/>
      </c>
      <c r="N1253" s="19">
        <f>IF(OR(F1253="",F1252=""),"",F1253/F1252-1)</f>
        <v/>
      </c>
      <c r="O1253" s="19">
        <f>IF(OR(G1253="",G1252=""),"",G1253/G1252-1)</f>
        <v/>
      </c>
      <c r="P1253" s="22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IF(R1253="","",P1253/R1253)</f>
        <v/>
      </c>
      <c r="T1253" s="23">
        <f>IF(R1253="","",Q1253/R1253)</f>
        <v/>
      </c>
      <c r="U1253" s="24">
        <f>IF(SUMIFS('Daily NSE Equity Options'!$M:$M,'Daily NSE Equity Options'!$A:$A,$A1253)=0,"",SUMIFS('Daily NSE Equity Options'!$M:$M,'Daily NSE Equity Options'!$A:$A,$A1253))</f>
        <v/>
      </c>
      <c r="V1253" s="9">
        <f>IF(SUMIFS('Daily BSE Equity Options'!$M:$M,'Daily BSE Equity Options'!$A:$A,$A1253)=0,"",SUMIFS('Daily BSE Equity Options'!$M:$M,'Daily BSE Equity Options'!$A:$A,$A1253))</f>
        <v/>
      </c>
      <c r="W1253" s="9">
        <f>IF(OR(U1253="",V1253=""),"",U1253+V1253)</f>
        <v/>
      </c>
      <c r="X1253" s="25">
        <f>IF(W1253="","",U1253/W1253)</f>
        <v/>
      </c>
      <c r="Y1253" s="25">
        <f>IF(W1253="","",V1253/W1253)</f>
        <v/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19">
        <f>IF(G1254="","",E1254/G1254)</f>
        <v/>
      </c>
      <c r="I1254" s="19">
        <f>IF(G1254="","",F1254/G1254)</f>
        <v/>
      </c>
      <c r="J1254" s="26">
        <f>IFERROR(IF(OR(E1254="",INDEX(E:E,MATCH(DATE(YEAR($A1254)-1,MONTH($A1254),DAY($A1254)),$A:$A,0))=""),"",E1254/INDEX(E:E,MATCH(DATE(YEAR($A1254)-1,MONTH($A1254),DAY($A1254)),$A:$A,0))-1),"")</f>
        <v/>
      </c>
      <c r="K1254" s="19">
        <f>IFERROR(IF(OR(F1254="",INDEX(F:F,MATCH(DATE(YEAR($A1254)-1,MONTH($A1254),DAY($A1254)),$A:$A,0))=""),"",F1254/INDEX(F:F,MATCH(DATE(YEAR($A1254)-1,MONTH($A1254),DAY($A1254)),$A:$A,0))-1),"")</f>
        <v/>
      </c>
      <c r="L1254" s="19">
        <f>IFERROR(IF(OR(G1254="",INDEX(G:G,MATCH(DATE(YEAR($A1254)-1,MONTH($A1254),DAY($A1254)),$A:$A,0))=""),"",G1254/INDEX(G:G,MATCH(DATE(YEAR($A1254)-1,MONTH($A1254),DAY($A1254)),$A:$A,0))-1),"")</f>
        <v/>
      </c>
      <c r="M1254" s="19">
        <f>IF(OR(E1254="",E1253=""),"",E1254/E1253-1)</f>
        <v/>
      </c>
      <c r="N1254" s="19">
        <f>IF(OR(F1254="",F1253=""),"",F1254/F1253-1)</f>
        <v/>
      </c>
      <c r="O1254" s="19">
        <f>IF(OR(G1254="",G1253=""),"",G1254/G1253-1)</f>
        <v/>
      </c>
      <c r="P1254" s="22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IF(R1254="","",P1254/R1254)</f>
        <v/>
      </c>
      <c r="T1254" s="23">
        <f>IF(R1254="","",Q1254/R1254)</f>
        <v/>
      </c>
      <c r="U1254" s="24">
        <f>IF(SUMIFS('Daily NSE Equity Options'!$M:$M,'Daily NSE Equity Options'!$A:$A,$A1254)=0,"",SUMIFS('Daily NSE Equity Options'!$M:$M,'Daily NSE Equity Options'!$A:$A,$A1254))</f>
        <v/>
      </c>
      <c r="V1254" s="9">
        <f>IF(SUMIFS('Daily BSE Equity Options'!$M:$M,'Daily BSE Equity Options'!$A:$A,$A1254)=0,"",SUMIFS('Daily BSE Equity Options'!$M:$M,'Daily BSE Equity Options'!$A:$A,$A1254))</f>
        <v/>
      </c>
      <c r="W1254" s="9">
        <f>IF(OR(U1254="",V1254=""),"",U1254+V1254)</f>
        <v/>
      </c>
      <c r="X1254" s="25">
        <f>IF(W1254="","",U1254/W1254)</f>
        <v/>
      </c>
      <c r="Y1254" s="25">
        <f>IF(W1254="","",V1254/W1254)</f>
        <v/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19">
        <f>IF(G1255="","",E1255/G1255)</f>
        <v/>
      </c>
      <c r="I1255" s="19">
        <f>IF(G1255="","",F1255/G1255)</f>
        <v/>
      </c>
      <c r="J1255" s="26">
        <f>IFERROR(IF(OR(E1255="",INDEX(E:E,MATCH(DATE(YEAR($A1255)-1,MONTH($A1255),DAY($A1255)),$A:$A,0))=""),"",E1255/INDEX(E:E,MATCH(DATE(YEAR($A1255)-1,MONTH($A1255),DAY($A1255)),$A:$A,0))-1),"")</f>
        <v/>
      </c>
      <c r="K1255" s="19">
        <f>IFERROR(IF(OR(F1255="",INDEX(F:F,MATCH(DATE(YEAR($A1255)-1,MONTH($A1255),DAY($A1255)),$A:$A,0))=""),"",F1255/INDEX(F:F,MATCH(DATE(YEAR($A1255)-1,MONTH($A1255),DAY($A1255)),$A:$A,0))-1),"")</f>
        <v/>
      </c>
      <c r="L1255" s="19">
        <f>IFERROR(IF(OR(G1255="",INDEX(G:G,MATCH(DATE(YEAR($A1255)-1,MONTH($A1255),DAY($A1255)),$A:$A,0))=""),"",G1255/INDEX(G:G,MATCH(DATE(YEAR($A1255)-1,MONTH($A1255),DAY($A1255)),$A:$A,0))-1),"")</f>
        <v/>
      </c>
      <c r="M1255" s="19">
        <f>IF(OR(E1255="",E1254=""),"",E1255/E1254-1)</f>
        <v/>
      </c>
      <c r="N1255" s="19">
        <f>IF(OR(F1255="",F1254=""),"",F1255/F1254-1)</f>
        <v/>
      </c>
      <c r="O1255" s="19">
        <f>IF(OR(G1255="",G1254=""),"",G1255/G1254-1)</f>
        <v/>
      </c>
      <c r="P1255" s="22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IF(R1255="","",P1255/R1255)</f>
        <v/>
      </c>
      <c r="T1255" s="23">
        <f>IF(R1255="","",Q1255/R1255)</f>
        <v/>
      </c>
      <c r="U1255" s="24">
        <f>IF(SUMIFS('Daily NSE Equity Options'!$M:$M,'Daily NSE Equity Options'!$A:$A,$A1255)=0,"",SUMIFS('Daily NSE Equity Options'!$M:$M,'Daily NSE Equity Options'!$A:$A,$A1255))</f>
        <v/>
      </c>
      <c r="V1255" s="9">
        <f>IF(SUMIFS('Daily BSE Equity Options'!$M:$M,'Daily BSE Equity Options'!$A:$A,$A1255)=0,"",SUMIFS('Daily BSE Equity Options'!$M:$M,'Daily BSE Equity Options'!$A:$A,$A1255))</f>
        <v/>
      </c>
      <c r="W1255" s="9">
        <f>IF(OR(U1255="",V1255=""),"",U1255+V1255)</f>
        <v/>
      </c>
      <c r="X1255" s="25">
        <f>IF(W1255="","",U1255/W1255)</f>
        <v/>
      </c>
      <c r="Y1255" s="25">
        <f>IF(W1255="","",V1255/W1255)</f>
        <v/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19">
        <f>IF(G1256="","",E1256/G1256)</f>
        <v/>
      </c>
      <c r="I1256" s="19">
        <f>IF(G1256="","",F1256/G1256)</f>
        <v/>
      </c>
      <c r="J1256" s="26">
        <f>IFERROR(IF(OR(E1256="",INDEX(E:E,MATCH(DATE(YEAR($A1256)-1,MONTH($A1256),DAY($A1256)),$A:$A,0))=""),"",E1256/INDEX(E:E,MATCH(DATE(YEAR($A1256)-1,MONTH($A1256),DAY($A1256)),$A:$A,0))-1),"")</f>
        <v/>
      </c>
      <c r="K1256" s="19">
        <f>IFERROR(IF(OR(F1256="",INDEX(F:F,MATCH(DATE(YEAR($A1256)-1,MONTH($A1256),DAY($A1256)),$A:$A,0))=""),"",F1256/INDEX(F:F,MATCH(DATE(YEAR($A1256)-1,MONTH($A1256),DAY($A1256)),$A:$A,0))-1),"")</f>
        <v/>
      </c>
      <c r="L1256" s="19">
        <f>IFERROR(IF(OR(G1256="",INDEX(G:G,MATCH(DATE(YEAR($A1256)-1,MONTH($A1256),DAY($A1256)),$A:$A,0))=""),"",G1256/INDEX(G:G,MATCH(DATE(YEAR($A1256)-1,MONTH($A1256),DAY($A1256)),$A:$A,0))-1),"")</f>
        <v/>
      </c>
      <c r="M1256" s="19">
        <f>IF(OR(E1256="",E1255=""),"",E1256/E1255-1)</f>
        <v/>
      </c>
      <c r="N1256" s="19">
        <f>IF(OR(F1256="",F1255=""),"",F1256/F1255-1)</f>
        <v/>
      </c>
      <c r="O1256" s="19">
        <f>IF(OR(G1256="",G1255=""),"",G1256/G1255-1)</f>
        <v/>
      </c>
      <c r="P1256" s="22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IF(R1256="","",P1256/R1256)</f>
        <v/>
      </c>
      <c r="T1256" s="23">
        <f>IF(R1256="","",Q1256/R1256)</f>
        <v/>
      </c>
      <c r="U1256" s="24">
        <f>IF(SUMIFS('Daily NSE Equity Options'!$M:$M,'Daily NSE Equity Options'!$A:$A,$A1256)=0,"",SUMIFS('Daily NSE Equity Options'!$M:$M,'Daily NSE Equity Options'!$A:$A,$A1256))</f>
        <v/>
      </c>
      <c r="V1256" s="9">
        <f>IF(SUMIFS('Daily BSE Equity Options'!$M:$M,'Daily BSE Equity Options'!$A:$A,$A1256)=0,"",SUMIFS('Daily BSE Equity Options'!$M:$M,'Daily BSE Equity Options'!$A:$A,$A1256))</f>
        <v/>
      </c>
      <c r="W1256" s="9">
        <f>IF(OR(U1256="",V1256=""),"",U1256+V1256)</f>
        <v/>
      </c>
      <c r="X1256" s="25">
        <f>IF(W1256="","",U1256/W1256)</f>
        <v/>
      </c>
      <c r="Y1256" s="25">
        <f>IF(W1256="","",V1256/W1256)</f>
        <v/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19">
        <f>IF(G1257="","",E1257/G1257)</f>
        <v/>
      </c>
      <c r="I1257" s="19">
        <f>IF(G1257="","",F1257/G1257)</f>
        <v/>
      </c>
      <c r="J1257" s="26">
        <f>IFERROR(IF(OR(E1257="",INDEX(E:E,MATCH(DATE(YEAR($A1257)-1,MONTH($A1257),DAY($A1257)),$A:$A,0))=""),"",E1257/INDEX(E:E,MATCH(DATE(YEAR($A1257)-1,MONTH($A1257),DAY($A1257)),$A:$A,0))-1),"")</f>
        <v/>
      </c>
      <c r="K1257" s="19">
        <f>IFERROR(IF(OR(F1257="",INDEX(F:F,MATCH(DATE(YEAR($A1257)-1,MONTH($A1257),DAY($A1257)),$A:$A,0))=""),"",F1257/INDEX(F:F,MATCH(DATE(YEAR($A1257)-1,MONTH($A1257),DAY($A1257)),$A:$A,0))-1),"")</f>
        <v/>
      </c>
      <c r="L1257" s="19">
        <f>IFERROR(IF(OR(G1257="",INDEX(G:G,MATCH(DATE(YEAR($A1257)-1,MONTH($A1257),DAY($A1257)),$A:$A,0))=""),"",G1257/INDEX(G:G,MATCH(DATE(YEAR($A1257)-1,MONTH($A1257),DAY($A1257)),$A:$A,0))-1),"")</f>
        <v/>
      </c>
      <c r="M1257" s="19">
        <f>IF(OR(E1257="",E1256=""),"",E1257/E1256-1)</f>
        <v/>
      </c>
      <c r="N1257" s="19">
        <f>IF(OR(F1257="",F1256=""),"",F1257/F1256-1)</f>
        <v/>
      </c>
      <c r="O1257" s="19">
        <f>IF(OR(G1257="",G1256=""),"",G1257/G1256-1)</f>
        <v/>
      </c>
      <c r="P1257" s="22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IF(R1257="","",P1257/R1257)</f>
        <v/>
      </c>
      <c r="T1257" s="23">
        <f>IF(R1257="","",Q1257/R1257)</f>
        <v/>
      </c>
      <c r="U1257" s="24">
        <f>IF(SUMIFS('Daily NSE Equity Options'!$M:$M,'Daily NSE Equity Options'!$A:$A,$A1257)=0,"",SUMIFS('Daily NSE Equity Options'!$M:$M,'Daily NSE Equity Options'!$A:$A,$A1257))</f>
        <v/>
      </c>
      <c r="V1257" s="9">
        <f>IF(SUMIFS('Daily BSE Equity Options'!$M:$M,'Daily BSE Equity Options'!$A:$A,$A1257)=0,"",SUMIFS('Daily BSE Equity Options'!$M:$M,'Daily BSE Equity Options'!$A:$A,$A1257))</f>
        <v/>
      </c>
      <c r="W1257" s="9">
        <f>IF(OR(U1257="",V1257=""),"",U1257+V1257)</f>
        <v/>
      </c>
      <c r="X1257" s="25">
        <f>IF(W1257="","",U1257/W1257)</f>
        <v/>
      </c>
      <c r="Y1257" s="25">
        <f>IF(W1257="","",V1257/W1257)</f>
        <v/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19">
        <f>IF(G1258="","",E1258/G1258)</f>
        <v/>
      </c>
      <c r="I1258" s="19">
        <f>IF(G1258="","",F1258/G1258)</f>
        <v/>
      </c>
      <c r="J1258" s="26">
        <f>IFERROR(IF(OR(E1258="",INDEX(E:E,MATCH(DATE(YEAR($A1258)-1,MONTH($A1258),DAY($A1258)),$A:$A,0))=""),"",E1258/INDEX(E:E,MATCH(DATE(YEAR($A1258)-1,MONTH($A1258),DAY($A1258)),$A:$A,0))-1),"")</f>
        <v/>
      </c>
      <c r="K1258" s="19">
        <f>IFERROR(IF(OR(F1258="",INDEX(F:F,MATCH(DATE(YEAR($A1258)-1,MONTH($A1258),DAY($A1258)),$A:$A,0))=""),"",F1258/INDEX(F:F,MATCH(DATE(YEAR($A1258)-1,MONTH($A1258),DAY($A1258)),$A:$A,0))-1),"")</f>
        <v/>
      </c>
      <c r="L1258" s="19">
        <f>IFERROR(IF(OR(G1258="",INDEX(G:G,MATCH(DATE(YEAR($A1258)-1,MONTH($A1258),DAY($A1258)),$A:$A,0))=""),"",G1258/INDEX(G:G,MATCH(DATE(YEAR($A1258)-1,MONTH($A1258),DAY($A1258)),$A:$A,0))-1),"")</f>
        <v/>
      </c>
      <c r="M1258" s="19">
        <f>IF(OR(E1258="",E1257=""),"",E1258/E1257-1)</f>
        <v/>
      </c>
      <c r="N1258" s="19">
        <f>IF(OR(F1258="",F1257=""),"",F1258/F1257-1)</f>
        <v/>
      </c>
      <c r="O1258" s="19">
        <f>IF(OR(G1258="",G1257=""),"",G1258/G1257-1)</f>
        <v/>
      </c>
      <c r="P1258" s="22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IF(R1258="","",P1258/R1258)</f>
        <v/>
      </c>
      <c r="T1258" s="23">
        <f>IF(R1258="","",Q1258/R1258)</f>
        <v/>
      </c>
      <c r="U1258" s="24">
        <f>IF(SUMIFS('Daily NSE Equity Options'!$M:$M,'Daily NSE Equity Options'!$A:$A,$A1258)=0,"",SUMIFS('Daily NSE Equity Options'!$M:$M,'Daily NSE Equity Options'!$A:$A,$A1258))</f>
        <v/>
      </c>
      <c r="V1258" s="9">
        <f>IF(SUMIFS('Daily BSE Equity Options'!$M:$M,'Daily BSE Equity Options'!$A:$A,$A1258)=0,"",SUMIFS('Daily BSE Equity Options'!$M:$M,'Daily BSE Equity Options'!$A:$A,$A1258))</f>
        <v/>
      </c>
      <c r="W1258" s="9">
        <f>IF(OR(U1258="",V1258=""),"",U1258+V1258)</f>
        <v/>
      </c>
      <c r="X1258" s="25">
        <f>IF(W1258="","",U1258/W1258)</f>
        <v/>
      </c>
      <c r="Y1258" s="25">
        <f>IF(W1258="","",V1258/W1258)</f>
        <v/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19">
        <f>IF(G1259="","",E1259/G1259)</f>
        <v/>
      </c>
      <c r="I1259" s="19">
        <f>IF(G1259="","",F1259/G1259)</f>
        <v/>
      </c>
      <c r="J1259" s="26">
        <f>IFERROR(IF(OR(E1259="",INDEX(E:E,MATCH(DATE(YEAR($A1259)-1,MONTH($A1259),DAY($A1259)),$A:$A,0))=""),"",E1259/INDEX(E:E,MATCH(DATE(YEAR($A1259)-1,MONTH($A1259),DAY($A1259)),$A:$A,0))-1),"")</f>
        <v/>
      </c>
      <c r="K1259" s="19">
        <f>IFERROR(IF(OR(F1259="",INDEX(F:F,MATCH(DATE(YEAR($A1259)-1,MONTH($A1259),DAY($A1259)),$A:$A,0))=""),"",F1259/INDEX(F:F,MATCH(DATE(YEAR($A1259)-1,MONTH($A1259),DAY($A1259)),$A:$A,0))-1),"")</f>
        <v/>
      </c>
      <c r="L1259" s="19">
        <f>IFERROR(IF(OR(G1259="",INDEX(G:G,MATCH(DATE(YEAR($A1259)-1,MONTH($A1259),DAY($A1259)),$A:$A,0))=""),"",G1259/INDEX(G:G,MATCH(DATE(YEAR($A1259)-1,MONTH($A1259),DAY($A1259)),$A:$A,0))-1),"")</f>
        <v/>
      </c>
      <c r="M1259" s="19">
        <f>IF(OR(E1259="",E1258=""),"",E1259/E1258-1)</f>
        <v/>
      </c>
      <c r="N1259" s="19">
        <f>IF(OR(F1259="",F1258=""),"",F1259/F1258-1)</f>
        <v/>
      </c>
      <c r="O1259" s="19">
        <f>IF(OR(G1259="",G1258=""),"",G1259/G1258-1)</f>
        <v/>
      </c>
      <c r="P1259" s="22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IF(R1259="","",P1259/R1259)</f>
        <v/>
      </c>
      <c r="T1259" s="23">
        <f>IF(R1259="","",Q1259/R1259)</f>
        <v/>
      </c>
      <c r="U1259" s="24">
        <f>IF(SUMIFS('Daily NSE Equity Options'!$M:$M,'Daily NSE Equity Options'!$A:$A,$A1259)=0,"",SUMIFS('Daily NSE Equity Options'!$M:$M,'Daily NSE Equity Options'!$A:$A,$A1259))</f>
        <v/>
      </c>
      <c r="V1259" s="9">
        <f>IF(SUMIFS('Daily BSE Equity Options'!$M:$M,'Daily BSE Equity Options'!$A:$A,$A1259)=0,"",SUMIFS('Daily BSE Equity Options'!$M:$M,'Daily BSE Equity Options'!$A:$A,$A1259))</f>
        <v/>
      </c>
      <c r="W1259" s="9">
        <f>IF(OR(U1259="",V1259=""),"",U1259+V1259)</f>
        <v/>
      </c>
      <c r="X1259" s="25">
        <f>IF(W1259="","",U1259/W1259)</f>
        <v/>
      </c>
      <c r="Y1259" s="25">
        <f>IF(W1259="","",V1259/W1259)</f>
        <v/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19">
        <f>IF(G1260="","",E1260/G1260)</f>
        <v/>
      </c>
      <c r="I1260" s="19">
        <f>IF(G1260="","",F1260/G1260)</f>
        <v/>
      </c>
      <c r="J1260" s="26">
        <f>IFERROR(IF(OR(E1260="",INDEX(E:E,MATCH(DATE(YEAR($A1260)-1,MONTH($A1260),DAY($A1260)),$A:$A,0))=""),"",E1260/INDEX(E:E,MATCH(DATE(YEAR($A1260)-1,MONTH($A1260),DAY($A1260)),$A:$A,0))-1),"")</f>
        <v/>
      </c>
      <c r="K1260" s="19">
        <f>IFERROR(IF(OR(F1260="",INDEX(F:F,MATCH(DATE(YEAR($A1260)-1,MONTH($A1260),DAY($A1260)),$A:$A,0))=""),"",F1260/INDEX(F:F,MATCH(DATE(YEAR($A1260)-1,MONTH($A1260),DAY($A1260)),$A:$A,0))-1),"")</f>
        <v/>
      </c>
      <c r="L1260" s="19">
        <f>IFERROR(IF(OR(G1260="",INDEX(G:G,MATCH(DATE(YEAR($A1260)-1,MONTH($A1260),DAY($A1260)),$A:$A,0))=""),"",G1260/INDEX(G:G,MATCH(DATE(YEAR($A1260)-1,MONTH($A1260),DAY($A1260)),$A:$A,0))-1),"")</f>
        <v/>
      </c>
      <c r="M1260" s="19">
        <f>IF(OR(E1260="",E1259=""),"",E1260/E1259-1)</f>
        <v/>
      </c>
      <c r="N1260" s="19">
        <f>IF(OR(F1260="",F1259=""),"",F1260/F1259-1)</f>
        <v/>
      </c>
      <c r="O1260" s="19">
        <f>IF(OR(G1260="",G1259=""),"",G1260/G1259-1)</f>
        <v/>
      </c>
      <c r="P1260" s="22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IF(R1260="","",P1260/R1260)</f>
        <v/>
      </c>
      <c r="T1260" s="23">
        <f>IF(R1260="","",Q1260/R1260)</f>
        <v/>
      </c>
      <c r="U1260" s="24">
        <f>IF(SUMIFS('Daily NSE Equity Options'!$M:$M,'Daily NSE Equity Options'!$A:$A,$A1260)=0,"",SUMIFS('Daily NSE Equity Options'!$M:$M,'Daily NSE Equity Options'!$A:$A,$A1260))</f>
        <v/>
      </c>
      <c r="V1260" s="9">
        <f>IF(SUMIFS('Daily BSE Equity Options'!$M:$M,'Daily BSE Equity Options'!$A:$A,$A1260)=0,"",SUMIFS('Daily BSE Equity Options'!$M:$M,'Daily BSE Equity Options'!$A:$A,$A1260))</f>
        <v/>
      </c>
      <c r="W1260" s="9">
        <f>IF(OR(U1260="",V1260=""),"",U1260+V1260)</f>
        <v/>
      </c>
      <c r="X1260" s="25">
        <f>IF(W1260="","",U1260/W1260)</f>
        <v/>
      </c>
      <c r="Y1260" s="25">
        <f>IF(W1260="","",V1260/W1260)</f>
        <v/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19">
        <f>IF(G1261="","",E1261/G1261)</f>
        <v/>
      </c>
      <c r="I1261" s="19">
        <f>IF(G1261="","",F1261/G1261)</f>
        <v/>
      </c>
      <c r="J1261" s="26">
        <f>IFERROR(IF(OR(E1261="",INDEX(E:E,MATCH(DATE(YEAR($A1261)-1,MONTH($A1261),DAY($A1261)),$A:$A,0))=""),"",E1261/INDEX(E:E,MATCH(DATE(YEAR($A1261)-1,MONTH($A1261),DAY($A1261)),$A:$A,0))-1),"")</f>
        <v/>
      </c>
      <c r="K1261" s="19">
        <f>IFERROR(IF(OR(F1261="",INDEX(F:F,MATCH(DATE(YEAR($A1261)-1,MONTH($A1261),DAY($A1261)),$A:$A,0))=""),"",F1261/INDEX(F:F,MATCH(DATE(YEAR($A1261)-1,MONTH($A1261),DAY($A1261)),$A:$A,0))-1),"")</f>
        <v/>
      </c>
      <c r="L1261" s="19">
        <f>IFERROR(IF(OR(G1261="",INDEX(G:G,MATCH(DATE(YEAR($A1261)-1,MONTH($A1261),DAY($A1261)),$A:$A,0))=""),"",G1261/INDEX(G:G,MATCH(DATE(YEAR($A1261)-1,MONTH($A1261),DAY($A1261)),$A:$A,0))-1),"")</f>
        <v/>
      </c>
      <c r="M1261" s="19">
        <f>IF(OR(E1261="",E1260=""),"",E1261/E1260-1)</f>
        <v/>
      </c>
      <c r="N1261" s="19">
        <f>IF(OR(F1261="",F1260=""),"",F1261/F1260-1)</f>
        <v/>
      </c>
      <c r="O1261" s="19">
        <f>IF(OR(G1261="",G1260=""),"",G1261/G1260-1)</f>
        <v/>
      </c>
      <c r="P1261" s="22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IF(R1261="","",P1261/R1261)</f>
        <v/>
      </c>
      <c r="T1261" s="23">
        <f>IF(R1261="","",Q1261/R1261)</f>
        <v/>
      </c>
      <c r="U1261" s="24">
        <f>IF(SUMIFS('Daily NSE Equity Options'!$M:$M,'Daily NSE Equity Options'!$A:$A,$A1261)=0,"",SUMIFS('Daily NSE Equity Options'!$M:$M,'Daily NSE Equity Options'!$A:$A,$A1261))</f>
        <v/>
      </c>
      <c r="V1261" s="9">
        <f>IF(SUMIFS('Daily BSE Equity Options'!$M:$M,'Daily BSE Equity Options'!$A:$A,$A1261)=0,"",SUMIFS('Daily BSE Equity Options'!$M:$M,'Daily BSE Equity Options'!$A:$A,$A1261))</f>
        <v/>
      </c>
      <c r="W1261" s="9">
        <f>IF(OR(U1261="",V1261=""),"",U1261+V1261)</f>
        <v/>
      </c>
      <c r="X1261" s="25">
        <f>IF(W1261="","",U1261/W1261)</f>
        <v/>
      </c>
      <c r="Y1261" s="25">
        <f>IF(W1261="","",V1261/W1261)</f>
        <v/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19">
        <f>IF(G1262="","",E1262/G1262)</f>
        <v/>
      </c>
      <c r="I1262" s="19">
        <f>IF(G1262="","",F1262/G1262)</f>
        <v/>
      </c>
      <c r="J1262" s="26">
        <f>IFERROR(IF(OR(E1262="",INDEX(E:E,MATCH(DATE(YEAR($A1262)-1,MONTH($A1262),DAY($A1262)),$A:$A,0))=""),"",E1262/INDEX(E:E,MATCH(DATE(YEAR($A1262)-1,MONTH($A1262),DAY($A1262)),$A:$A,0))-1),"")</f>
        <v/>
      </c>
      <c r="K1262" s="19">
        <f>IFERROR(IF(OR(F1262="",INDEX(F:F,MATCH(DATE(YEAR($A1262)-1,MONTH($A1262),DAY($A1262)),$A:$A,0))=""),"",F1262/INDEX(F:F,MATCH(DATE(YEAR($A1262)-1,MONTH($A1262),DAY($A1262)),$A:$A,0))-1),"")</f>
        <v/>
      </c>
      <c r="L1262" s="19">
        <f>IFERROR(IF(OR(G1262="",INDEX(G:G,MATCH(DATE(YEAR($A1262)-1,MONTH($A1262),DAY($A1262)),$A:$A,0))=""),"",G1262/INDEX(G:G,MATCH(DATE(YEAR($A1262)-1,MONTH($A1262),DAY($A1262)),$A:$A,0))-1),"")</f>
        <v/>
      </c>
      <c r="M1262" s="19">
        <f>IF(OR(E1262="",E1261=""),"",E1262/E1261-1)</f>
        <v/>
      </c>
      <c r="N1262" s="19">
        <f>IF(OR(F1262="",F1261=""),"",F1262/F1261-1)</f>
        <v/>
      </c>
      <c r="O1262" s="19">
        <f>IF(OR(G1262="",G1261=""),"",G1262/G1261-1)</f>
        <v/>
      </c>
      <c r="P1262" s="22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IF(R1262="","",P1262/R1262)</f>
        <v/>
      </c>
      <c r="T1262" s="23">
        <f>IF(R1262="","",Q1262/R1262)</f>
        <v/>
      </c>
      <c r="U1262" s="24">
        <f>IF(SUMIFS('Daily NSE Equity Options'!$M:$M,'Daily NSE Equity Options'!$A:$A,$A1262)=0,"",SUMIFS('Daily NSE Equity Options'!$M:$M,'Daily NSE Equity Options'!$A:$A,$A1262))</f>
        <v/>
      </c>
      <c r="V1262" s="9">
        <f>IF(SUMIFS('Daily BSE Equity Options'!$M:$M,'Daily BSE Equity Options'!$A:$A,$A1262)=0,"",SUMIFS('Daily BSE Equity Options'!$M:$M,'Daily BSE Equity Options'!$A:$A,$A1262))</f>
        <v/>
      </c>
      <c r="W1262" s="9">
        <f>IF(OR(U1262="",V1262=""),"",U1262+V1262)</f>
        <v/>
      </c>
      <c r="X1262" s="25">
        <f>IF(W1262="","",U1262/W1262)</f>
        <v/>
      </c>
      <c r="Y1262" s="25">
        <f>IF(W1262="","",V1262/W1262)</f>
        <v/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19">
        <f>IF(G1263="","",E1263/G1263)</f>
        <v/>
      </c>
      <c r="I1263" s="19">
        <f>IF(G1263="","",F1263/G1263)</f>
        <v/>
      </c>
      <c r="J1263" s="26">
        <f>IFERROR(IF(OR(E1263="",INDEX(E:E,MATCH(DATE(YEAR($A1263)-1,MONTH($A1263),DAY($A1263)),$A:$A,0))=""),"",E1263/INDEX(E:E,MATCH(DATE(YEAR($A1263)-1,MONTH($A1263),DAY($A1263)),$A:$A,0))-1),"")</f>
        <v/>
      </c>
      <c r="K1263" s="19">
        <f>IFERROR(IF(OR(F1263="",INDEX(F:F,MATCH(DATE(YEAR($A1263)-1,MONTH($A1263),DAY($A1263)),$A:$A,0))=""),"",F1263/INDEX(F:F,MATCH(DATE(YEAR($A1263)-1,MONTH($A1263),DAY($A1263)),$A:$A,0))-1),"")</f>
        <v/>
      </c>
      <c r="L1263" s="19">
        <f>IFERROR(IF(OR(G1263="",INDEX(G:G,MATCH(DATE(YEAR($A1263)-1,MONTH($A1263),DAY($A1263)),$A:$A,0))=""),"",G1263/INDEX(G:G,MATCH(DATE(YEAR($A1263)-1,MONTH($A1263),DAY($A1263)),$A:$A,0))-1),"")</f>
        <v/>
      </c>
      <c r="M1263" s="19">
        <f>IF(OR(E1263="",E1262=""),"",E1263/E1262-1)</f>
        <v/>
      </c>
      <c r="N1263" s="19">
        <f>IF(OR(F1263="",F1262=""),"",F1263/F1262-1)</f>
        <v/>
      </c>
      <c r="O1263" s="19">
        <f>IF(OR(G1263="",G1262=""),"",G1263/G1262-1)</f>
        <v/>
      </c>
      <c r="P1263" s="22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IF(R1263="","",P1263/R1263)</f>
        <v/>
      </c>
      <c r="T1263" s="23">
        <f>IF(R1263="","",Q1263/R1263)</f>
        <v/>
      </c>
      <c r="U1263" s="24">
        <f>IF(SUMIFS('Daily NSE Equity Options'!$M:$M,'Daily NSE Equity Options'!$A:$A,$A1263)=0,"",SUMIFS('Daily NSE Equity Options'!$M:$M,'Daily NSE Equity Options'!$A:$A,$A1263))</f>
        <v/>
      </c>
      <c r="V1263" s="9">
        <f>IF(SUMIFS('Daily BSE Equity Options'!$M:$M,'Daily BSE Equity Options'!$A:$A,$A1263)=0,"",SUMIFS('Daily BSE Equity Options'!$M:$M,'Daily BSE Equity Options'!$A:$A,$A1263))</f>
        <v/>
      </c>
      <c r="W1263" s="9">
        <f>IF(OR(U1263="",V1263=""),"",U1263+V1263)</f>
        <v/>
      </c>
      <c r="X1263" s="25">
        <f>IF(W1263="","",U1263/W1263)</f>
        <v/>
      </c>
      <c r="Y1263" s="25">
        <f>IF(W1263="","",V1263/W1263)</f>
        <v/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19">
        <f>IF(G1264="","",E1264/G1264)</f>
        <v/>
      </c>
      <c r="I1264" s="19">
        <f>IF(G1264="","",F1264/G1264)</f>
        <v/>
      </c>
      <c r="J1264" s="26">
        <f>IFERROR(IF(OR(E1264="",INDEX(E:E,MATCH(DATE(YEAR($A1264)-1,MONTH($A1264),DAY($A1264)),$A:$A,0))=""),"",E1264/INDEX(E:E,MATCH(DATE(YEAR($A1264)-1,MONTH($A1264),DAY($A1264)),$A:$A,0))-1),"")</f>
        <v/>
      </c>
      <c r="K1264" s="19">
        <f>IFERROR(IF(OR(F1264="",INDEX(F:F,MATCH(DATE(YEAR($A1264)-1,MONTH($A1264),DAY($A1264)),$A:$A,0))=""),"",F1264/INDEX(F:F,MATCH(DATE(YEAR($A1264)-1,MONTH($A1264),DAY($A1264)),$A:$A,0))-1),"")</f>
        <v/>
      </c>
      <c r="L1264" s="19">
        <f>IFERROR(IF(OR(G1264="",INDEX(G:G,MATCH(DATE(YEAR($A1264)-1,MONTH($A1264),DAY($A1264)),$A:$A,0))=""),"",G1264/INDEX(G:G,MATCH(DATE(YEAR($A1264)-1,MONTH($A1264),DAY($A1264)),$A:$A,0))-1),"")</f>
        <v/>
      </c>
      <c r="M1264" s="19">
        <f>IF(OR(E1264="",E1263=""),"",E1264/E1263-1)</f>
        <v/>
      </c>
      <c r="N1264" s="19">
        <f>IF(OR(F1264="",F1263=""),"",F1264/F1263-1)</f>
        <v/>
      </c>
      <c r="O1264" s="19">
        <f>IF(OR(G1264="",G1263=""),"",G1264/G1263-1)</f>
        <v/>
      </c>
      <c r="P1264" s="22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IF(R1264="","",P1264/R1264)</f>
        <v/>
      </c>
      <c r="T1264" s="23">
        <f>IF(R1264="","",Q1264/R1264)</f>
        <v/>
      </c>
      <c r="U1264" s="24">
        <f>IF(SUMIFS('Daily NSE Equity Options'!$M:$M,'Daily NSE Equity Options'!$A:$A,$A1264)=0,"",SUMIFS('Daily NSE Equity Options'!$M:$M,'Daily NSE Equity Options'!$A:$A,$A1264))</f>
        <v/>
      </c>
      <c r="V1264" s="9">
        <f>IF(SUMIFS('Daily BSE Equity Options'!$M:$M,'Daily BSE Equity Options'!$A:$A,$A1264)=0,"",SUMIFS('Daily BSE Equity Options'!$M:$M,'Daily BSE Equity Options'!$A:$A,$A1264))</f>
        <v/>
      </c>
      <c r="W1264" s="9">
        <f>IF(OR(U1264="",V1264=""),"",U1264+V1264)</f>
        <v/>
      </c>
      <c r="X1264" s="25">
        <f>IF(W1264="","",U1264/W1264)</f>
        <v/>
      </c>
      <c r="Y1264" s="25">
        <f>IF(W1264="","",V1264/W1264)</f>
        <v/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19">
        <f>IF(G1265="","",E1265/G1265)</f>
        <v/>
      </c>
      <c r="I1265" s="19">
        <f>IF(G1265="","",F1265/G1265)</f>
        <v/>
      </c>
      <c r="J1265" s="26">
        <f>IFERROR(IF(OR(E1265="",INDEX(E:E,MATCH(DATE(YEAR($A1265)-1,MONTH($A1265),DAY($A1265)),$A:$A,0))=""),"",E1265/INDEX(E:E,MATCH(DATE(YEAR($A1265)-1,MONTH($A1265),DAY($A1265)),$A:$A,0))-1),"")</f>
        <v/>
      </c>
      <c r="K1265" s="19">
        <f>IFERROR(IF(OR(F1265="",INDEX(F:F,MATCH(DATE(YEAR($A1265)-1,MONTH($A1265),DAY($A1265)),$A:$A,0))=""),"",F1265/INDEX(F:F,MATCH(DATE(YEAR($A1265)-1,MONTH($A1265),DAY($A1265)),$A:$A,0))-1),"")</f>
        <v/>
      </c>
      <c r="L1265" s="19">
        <f>IFERROR(IF(OR(G1265="",INDEX(G:G,MATCH(DATE(YEAR($A1265)-1,MONTH($A1265),DAY($A1265)),$A:$A,0))=""),"",G1265/INDEX(G:G,MATCH(DATE(YEAR($A1265)-1,MONTH($A1265),DAY($A1265)),$A:$A,0))-1),"")</f>
        <v/>
      </c>
      <c r="M1265" s="19">
        <f>IF(OR(E1265="",E1264=""),"",E1265/E1264-1)</f>
        <v/>
      </c>
      <c r="N1265" s="19">
        <f>IF(OR(F1265="",F1264=""),"",F1265/F1264-1)</f>
        <v/>
      </c>
      <c r="O1265" s="19">
        <f>IF(OR(G1265="",G1264=""),"",G1265/G1264-1)</f>
        <v/>
      </c>
      <c r="P1265" s="22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IF(R1265="","",P1265/R1265)</f>
        <v/>
      </c>
      <c r="T1265" s="23">
        <f>IF(R1265="","",Q1265/R1265)</f>
        <v/>
      </c>
      <c r="U1265" s="24">
        <f>IF(SUMIFS('Daily NSE Equity Options'!$M:$M,'Daily NSE Equity Options'!$A:$A,$A1265)=0,"",SUMIFS('Daily NSE Equity Options'!$M:$M,'Daily NSE Equity Options'!$A:$A,$A1265))</f>
        <v/>
      </c>
      <c r="V1265" s="9">
        <f>IF(SUMIFS('Daily BSE Equity Options'!$M:$M,'Daily BSE Equity Options'!$A:$A,$A1265)=0,"",SUMIFS('Daily BSE Equity Options'!$M:$M,'Daily BSE Equity Options'!$A:$A,$A1265))</f>
        <v/>
      </c>
      <c r="W1265" s="9">
        <f>IF(OR(U1265="",V1265=""),"",U1265+V1265)</f>
        <v/>
      </c>
      <c r="X1265" s="25">
        <f>IF(W1265="","",U1265/W1265)</f>
        <v/>
      </c>
      <c r="Y1265" s="25">
        <f>IF(W1265="","",V1265/W1265)</f>
        <v/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19">
        <f>IF(G1266="","",E1266/G1266)</f>
        <v/>
      </c>
      <c r="I1266" s="19">
        <f>IF(G1266="","",F1266/G1266)</f>
        <v/>
      </c>
      <c r="J1266" s="26">
        <f>IFERROR(IF(OR(E1266="",INDEX(E:E,MATCH(DATE(YEAR($A1266)-1,MONTH($A1266),DAY($A1266)),$A:$A,0))=""),"",E1266/INDEX(E:E,MATCH(DATE(YEAR($A1266)-1,MONTH($A1266),DAY($A1266)),$A:$A,0))-1),"")</f>
        <v/>
      </c>
      <c r="K1266" s="19">
        <f>IFERROR(IF(OR(F1266="",INDEX(F:F,MATCH(DATE(YEAR($A1266)-1,MONTH($A1266),DAY($A1266)),$A:$A,0))=""),"",F1266/INDEX(F:F,MATCH(DATE(YEAR($A1266)-1,MONTH($A1266),DAY($A1266)),$A:$A,0))-1),"")</f>
        <v/>
      </c>
      <c r="L1266" s="19">
        <f>IFERROR(IF(OR(G1266="",INDEX(G:G,MATCH(DATE(YEAR($A1266)-1,MONTH($A1266),DAY($A1266)),$A:$A,0))=""),"",G1266/INDEX(G:G,MATCH(DATE(YEAR($A1266)-1,MONTH($A1266),DAY($A1266)),$A:$A,0))-1),"")</f>
        <v/>
      </c>
      <c r="M1266" s="19">
        <f>IF(OR(E1266="",E1265=""),"",E1266/E1265-1)</f>
        <v/>
      </c>
      <c r="N1266" s="19">
        <f>IF(OR(F1266="",F1265=""),"",F1266/F1265-1)</f>
        <v/>
      </c>
      <c r="O1266" s="19">
        <f>IF(OR(G1266="",G1265=""),"",G1266/G1265-1)</f>
        <v/>
      </c>
      <c r="P1266" s="22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IF(R1266="","",P1266/R1266)</f>
        <v/>
      </c>
      <c r="T1266" s="23">
        <f>IF(R1266="","",Q1266/R1266)</f>
        <v/>
      </c>
      <c r="U1266" s="24">
        <f>IF(SUMIFS('Daily NSE Equity Options'!$M:$M,'Daily NSE Equity Options'!$A:$A,$A1266)=0,"",SUMIFS('Daily NSE Equity Options'!$M:$M,'Daily NSE Equity Options'!$A:$A,$A1266))</f>
        <v/>
      </c>
      <c r="V1266" s="9">
        <f>IF(SUMIFS('Daily BSE Equity Options'!$M:$M,'Daily BSE Equity Options'!$A:$A,$A1266)=0,"",SUMIFS('Daily BSE Equity Options'!$M:$M,'Daily BSE Equity Options'!$A:$A,$A1266))</f>
        <v/>
      </c>
      <c r="W1266" s="9">
        <f>IF(OR(U1266="",V1266=""),"",U1266+V1266)</f>
        <v/>
      </c>
      <c r="X1266" s="25">
        <f>IF(W1266="","",U1266/W1266)</f>
        <v/>
      </c>
      <c r="Y1266" s="25">
        <f>IF(W1266="","",V1266/W1266)</f>
        <v/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19">
        <f>IF(G1267="","",E1267/G1267)</f>
        <v/>
      </c>
      <c r="I1267" s="19">
        <f>IF(G1267="","",F1267/G1267)</f>
        <v/>
      </c>
      <c r="J1267" s="26">
        <f>IFERROR(IF(OR(E1267="",INDEX(E:E,MATCH(DATE(YEAR($A1267)-1,MONTH($A1267),DAY($A1267)),$A:$A,0))=""),"",E1267/INDEX(E:E,MATCH(DATE(YEAR($A1267)-1,MONTH($A1267),DAY($A1267)),$A:$A,0))-1),"")</f>
        <v/>
      </c>
      <c r="K1267" s="19">
        <f>IFERROR(IF(OR(F1267="",INDEX(F:F,MATCH(DATE(YEAR($A1267)-1,MONTH($A1267),DAY($A1267)),$A:$A,0))=""),"",F1267/INDEX(F:F,MATCH(DATE(YEAR($A1267)-1,MONTH($A1267),DAY($A1267)),$A:$A,0))-1),"")</f>
        <v/>
      </c>
      <c r="L1267" s="19">
        <f>IFERROR(IF(OR(G1267="",INDEX(G:G,MATCH(DATE(YEAR($A1267)-1,MONTH($A1267),DAY($A1267)),$A:$A,0))=""),"",G1267/INDEX(G:G,MATCH(DATE(YEAR($A1267)-1,MONTH($A1267),DAY($A1267)),$A:$A,0))-1),"")</f>
        <v/>
      </c>
      <c r="M1267" s="19">
        <f>IF(OR(E1267="",E1266=""),"",E1267/E1266-1)</f>
        <v/>
      </c>
      <c r="N1267" s="19">
        <f>IF(OR(F1267="",F1266=""),"",F1267/F1266-1)</f>
        <v/>
      </c>
      <c r="O1267" s="19">
        <f>IF(OR(G1267="",G1266=""),"",G1267/G1266-1)</f>
        <v/>
      </c>
      <c r="P1267" s="22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IF(R1267="","",P1267/R1267)</f>
        <v/>
      </c>
      <c r="T1267" s="23">
        <f>IF(R1267="","",Q1267/R1267)</f>
        <v/>
      </c>
      <c r="U1267" s="24">
        <f>IF(SUMIFS('Daily NSE Equity Options'!$M:$M,'Daily NSE Equity Options'!$A:$A,$A1267)=0,"",SUMIFS('Daily NSE Equity Options'!$M:$M,'Daily NSE Equity Options'!$A:$A,$A1267))</f>
        <v/>
      </c>
      <c r="V1267" s="9">
        <f>IF(SUMIFS('Daily BSE Equity Options'!$M:$M,'Daily BSE Equity Options'!$A:$A,$A1267)=0,"",SUMIFS('Daily BSE Equity Options'!$M:$M,'Daily BSE Equity Options'!$A:$A,$A1267))</f>
        <v/>
      </c>
      <c r="W1267" s="9">
        <f>IF(OR(U1267="",V1267=""),"",U1267+V1267)</f>
        <v/>
      </c>
      <c r="X1267" s="25">
        <f>IF(W1267="","",U1267/W1267)</f>
        <v/>
      </c>
      <c r="Y1267" s="25">
        <f>IF(W1267="","",V1267/W1267)</f>
        <v/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19">
        <f>IF(G1268="","",E1268/G1268)</f>
        <v/>
      </c>
      <c r="I1268" s="19">
        <f>IF(G1268="","",F1268/G1268)</f>
        <v/>
      </c>
      <c r="J1268" s="26">
        <f>IFERROR(IF(OR(E1268="",INDEX(E:E,MATCH(DATE(YEAR($A1268)-1,MONTH($A1268),DAY($A1268)),$A:$A,0))=""),"",E1268/INDEX(E:E,MATCH(DATE(YEAR($A1268)-1,MONTH($A1268),DAY($A1268)),$A:$A,0))-1),"")</f>
        <v/>
      </c>
      <c r="K1268" s="19">
        <f>IFERROR(IF(OR(F1268="",INDEX(F:F,MATCH(DATE(YEAR($A1268)-1,MONTH($A1268),DAY($A1268)),$A:$A,0))=""),"",F1268/INDEX(F:F,MATCH(DATE(YEAR($A1268)-1,MONTH($A1268),DAY($A1268)),$A:$A,0))-1),"")</f>
        <v/>
      </c>
      <c r="L1268" s="19">
        <f>IFERROR(IF(OR(G1268="",INDEX(G:G,MATCH(DATE(YEAR($A1268)-1,MONTH($A1268),DAY($A1268)),$A:$A,0))=""),"",G1268/INDEX(G:G,MATCH(DATE(YEAR($A1268)-1,MONTH($A1268),DAY($A1268)),$A:$A,0))-1),"")</f>
        <v/>
      </c>
      <c r="M1268" s="19">
        <f>IF(OR(E1268="",E1267=""),"",E1268/E1267-1)</f>
        <v/>
      </c>
      <c r="N1268" s="19">
        <f>IF(OR(F1268="",F1267=""),"",F1268/F1267-1)</f>
        <v/>
      </c>
      <c r="O1268" s="19">
        <f>IF(OR(G1268="",G1267=""),"",G1268/G1267-1)</f>
        <v/>
      </c>
      <c r="P1268" s="22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IF(R1268="","",P1268/R1268)</f>
        <v/>
      </c>
      <c r="T1268" s="23">
        <f>IF(R1268="","",Q1268/R1268)</f>
        <v/>
      </c>
      <c r="U1268" s="24">
        <f>IF(SUMIFS('Daily NSE Equity Options'!$M:$M,'Daily NSE Equity Options'!$A:$A,$A1268)=0,"",SUMIFS('Daily NSE Equity Options'!$M:$M,'Daily NSE Equity Options'!$A:$A,$A1268))</f>
        <v/>
      </c>
      <c r="V1268" s="9">
        <f>IF(SUMIFS('Daily BSE Equity Options'!$M:$M,'Daily BSE Equity Options'!$A:$A,$A1268)=0,"",SUMIFS('Daily BSE Equity Options'!$M:$M,'Daily BSE Equity Options'!$A:$A,$A1268))</f>
        <v/>
      </c>
      <c r="W1268" s="9">
        <f>IF(OR(U1268="",V1268=""),"",U1268+V1268)</f>
        <v/>
      </c>
      <c r="X1268" s="25">
        <f>IF(W1268="","",U1268/W1268)</f>
        <v/>
      </c>
      <c r="Y1268" s="25">
        <f>IF(W1268="","",V1268/W1268)</f>
        <v/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19">
        <f>IF(G1269="","",E1269/G1269)</f>
        <v/>
      </c>
      <c r="I1269" s="19">
        <f>IF(G1269="","",F1269/G1269)</f>
        <v/>
      </c>
      <c r="J1269" s="26">
        <f>IFERROR(IF(OR(E1269="",INDEX(E:E,MATCH(DATE(YEAR($A1269)-1,MONTH($A1269),DAY($A1269)),$A:$A,0))=""),"",E1269/INDEX(E:E,MATCH(DATE(YEAR($A1269)-1,MONTH($A1269),DAY($A1269)),$A:$A,0))-1),"")</f>
        <v/>
      </c>
      <c r="K1269" s="19">
        <f>IFERROR(IF(OR(F1269="",INDEX(F:F,MATCH(DATE(YEAR($A1269)-1,MONTH($A1269),DAY($A1269)),$A:$A,0))=""),"",F1269/INDEX(F:F,MATCH(DATE(YEAR($A1269)-1,MONTH($A1269),DAY($A1269)),$A:$A,0))-1),"")</f>
        <v/>
      </c>
      <c r="L1269" s="19">
        <f>IFERROR(IF(OR(G1269="",INDEX(G:G,MATCH(DATE(YEAR($A1269)-1,MONTH($A1269),DAY($A1269)),$A:$A,0))=""),"",G1269/INDEX(G:G,MATCH(DATE(YEAR($A1269)-1,MONTH($A1269),DAY($A1269)),$A:$A,0))-1),"")</f>
        <v/>
      </c>
      <c r="M1269" s="19">
        <f>IF(OR(E1269="",E1268=""),"",E1269/E1268-1)</f>
        <v/>
      </c>
      <c r="N1269" s="19">
        <f>IF(OR(F1269="",F1268=""),"",F1269/F1268-1)</f>
        <v/>
      </c>
      <c r="O1269" s="19">
        <f>IF(OR(G1269="",G1268=""),"",G1269/G1268-1)</f>
        <v/>
      </c>
      <c r="P1269" s="22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IF(R1269="","",P1269/R1269)</f>
        <v/>
      </c>
      <c r="T1269" s="23">
        <f>IF(R1269="","",Q1269/R1269)</f>
        <v/>
      </c>
      <c r="U1269" s="24">
        <f>IF(SUMIFS('Daily NSE Equity Options'!$M:$M,'Daily NSE Equity Options'!$A:$A,$A1269)=0,"",SUMIFS('Daily NSE Equity Options'!$M:$M,'Daily NSE Equity Options'!$A:$A,$A1269))</f>
        <v/>
      </c>
      <c r="V1269" s="9">
        <f>IF(SUMIFS('Daily BSE Equity Options'!$M:$M,'Daily BSE Equity Options'!$A:$A,$A1269)=0,"",SUMIFS('Daily BSE Equity Options'!$M:$M,'Daily BSE Equity Options'!$A:$A,$A1269))</f>
        <v/>
      </c>
      <c r="W1269" s="9">
        <f>IF(OR(U1269="",V1269=""),"",U1269+V1269)</f>
        <v/>
      </c>
      <c r="X1269" s="25">
        <f>IF(W1269="","",U1269/W1269)</f>
        <v/>
      </c>
      <c r="Y1269" s="25">
        <f>IF(W1269="","",V1269/W1269)</f>
        <v/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19">
        <f>IF(G1270="","",E1270/G1270)</f>
        <v/>
      </c>
      <c r="I1270" s="19">
        <f>IF(G1270="","",F1270/G1270)</f>
        <v/>
      </c>
      <c r="J1270" s="26">
        <f>IFERROR(IF(OR(E1270="",INDEX(E:E,MATCH(DATE(YEAR($A1270)-1,MONTH($A1270),DAY($A1270)),$A:$A,0))=""),"",E1270/INDEX(E:E,MATCH(DATE(YEAR($A1270)-1,MONTH($A1270),DAY($A1270)),$A:$A,0))-1),"")</f>
        <v/>
      </c>
      <c r="K1270" s="19">
        <f>IFERROR(IF(OR(F1270="",INDEX(F:F,MATCH(DATE(YEAR($A1270)-1,MONTH($A1270),DAY($A1270)),$A:$A,0))=""),"",F1270/INDEX(F:F,MATCH(DATE(YEAR($A1270)-1,MONTH($A1270),DAY($A1270)),$A:$A,0))-1),"")</f>
        <v/>
      </c>
      <c r="L1270" s="19">
        <f>IFERROR(IF(OR(G1270="",INDEX(G:G,MATCH(DATE(YEAR($A1270)-1,MONTH($A1270),DAY($A1270)),$A:$A,0))=""),"",G1270/INDEX(G:G,MATCH(DATE(YEAR($A1270)-1,MONTH($A1270),DAY($A1270)),$A:$A,0))-1),"")</f>
        <v/>
      </c>
      <c r="M1270" s="19">
        <f>IF(OR(E1270="",E1269=""),"",E1270/E1269-1)</f>
        <v/>
      </c>
      <c r="N1270" s="19">
        <f>IF(OR(F1270="",F1269=""),"",F1270/F1269-1)</f>
        <v/>
      </c>
      <c r="O1270" s="19">
        <f>IF(OR(G1270="",G1269=""),"",G1270/G1269-1)</f>
        <v/>
      </c>
      <c r="P1270" s="22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IF(R1270="","",P1270/R1270)</f>
        <v/>
      </c>
      <c r="T1270" s="23">
        <f>IF(R1270="","",Q1270/R1270)</f>
        <v/>
      </c>
      <c r="U1270" s="24">
        <f>IF(SUMIFS('Daily NSE Equity Options'!$M:$M,'Daily NSE Equity Options'!$A:$A,$A1270)=0,"",SUMIFS('Daily NSE Equity Options'!$M:$M,'Daily NSE Equity Options'!$A:$A,$A1270))</f>
        <v/>
      </c>
      <c r="V1270" s="9">
        <f>IF(SUMIFS('Daily BSE Equity Options'!$M:$M,'Daily BSE Equity Options'!$A:$A,$A1270)=0,"",SUMIFS('Daily BSE Equity Options'!$M:$M,'Daily BSE Equity Options'!$A:$A,$A1270))</f>
        <v/>
      </c>
      <c r="W1270" s="9">
        <f>IF(OR(U1270="",V1270=""),"",U1270+V1270)</f>
        <v/>
      </c>
      <c r="X1270" s="25">
        <f>IF(W1270="","",U1270/W1270)</f>
        <v/>
      </c>
      <c r="Y1270" s="25">
        <f>IF(W1270="","",V1270/W1270)</f>
        <v/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19">
        <f>IF(G1271="","",E1271/G1271)</f>
        <v/>
      </c>
      <c r="I1271" s="19">
        <f>IF(G1271="","",F1271/G1271)</f>
        <v/>
      </c>
      <c r="J1271" s="26">
        <f>IFERROR(IF(OR(E1271="",INDEX(E:E,MATCH(DATE(YEAR($A1271)-1,MONTH($A1271),DAY($A1271)),$A:$A,0))=""),"",E1271/INDEX(E:E,MATCH(DATE(YEAR($A1271)-1,MONTH($A1271),DAY($A1271)),$A:$A,0))-1),"")</f>
        <v/>
      </c>
      <c r="K1271" s="19">
        <f>IFERROR(IF(OR(F1271="",INDEX(F:F,MATCH(DATE(YEAR($A1271)-1,MONTH($A1271),DAY($A1271)),$A:$A,0))=""),"",F1271/INDEX(F:F,MATCH(DATE(YEAR($A1271)-1,MONTH($A1271),DAY($A1271)),$A:$A,0))-1),"")</f>
        <v/>
      </c>
      <c r="L1271" s="19">
        <f>IFERROR(IF(OR(G1271="",INDEX(G:G,MATCH(DATE(YEAR($A1271)-1,MONTH($A1271),DAY($A1271)),$A:$A,0))=""),"",G1271/INDEX(G:G,MATCH(DATE(YEAR($A1271)-1,MONTH($A1271),DAY($A1271)),$A:$A,0))-1),"")</f>
        <v/>
      </c>
      <c r="M1271" s="19">
        <f>IF(OR(E1271="",E1270=""),"",E1271/E1270-1)</f>
        <v/>
      </c>
      <c r="N1271" s="19">
        <f>IF(OR(F1271="",F1270=""),"",F1271/F1270-1)</f>
        <v/>
      </c>
      <c r="O1271" s="19">
        <f>IF(OR(G1271="",G1270=""),"",G1271/G1270-1)</f>
        <v/>
      </c>
      <c r="P1271" s="22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IF(R1271="","",P1271/R1271)</f>
        <v/>
      </c>
      <c r="T1271" s="23">
        <f>IF(R1271="","",Q1271/R1271)</f>
        <v/>
      </c>
      <c r="U1271" s="24">
        <f>IF(SUMIFS('Daily NSE Equity Options'!$M:$M,'Daily NSE Equity Options'!$A:$A,$A1271)=0,"",SUMIFS('Daily NSE Equity Options'!$M:$M,'Daily NSE Equity Options'!$A:$A,$A1271))</f>
        <v/>
      </c>
      <c r="V1271" s="9">
        <f>IF(SUMIFS('Daily BSE Equity Options'!$M:$M,'Daily BSE Equity Options'!$A:$A,$A1271)=0,"",SUMIFS('Daily BSE Equity Options'!$M:$M,'Daily BSE Equity Options'!$A:$A,$A1271))</f>
        <v/>
      </c>
      <c r="W1271" s="9">
        <f>IF(OR(U1271="",V1271=""),"",U1271+V1271)</f>
        <v/>
      </c>
      <c r="X1271" s="25">
        <f>IF(W1271="","",U1271/W1271)</f>
        <v/>
      </c>
      <c r="Y1271" s="25">
        <f>IF(W1271="","",V1271/W1271)</f>
        <v/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19">
        <f>IF(G1272="","",E1272/G1272)</f>
        <v/>
      </c>
      <c r="I1272" s="19">
        <f>IF(G1272="","",F1272/G1272)</f>
        <v/>
      </c>
      <c r="J1272" s="26">
        <f>IFERROR(IF(OR(E1272="",INDEX(E:E,MATCH(DATE(YEAR($A1272)-1,MONTH($A1272),DAY($A1272)),$A:$A,0))=""),"",E1272/INDEX(E:E,MATCH(DATE(YEAR($A1272)-1,MONTH($A1272),DAY($A1272)),$A:$A,0))-1),"")</f>
        <v/>
      </c>
      <c r="K1272" s="19">
        <f>IFERROR(IF(OR(F1272="",INDEX(F:F,MATCH(DATE(YEAR($A1272)-1,MONTH($A1272),DAY($A1272)),$A:$A,0))=""),"",F1272/INDEX(F:F,MATCH(DATE(YEAR($A1272)-1,MONTH($A1272),DAY($A1272)),$A:$A,0))-1),"")</f>
        <v/>
      </c>
      <c r="L1272" s="19">
        <f>IFERROR(IF(OR(G1272="",INDEX(G:G,MATCH(DATE(YEAR($A1272)-1,MONTH($A1272),DAY($A1272)),$A:$A,0))=""),"",G1272/INDEX(G:G,MATCH(DATE(YEAR($A1272)-1,MONTH($A1272),DAY($A1272)),$A:$A,0))-1),"")</f>
        <v/>
      </c>
      <c r="M1272" s="19">
        <f>IF(OR(E1272="",E1271=""),"",E1272/E1271-1)</f>
        <v/>
      </c>
      <c r="N1272" s="19">
        <f>IF(OR(F1272="",F1271=""),"",F1272/F1271-1)</f>
        <v/>
      </c>
      <c r="O1272" s="19">
        <f>IF(OR(G1272="",G1271=""),"",G1272/G1271-1)</f>
        <v/>
      </c>
      <c r="P1272" s="22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IF(R1272="","",P1272/R1272)</f>
        <v/>
      </c>
      <c r="T1272" s="23">
        <f>IF(R1272="","",Q1272/R1272)</f>
        <v/>
      </c>
      <c r="U1272" s="24">
        <f>IF(SUMIFS('Daily NSE Equity Options'!$M:$M,'Daily NSE Equity Options'!$A:$A,$A1272)=0,"",SUMIFS('Daily NSE Equity Options'!$M:$M,'Daily NSE Equity Options'!$A:$A,$A1272))</f>
        <v/>
      </c>
      <c r="V1272" s="9">
        <f>IF(SUMIFS('Daily BSE Equity Options'!$M:$M,'Daily BSE Equity Options'!$A:$A,$A1272)=0,"",SUMIFS('Daily BSE Equity Options'!$M:$M,'Daily BSE Equity Options'!$A:$A,$A1272))</f>
        <v/>
      </c>
      <c r="W1272" s="9">
        <f>IF(OR(U1272="",V1272=""),"",U1272+V1272)</f>
        <v/>
      </c>
      <c r="X1272" s="25">
        <f>IF(W1272="","",U1272/W1272)</f>
        <v/>
      </c>
      <c r="Y1272" s="25">
        <f>IF(W1272="","",V1272/W1272)</f>
        <v/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19">
        <f>IF(G1273="","",E1273/G1273)</f>
        <v/>
      </c>
      <c r="I1273" s="19">
        <f>IF(G1273="","",F1273/G1273)</f>
        <v/>
      </c>
      <c r="J1273" s="26">
        <f>IFERROR(IF(OR(E1273="",INDEX(E:E,MATCH(DATE(YEAR($A1273)-1,MONTH($A1273),DAY($A1273)),$A:$A,0))=""),"",E1273/INDEX(E:E,MATCH(DATE(YEAR($A1273)-1,MONTH($A1273),DAY($A1273)),$A:$A,0))-1),"")</f>
        <v/>
      </c>
      <c r="K1273" s="19">
        <f>IFERROR(IF(OR(F1273="",INDEX(F:F,MATCH(DATE(YEAR($A1273)-1,MONTH($A1273),DAY($A1273)),$A:$A,0))=""),"",F1273/INDEX(F:F,MATCH(DATE(YEAR($A1273)-1,MONTH($A1273),DAY($A1273)),$A:$A,0))-1),"")</f>
        <v/>
      </c>
      <c r="L1273" s="19">
        <f>IFERROR(IF(OR(G1273="",INDEX(G:G,MATCH(DATE(YEAR($A1273)-1,MONTH($A1273),DAY($A1273)),$A:$A,0))=""),"",G1273/INDEX(G:G,MATCH(DATE(YEAR($A1273)-1,MONTH($A1273),DAY($A1273)),$A:$A,0))-1),"")</f>
        <v/>
      </c>
      <c r="M1273" s="19">
        <f>IF(OR(E1273="",E1272=""),"",E1273/E1272-1)</f>
        <v/>
      </c>
      <c r="N1273" s="19">
        <f>IF(OR(F1273="",F1272=""),"",F1273/F1272-1)</f>
        <v/>
      </c>
      <c r="O1273" s="19">
        <f>IF(OR(G1273="",G1272=""),"",G1273/G1272-1)</f>
        <v/>
      </c>
      <c r="P1273" s="22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IF(R1273="","",P1273/R1273)</f>
        <v/>
      </c>
      <c r="T1273" s="23">
        <f>IF(R1273="","",Q1273/R1273)</f>
        <v/>
      </c>
      <c r="U1273" s="24">
        <f>IF(SUMIFS('Daily NSE Equity Options'!$M:$M,'Daily NSE Equity Options'!$A:$A,$A1273)=0,"",SUMIFS('Daily NSE Equity Options'!$M:$M,'Daily NSE Equity Options'!$A:$A,$A1273))</f>
        <v/>
      </c>
      <c r="V1273" s="9">
        <f>IF(SUMIFS('Daily BSE Equity Options'!$M:$M,'Daily BSE Equity Options'!$A:$A,$A1273)=0,"",SUMIFS('Daily BSE Equity Options'!$M:$M,'Daily BSE Equity Options'!$A:$A,$A1273))</f>
        <v/>
      </c>
      <c r="W1273" s="9">
        <f>IF(OR(U1273="",V1273=""),"",U1273+V1273)</f>
        <v/>
      </c>
      <c r="X1273" s="25">
        <f>IF(W1273="","",U1273/W1273)</f>
        <v/>
      </c>
      <c r="Y1273" s="25">
        <f>IF(W1273="","",V1273/W1273)</f>
        <v/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19">
        <f>IF(G1274="","",E1274/G1274)</f>
        <v/>
      </c>
      <c r="I1274" s="19">
        <f>IF(G1274="","",F1274/G1274)</f>
        <v/>
      </c>
      <c r="J1274" s="26">
        <f>IFERROR(IF(OR(E1274="",INDEX(E:E,MATCH(DATE(YEAR($A1274)-1,MONTH($A1274),DAY($A1274)),$A:$A,0))=""),"",E1274/INDEX(E:E,MATCH(DATE(YEAR($A1274)-1,MONTH($A1274),DAY($A1274)),$A:$A,0))-1),"")</f>
        <v/>
      </c>
      <c r="K1274" s="19">
        <f>IFERROR(IF(OR(F1274="",INDEX(F:F,MATCH(DATE(YEAR($A1274)-1,MONTH($A1274),DAY($A1274)),$A:$A,0))=""),"",F1274/INDEX(F:F,MATCH(DATE(YEAR($A1274)-1,MONTH($A1274),DAY($A1274)),$A:$A,0))-1),"")</f>
        <v/>
      </c>
      <c r="L1274" s="19">
        <f>IFERROR(IF(OR(G1274="",INDEX(G:G,MATCH(DATE(YEAR($A1274)-1,MONTH($A1274),DAY($A1274)),$A:$A,0))=""),"",G1274/INDEX(G:G,MATCH(DATE(YEAR($A1274)-1,MONTH($A1274),DAY($A1274)),$A:$A,0))-1),"")</f>
        <v/>
      </c>
      <c r="M1274" s="19">
        <f>IF(OR(E1274="",E1273=""),"",E1274/E1273-1)</f>
        <v/>
      </c>
      <c r="N1274" s="19">
        <f>IF(OR(F1274="",F1273=""),"",F1274/F1273-1)</f>
        <v/>
      </c>
      <c r="O1274" s="19">
        <f>IF(OR(G1274="",G1273=""),"",G1274/G1273-1)</f>
        <v/>
      </c>
      <c r="P1274" s="22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IF(R1274="","",P1274/R1274)</f>
        <v/>
      </c>
      <c r="T1274" s="23">
        <f>IF(R1274="","",Q1274/R1274)</f>
        <v/>
      </c>
      <c r="U1274" s="24">
        <f>IF(SUMIFS('Daily NSE Equity Options'!$M:$M,'Daily NSE Equity Options'!$A:$A,$A1274)=0,"",SUMIFS('Daily NSE Equity Options'!$M:$M,'Daily NSE Equity Options'!$A:$A,$A1274))</f>
        <v/>
      </c>
      <c r="V1274" s="9">
        <f>IF(SUMIFS('Daily BSE Equity Options'!$M:$M,'Daily BSE Equity Options'!$A:$A,$A1274)=0,"",SUMIFS('Daily BSE Equity Options'!$M:$M,'Daily BSE Equity Options'!$A:$A,$A1274))</f>
        <v/>
      </c>
      <c r="W1274" s="9">
        <f>IF(OR(U1274="",V1274=""),"",U1274+V1274)</f>
        <v/>
      </c>
      <c r="X1274" s="25">
        <f>IF(W1274="","",U1274/W1274)</f>
        <v/>
      </c>
      <c r="Y1274" s="25">
        <f>IF(W1274="","",V1274/W1274)</f>
        <v/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19">
        <f>IF(G1275="","",E1275/G1275)</f>
        <v/>
      </c>
      <c r="I1275" s="19">
        <f>IF(G1275="","",F1275/G1275)</f>
        <v/>
      </c>
      <c r="J1275" s="26">
        <f>IFERROR(IF(OR(E1275="",INDEX(E:E,MATCH(DATE(YEAR($A1275)-1,MONTH($A1275),DAY($A1275)),$A:$A,0))=""),"",E1275/INDEX(E:E,MATCH(DATE(YEAR($A1275)-1,MONTH($A1275),DAY($A1275)),$A:$A,0))-1),"")</f>
        <v/>
      </c>
      <c r="K1275" s="19">
        <f>IFERROR(IF(OR(F1275="",INDEX(F:F,MATCH(DATE(YEAR($A1275)-1,MONTH($A1275),DAY($A1275)),$A:$A,0))=""),"",F1275/INDEX(F:F,MATCH(DATE(YEAR($A1275)-1,MONTH($A1275),DAY($A1275)),$A:$A,0))-1),"")</f>
        <v/>
      </c>
      <c r="L1275" s="19">
        <f>IFERROR(IF(OR(G1275="",INDEX(G:G,MATCH(DATE(YEAR($A1275)-1,MONTH($A1275),DAY($A1275)),$A:$A,0))=""),"",G1275/INDEX(G:G,MATCH(DATE(YEAR($A1275)-1,MONTH($A1275),DAY($A1275)),$A:$A,0))-1),"")</f>
        <v/>
      </c>
      <c r="M1275" s="19">
        <f>IF(OR(E1275="",E1274=""),"",E1275/E1274-1)</f>
        <v/>
      </c>
      <c r="N1275" s="19">
        <f>IF(OR(F1275="",F1274=""),"",F1275/F1274-1)</f>
        <v/>
      </c>
      <c r="O1275" s="19">
        <f>IF(OR(G1275="",G1274=""),"",G1275/G1274-1)</f>
        <v/>
      </c>
      <c r="P1275" s="22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IF(R1275="","",P1275/R1275)</f>
        <v/>
      </c>
      <c r="T1275" s="23">
        <f>IF(R1275="","",Q1275/R1275)</f>
        <v/>
      </c>
      <c r="U1275" s="24">
        <f>IF(SUMIFS('Daily NSE Equity Options'!$M:$M,'Daily NSE Equity Options'!$A:$A,$A1275)=0,"",SUMIFS('Daily NSE Equity Options'!$M:$M,'Daily NSE Equity Options'!$A:$A,$A1275))</f>
        <v/>
      </c>
      <c r="V1275" s="9">
        <f>IF(SUMIFS('Daily BSE Equity Options'!$M:$M,'Daily BSE Equity Options'!$A:$A,$A1275)=0,"",SUMIFS('Daily BSE Equity Options'!$M:$M,'Daily BSE Equity Options'!$A:$A,$A1275))</f>
        <v/>
      </c>
      <c r="W1275" s="9">
        <f>IF(OR(U1275="",V1275=""),"",U1275+V1275)</f>
        <v/>
      </c>
      <c r="X1275" s="25">
        <f>IF(W1275="","",U1275/W1275)</f>
        <v/>
      </c>
      <c r="Y1275" s="25">
        <f>IF(W1275="","",V1275/W1275)</f>
        <v/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19">
        <f>IF(G1276="","",E1276/G1276)</f>
        <v/>
      </c>
      <c r="I1276" s="19">
        <f>IF(G1276="","",F1276/G1276)</f>
        <v/>
      </c>
      <c r="J1276" s="26">
        <f>IFERROR(IF(OR(E1276="",INDEX(E:E,MATCH(DATE(YEAR($A1276)-1,MONTH($A1276),DAY($A1276)),$A:$A,0))=""),"",E1276/INDEX(E:E,MATCH(DATE(YEAR($A1276)-1,MONTH($A1276),DAY($A1276)),$A:$A,0))-1),"")</f>
        <v/>
      </c>
      <c r="K1276" s="19">
        <f>IFERROR(IF(OR(F1276="",INDEX(F:F,MATCH(DATE(YEAR($A1276)-1,MONTH($A1276),DAY($A1276)),$A:$A,0))=""),"",F1276/INDEX(F:F,MATCH(DATE(YEAR($A1276)-1,MONTH($A1276),DAY($A1276)),$A:$A,0))-1),"")</f>
        <v/>
      </c>
      <c r="L1276" s="19">
        <f>IFERROR(IF(OR(G1276="",INDEX(G:G,MATCH(DATE(YEAR($A1276)-1,MONTH($A1276),DAY($A1276)),$A:$A,0))=""),"",G1276/INDEX(G:G,MATCH(DATE(YEAR($A1276)-1,MONTH($A1276),DAY($A1276)),$A:$A,0))-1),"")</f>
        <v/>
      </c>
      <c r="M1276" s="19">
        <f>IF(OR(E1276="",E1275=""),"",E1276/E1275-1)</f>
        <v/>
      </c>
      <c r="N1276" s="19">
        <f>IF(OR(F1276="",F1275=""),"",F1276/F1275-1)</f>
        <v/>
      </c>
      <c r="O1276" s="19">
        <f>IF(OR(G1276="",G1275=""),"",G1276/G1275-1)</f>
        <v/>
      </c>
      <c r="P1276" s="22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IF(R1276="","",P1276/R1276)</f>
        <v/>
      </c>
      <c r="T1276" s="23">
        <f>IF(R1276="","",Q1276/R1276)</f>
        <v/>
      </c>
      <c r="U1276" s="24">
        <f>IF(SUMIFS('Daily NSE Equity Options'!$M:$M,'Daily NSE Equity Options'!$A:$A,$A1276)=0,"",SUMIFS('Daily NSE Equity Options'!$M:$M,'Daily NSE Equity Options'!$A:$A,$A1276))</f>
        <v/>
      </c>
      <c r="V1276" s="9">
        <f>IF(SUMIFS('Daily BSE Equity Options'!$M:$M,'Daily BSE Equity Options'!$A:$A,$A1276)=0,"",SUMIFS('Daily BSE Equity Options'!$M:$M,'Daily BSE Equity Options'!$A:$A,$A1276))</f>
        <v/>
      </c>
      <c r="W1276" s="9">
        <f>IF(OR(U1276="",V1276=""),"",U1276+V1276)</f>
        <v/>
      </c>
      <c r="X1276" s="25">
        <f>IF(W1276="","",U1276/W1276)</f>
        <v/>
      </c>
      <c r="Y1276" s="25">
        <f>IF(W1276="","",V1276/W1276)</f>
        <v/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19">
        <f>IF(G1277="","",E1277/G1277)</f>
        <v/>
      </c>
      <c r="I1277" s="19">
        <f>IF(G1277="","",F1277/G1277)</f>
        <v/>
      </c>
      <c r="J1277" s="26">
        <f>IFERROR(IF(OR(E1277="",INDEX(E:E,MATCH(DATE(YEAR($A1277)-1,MONTH($A1277),DAY($A1277)),$A:$A,0))=""),"",E1277/INDEX(E:E,MATCH(DATE(YEAR($A1277)-1,MONTH($A1277),DAY($A1277)),$A:$A,0))-1),"")</f>
        <v/>
      </c>
      <c r="K1277" s="19">
        <f>IFERROR(IF(OR(F1277="",INDEX(F:F,MATCH(DATE(YEAR($A1277)-1,MONTH($A1277),DAY($A1277)),$A:$A,0))=""),"",F1277/INDEX(F:F,MATCH(DATE(YEAR($A1277)-1,MONTH($A1277),DAY($A1277)),$A:$A,0))-1),"")</f>
        <v/>
      </c>
      <c r="L1277" s="19">
        <f>IFERROR(IF(OR(G1277="",INDEX(G:G,MATCH(DATE(YEAR($A1277)-1,MONTH($A1277),DAY($A1277)),$A:$A,0))=""),"",G1277/INDEX(G:G,MATCH(DATE(YEAR($A1277)-1,MONTH($A1277),DAY($A1277)),$A:$A,0))-1),"")</f>
        <v/>
      </c>
      <c r="M1277" s="19">
        <f>IF(OR(E1277="",E1276=""),"",E1277/E1276-1)</f>
        <v/>
      </c>
      <c r="N1277" s="19">
        <f>IF(OR(F1277="",F1276=""),"",F1277/F1276-1)</f>
        <v/>
      </c>
      <c r="O1277" s="19">
        <f>IF(OR(G1277="",G1276=""),"",G1277/G1276-1)</f>
        <v/>
      </c>
      <c r="P1277" s="22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IF(R1277="","",P1277/R1277)</f>
        <v/>
      </c>
      <c r="T1277" s="23">
        <f>IF(R1277="","",Q1277/R1277)</f>
        <v/>
      </c>
      <c r="U1277" s="24">
        <f>IF(SUMIFS('Daily NSE Equity Options'!$M:$M,'Daily NSE Equity Options'!$A:$A,$A1277)=0,"",SUMIFS('Daily NSE Equity Options'!$M:$M,'Daily NSE Equity Options'!$A:$A,$A1277))</f>
        <v/>
      </c>
      <c r="V1277" s="9">
        <f>IF(SUMIFS('Daily BSE Equity Options'!$M:$M,'Daily BSE Equity Options'!$A:$A,$A1277)=0,"",SUMIFS('Daily BSE Equity Options'!$M:$M,'Daily BSE Equity Options'!$A:$A,$A1277))</f>
        <v/>
      </c>
      <c r="W1277" s="9">
        <f>IF(OR(U1277="",V1277=""),"",U1277+V1277)</f>
        <v/>
      </c>
      <c r="X1277" s="25">
        <f>IF(W1277="","",U1277/W1277)</f>
        <v/>
      </c>
      <c r="Y1277" s="25">
        <f>IF(W1277="","",V1277/W1277)</f>
        <v/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19">
        <f>IF(G1278="","",E1278/G1278)</f>
        <v/>
      </c>
      <c r="I1278" s="19">
        <f>IF(G1278="","",F1278/G1278)</f>
        <v/>
      </c>
      <c r="J1278" s="26">
        <f>IFERROR(IF(OR(E1278="",INDEX(E:E,MATCH(DATE(YEAR($A1278)-1,MONTH($A1278),DAY($A1278)),$A:$A,0))=""),"",E1278/INDEX(E:E,MATCH(DATE(YEAR($A1278)-1,MONTH($A1278),DAY($A1278)),$A:$A,0))-1),"")</f>
        <v/>
      </c>
      <c r="K1278" s="19">
        <f>IFERROR(IF(OR(F1278="",INDEX(F:F,MATCH(DATE(YEAR($A1278)-1,MONTH($A1278),DAY($A1278)),$A:$A,0))=""),"",F1278/INDEX(F:F,MATCH(DATE(YEAR($A1278)-1,MONTH($A1278),DAY($A1278)),$A:$A,0))-1),"")</f>
        <v/>
      </c>
      <c r="L1278" s="19">
        <f>IFERROR(IF(OR(G1278="",INDEX(G:G,MATCH(DATE(YEAR($A1278)-1,MONTH($A1278),DAY($A1278)),$A:$A,0))=""),"",G1278/INDEX(G:G,MATCH(DATE(YEAR($A1278)-1,MONTH($A1278),DAY($A1278)),$A:$A,0))-1),"")</f>
        <v/>
      </c>
      <c r="M1278" s="19">
        <f>IF(OR(E1278="",E1277=""),"",E1278/E1277-1)</f>
        <v/>
      </c>
      <c r="N1278" s="19">
        <f>IF(OR(F1278="",F1277=""),"",F1278/F1277-1)</f>
        <v/>
      </c>
      <c r="O1278" s="19">
        <f>IF(OR(G1278="",G1277=""),"",G1278/G1277-1)</f>
        <v/>
      </c>
      <c r="P1278" s="22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IF(R1278="","",P1278/R1278)</f>
        <v/>
      </c>
      <c r="T1278" s="23">
        <f>IF(R1278="","",Q1278/R1278)</f>
        <v/>
      </c>
      <c r="U1278" s="24">
        <f>IF(SUMIFS('Daily NSE Equity Options'!$M:$M,'Daily NSE Equity Options'!$A:$A,$A1278)=0,"",SUMIFS('Daily NSE Equity Options'!$M:$M,'Daily NSE Equity Options'!$A:$A,$A1278))</f>
        <v/>
      </c>
      <c r="V1278" s="9">
        <f>IF(SUMIFS('Daily BSE Equity Options'!$M:$M,'Daily BSE Equity Options'!$A:$A,$A1278)=0,"",SUMIFS('Daily BSE Equity Options'!$M:$M,'Daily BSE Equity Options'!$A:$A,$A1278))</f>
        <v/>
      </c>
      <c r="W1278" s="9">
        <f>IF(OR(U1278="",V1278=""),"",U1278+V1278)</f>
        <v/>
      </c>
      <c r="X1278" s="25">
        <f>IF(W1278="","",U1278/W1278)</f>
        <v/>
      </c>
      <c r="Y1278" s="25">
        <f>IF(W1278="","",V1278/W1278)</f>
        <v/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19">
        <f>IF(G1279="","",E1279/G1279)</f>
        <v/>
      </c>
      <c r="I1279" s="19">
        <f>IF(G1279="","",F1279/G1279)</f>
        <v/>
      </c>
      <c r="J1279" s="26">
        <f>IFERROR(IF(OR(E1279="",INDEX(E:E,MATCH(DATE(YEAR($A1279)-1,MONTH($A1279),DAY($A1279)),$A:$A,0))=""),"",E1279/INDEX(E:E,MATCH(DATE(YEAR($A1279)-1,MONTH($A1279),DAY($A1279)),$A:$A,0))-1),"")</f>
        <v/>
      </c>
      <c r="K1279" s="19">
        <f>IFERROR(IF(OR(F1279="",INDEX(F:F,MATCH(DATE(YEAR($A1279)-1,MONTH($A1279),DAY($A1279)),$A:$A,0))=""),"",F1279/INDEX(F:F,MATCH(DATE(YEAR($A1279)-1,MONTH($A1279),DAY($A1279)),$A:$A,0))-1),"")</f>
        <v/>
      </c>
      <c r="L1279" s="19">
        <f>IFERROR(IF(OR(G1279="",INDEX(G:G,MATCH(DATE(YEAR($A1279)-1,MONTH($A1279),DAY($A1279)),$A:$A,0))=""),"",G1279/INDEX(G:G,MATCH(DATE(YEAR($A1279)-1,MONTH($A1279),DAY($A1279)),$A:$A,0))-1),"")</f>
        <v/>
      </c>
      <c r="M1279" s="19">
        <f>IF(OR(E1279="",E1278=""),"",E1279/E1278-1)</f>
        <v/>
      </c>
      <c r="N1279" s="19">
        <f>IF(OR(F1279="",F1278=""),"",F1279/F1278-1)</f>
        <v/>
      </c>
      <c r="O1279" s="19">
        <f>IF(OR(G1279="",G1278=""),"",G1279/G1278-1)</f>
        <v/>
      </c>
      <c r="P1279" s="22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IF(R1279="","",P1279/R1279)</f>
        <v/>
      </c>
      <c r="T1279" s="23">
        <f>IF(R1279="","",Q1279/R1279)</f>
        <v/>
      </c>
      <c r="U1279" s="24">
        <f>IF(SUMIFS('Daily NSE Equity Options'!$M:$M,'Daily NSE Equity Options'!$A:$A,$A1279)=0,"",SUMIFS('Daily NSE Equity Options'!$M:$M,'Daily NSE Equity Options'!$A:$A,$A1279))</f>
        <v/>
      </c>
      <c r="V1279" s="9">
        <f>IF(SUMIFS('Daily BSE Equity Options'!$M:$M,'Daily BSE Equity Options'!$A:$A,$A1279)=0,"",SUMIFS('Daily BSE Equity Options'!$M:$M,'Daily BSE Equity Options'!$A:$A,$A1279))</f>
        <v/>
      </c>
      <c r="W1279" s="9">
        <f>IF(OR(U1279="",V1279=""),"",U1279+V1279)</f>
        <v/>
      </c>
      <c r="X1279" s="25">
        <f>IF(W1279="","",U1279/W1279)</f>
        <v/>
      </c>
      <c r="Y1279" s="25">
        <f>IF(W1279="","",V1279/W1279)</f>
        <v/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19">
        <f>IF(G1280="","",E1280/G1280)</f>
        <v/>
      </c>
      <c r="I1280" s="19">
        <f>IF(G1280="","",F1280/G1280)</f>
        <v/>
      </c>
      <c r="J1280" s="26">
        <f>IFERROR(IF(OR(E1280="",INDEX(E:E,MATCH(DATE(YEAR($A1280)-1,MONTH($A1280),DAY($A1280)),$A:$A,0))=""),"",E1280/INDEX(E:E,MATCH(DATE(YEAR($A1280)-1,MONTH($A1280),DAY($A1280)),$A:$A,0))-1),"")</f>
        <v/>
      </c>
      <c r="K1280" s="19">
        <f>IFERROR(IF(OR(F1280="",INDEX(F:F,MATCH(DATE(YEAR($A1280)-1,MONTH($A1280),DAY($A1280)),$A:$A,0))=""),"",F1280/INDEX(F:F,MATCH(DATE(YEAR($A1280)-1,MONTH($A1280),DAY($A1280)),$A:$A,0))-1),"")</f>
        <v/>
      </c>
      <c r="L1280" s="19">
        <f>IFERROR(IF(OR(G1280="",INDEX(G:G,MATCH(DATE(YEAR($A1280)-1,MONTH($A1280),DAY($A1280)),$A:$A,0))=""),"",G1280/INDEX(G:G,MATCH(DATE(YEAR($A1280)-1,MONTH($A1280),DAY($A1280)),$A:$A,0))-1),"")</f>
        <v/>
      </c>
      <c r="M1280" s="19">
        <f>IF(OR(E1280="",E1279=""),"",E1280/E1279-1)</f>
        <v/>
      </c>
      <c r="N1280" s="19">
        <f>IF(OR(F1280="",F1279=""),"",F1280/F1279-1)</f>
        <v/>
      </c>
      <c r="O1280" s="19">
        <f>IF(OR(G1280="",G1279=""),"",G1280/G1279-1)</f>
        <v/>
      </c>
      <c r="P1280" s="22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IF(R1280="","",P1280/R1280)</f>
        <v/>
      </c>
      <c r="T1280" s="23">
        <f>IF(R1280="","",Q1280/R1280)</f>
        <v/>
      </c>
      <c r="U1280" s="24">
        <f>IF(SUMIFS('Daily NSE Equity Options'!$M:$M,'Daily NSE Equity Options'!$A:$A,$A1280)=0,"",SUMIFS('Daily NSE Equity Options'!$M:$M,'Daily NSE Equity Options'!$A:$A,$A1280))</f>
        <v/>
      </c>
      <c r="V1280" s="9">
        <f>IF(SUMIFS('Daily BSE Equity Options'!$M:$M,'Daily BSE Equity Options'!$A:$A,$A1280)=0,"",SUMIFS('Daily BSE Equity Options'!$M:$M,'Daily BSE Equity Options'!$A:$A,$A1280))</f>
        <v/>
      </c>
      <c r="W1280" s="9">
        <f>IF(OR(U1280="",V1280=""),"",U1280+V1280)</f>
        <v/>
      </c>
      <c r="X1280" s="25">
        <f>IF(W1280="","",U1280/W1280)</f>
        <v/>
      </c>
      <c r="Y1280" s="25">
        <f>IF(W1280="","",V1280/W1280)</f>
        <v/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19">
        <f>IF(G1281="","",E1281/G1281)</f>
        <v/>
      </c>
      <c r="I1281" s="19">
        <f>IF(G1281="","",F1281/G1281)</f>
        <v/>
      </c>
      <c r="J1281" s="26">
        <f>IFERROR(IF(OR(E1281="",INDEX(E:E,MATCH(DATE(YEAR($A1281)-1,MONTH($A1281),DAY($A1281)),$A:$A,0))=""),"",E1281/INDEX(E:E,MATCH(DATE(YEAR($A1281)-1,MONTH($A1281),DAY($A1281)),$A:$A,0))-1),"")</f>
        <v/>
      </c>
      <c r="K1281" s="19">
        <f>IFERROR(IF(OR(F1281="",INDEX(F:F,MATCH(DATE(YEAR($A1281)-1,MONTH($A1281),DAY($A1281)),$A:$A,0))=""),"",F1281/INDEX(F:F,MATCH(DATE(YEAR($A1281)-1,MONTH($A1281),DAY($A1281)),$A:$A,0))-1),"")</f>
        <v/>
      </c>
      <c r="L1281" s="19">
        <f>IFERROR(IF(OR(G1281="",INDEX(G:G,MATCH(DATE(YEAR($A1281)-1,MONTH($A1281),DAY($A1281)),$A:$A,0))=""),"",G1281/INDEX(G:G,MATCH(DATE(YEAR($A1281)-1,MONTH($A1281),DAY($A1281)),$A:$A,0))-1),"")</f>
        <v/>
      </c>
      <c r="M1281" s="19">
        <f>IF(OR(E1281="",E1280=""),"",E1281/E1280-1)</f>
        <v/>
      </c>
      <c r="N1281" s="19">
        <f>IF(OR(F1281="",F1280=""),"",F1281/F1280-1)</f>
        <v/>
      </c>
      <c r="O1281" s="19">
        <f>IF(OR(G1281="",G1280=""),"",G1281/G1280-1)</f>
        <v/>
      </c>
      <c r="P1281" s="22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IF(R1281="","",P1281/R1281)</f>
        <v/>
      </c>
      <c r="T1281" s="23">
        <f>IF(R1281="","",Q1281/R1281)</f>
        <v/>
      </c>
      <c r="U1281" s="24">
        <f>IF(SUMIFS('Daily NSE Equity Options'!$M:$M,'Daily NSE Equity Options'!$A:$A,$A1281)=0,"",SUMIFS('Daily NSE Equity Options'!$M:$M,'Daily NSE Equity Options'!$A:$A,$A1281))</f>
        <v/>
      </c>
      <c r="V1281" s="9">
        <f>IF(SUMIFS('Daily BSE Equity Options'!$M:$M,'Daily BSE Equity Options'!$A:$A,$A1281)=0,"",SUMIFS('Daily BSE Equity Options'!$M:$M,'Daily BSE Equity Options'!$A:$A,$A1281))</f>
        <v/>
      </c>
      <c r="W1281" s="9">
        <f>IF(OR(U1281="",V1281=""),"",U1281+V1281)</f>
        <v/>
      </c>
      <c r="X1281" s="25">
        <f>IF(W1281="","",U1281/W1281)</f>
        <v/>
      </c>
      <c r="Y1281" s="25">
        <f>IF(W1281="","",V1281/W1281)</f>
        <v/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19">
        <f>IF(G1282="","",E1282/G1282)</f>
        <v/>
      </c>
      <c r="I1282" s="19">
        <f>IF(G1282="","",F1282/G1282)</f>
        <v/>
      </c>
      <c r="J1282" s="26">
        <f>IFERROR(IF(OR(E1282="",INDEX(E:E,MATCH(DATE(YEAR($A1282)-1,MONTH($A1282),DAY($A1282)),$A:$A,0))=""),"",E1282/INDEX(E:E,MATCH(DATE(YEAR($A1282)-1,MONTH($A1282),DAY($A1282)),$A:$A,0))-1),"")</f>
        <v/>
      </c>
      <c r="K1282" s="19">
        <f>IFERROR(IF(OR(F1282="",INDEX(F:F,MATCH(DATE(YEAR($A1282)-1,MONTH($A1282),DAY($A1282)),$A:$A,0))=""),"",F1282/INDEX(F:F,MATCH(DATE(YEAR($A1282)-1,MONTH($A1282),DAY($A1282)),$A:$A,0))-1),"")</f>
        <v/>
      </c>
      <c r="L1282" s="19">
        <f>IFERROR(IF(OR(G1282="",INDEX(G:G,MATCH(DATE(YEAR($A1282)-1,MONTH($A1282),DAY($A1282)),$A:$A,0))=""),"",G1282/INDEX(G:G,MATCH(DATE(YEAR($A1282)-1,MONTH($A1282),DAY($A1282)),$A:$A,0))-1),"")</f>
        <v/>
      </c>
      <c r="M1282" s="19">
        <f>IF(OR(E1282="",E1281=""),"",E1282/E1281-1)</f>
        <v/>
      </c>
      <c r="N1282" s="19">
        <f>IF(OR(F1282="",F1281=""),"",F1282/F1281-1)</f>
        <v/>
      </c>
      <c r="O1282" s="19">
        <f>IF(OR(G1282="",G1281=""),"",G1282/G1281-1)</f>
        <v/>
      </c>
      <c r="P1282" s="22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IF(R1282="","",P1282/R1282)</f>
        <v/>
      </c>
      <c r="T1282" s="23">
        <f>IF(R1282="","",Q1282/R1282)</f>
        <v/>
      </c>
      <c r="U1282" s="24">
        <f>IF(SUMIFS('Daily NSE Equity Options'!$M:$M,'Daily NSE Equity Options'!$A:$A,$A1282)=0,"",SUMIFS('Daily NSE Equity Options'!$M:$M,'Daily NSE Equity Options'!$A:$A,$A1282))</f>
        <v/>
      </c>
      <c r="V1282" s="9">
        <f>IF(SUMIFS('Daily BSE Equity Options'!$M:$M,'Daily BSE Equity Options'!$A:$A,$A1282)=0,"",SUMIFS('Daily BSE Equity Options'!$M:$M,'Daily BSE Equity Options'!$A:$A,$A1282))</f>
        <v/>
      </c>
      <c r="W1282" s="9">
        <f>IF(OR(U1282="",V1282=""),"",U1282+V1282)</f>
        <v/>
      </c>
      <c r="X1282" s="25">
        <f>IF(W1282="","",U1282/W1282)</f>
        <v/>
      </c>
      <c r="Y1282" s="25">
        <f>IF(W1282="","",V1282/W1282)</f>
        <v/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19">
        <f>IF(G1283="","",E1283/G1283)</f>
        <v/>
      </c>
      <c r="I1283" s="19">
        <f>IF(G1283="","",F1283/G1283)</f>
        <v/>
      </c>
      <c r="J1283" s="26">
        <f>IFERROR(IF(OR(E1283="",INDEX(E:E,MATCH(DATE(YEAR($A1283)-1,MONTH($A1283),DAY($A1283)),$A:$A,0))=""),"",E1283/INDEX(E:E,MATCH(DATE(YEAR($A1283)-1,MONTH($A1283),DAY($A1283)),$A:$A,0))-1),"")</f>
        <v/>
      </c>
      <c r="K1283" s="19">
        <f>IFERROR(IF(OR(F1283="",INDEX(F:F,MATCH(DATE(YEAR($A1283)-1,MONTH($A1283),DAY($A1283)),$A:$A,0))=""),"",F1283/INDEX(F:F,MATCH(DATE(YEAR($A1283)-1,MONTH($A1283),DAY($A1283)),$A:$A,0))-1),"")</f>
        <v/>
      </c>
      <c r="L1283" s="19">
        <f>IFERROR(IF(OR(G1283="",INDEX(G:G,MATCH(DATE(YEAR($A1283)-1,MONTH($A1283),DAY($A1283)),$A:$A,0))=""),"",G1283/INDEX(G:G,MATCH(DATE(YEAR($A1283)-1,MONTH($A1283),DAY($A1283)),$A:$A,0))-1),"")</f>
        <v/>
      </c>
      <c r="M1283" s="19">
        <f>IF(OR(E1283="",E1282=""),"",E1283/E1282-1)</f>
        <v/>
      </c>
      <c r="N1283" s="19">
        <f>IF(OR(F1283="",F1282=""),"",F1283/F1282-1)</f>
        <v/>
      </c>
      <c r="O1283" s="19">
        <f>IF(OR(G1283="",G1282=""),"",G1283/G1282-1)</f>
        <v/>
      </c>
      <c r="P1283" s="22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IF(R1283="","",P1283/R1283)</f>
        <v/>
      </c>
      <c r="T1283" s="23">
        <f>IF(R1283="","",Q1283/R1283)</f>
        <v/>
      </c>
      <c r="U1283" s="24">
        <f>IF(SUMIFS('Daily NSE Equity Options'!$M:$M,'Daily NSE Equity Options'!$A:$A,$A1283)=0,"",SUMIFS('Daily NSE Equity Options'!$M:$M,'Daily NSE Equity Options'!$A:$A,$A1283))</f>
        <v/>
      </c>
      <c r="V1283" s="9">
        <f>IF(SUMIFS('Daily BSE Equity Options'!$M:$M,'Daily BSE Equity Options'!$A:$A,$A1283)=0,"",SUMIFS('Daily BSE Equity Options'!$M:$M,'Daily BSE Equity Options'!$A:$A,$A1283))</f>
        <v/>
      </c>
      <c r="W1283" s="9">
        <f>IF(OR(U1283="",V1283=""),"",U1283+V1283)</f>
        <v/>
      </c>
      <c r="X1283" s="25">
        <f>IF(W1283="","",U1283/W1283)</f>
        <v/>
      </c>
      <c r="Y1283" s="25">
        <f>IF(W1283="","",V1283/W1283)</f>
        <v/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19">
        <f>IF(G1284="","",E1284/G1284)</f>
        <v/>
      </c>
      <c r="I1284" s="19">
        <f>IF(G1284="","",F1284/G1284)</f>
        <v/>
      </c>
      <c r="J1284" s="26">
        <f>IFERROR(IF(OR(E1284="",INDEX(E:E,MATCH(DATE(YEAR($A1284)-1,MONTH($A1284),DAY($A1284)),$A:$A,0))=""),"",E1284/INDEX(E:E,MATCH(DATE(YEAR($A1284)-1,MONTH($A1284),DAY($A1284)),$A:$A,0))-1),"")</f>
        <v/>
      </c>
      <c r="K1284" s="19">
        <f>IFERROR(IF(OR(F1284="",INDEX(F:F,MATCH(DATE(YEAR($A1284)-1,MONTH($A1284),DAY($A1284)),$A:$A,0))=""),"",F1284/INDEX(F:F,MATCH(DATE(YEAR($A1284)-1,MONTH($A1284),DAY($A1284)),$A:$A,0))-1),"")</f>
        <v/>
      </c>
      <c r="L1284" s="19">
        <f>IFERROR(IF(OR(G1284="",INDEX(G:G,MATCH(DATE(YEAR($A1284)-1,MONTH($A1284),DAY($A1284)),$A:$A,0))=""),"",G1284/INDEX(G:G,MATCH(DATE(YEAR($A1284)-1,MONTH($A1284),DAY($A1284)),$A:$A,0))-1),"")</f>
        <v/>
      </c>
      <c r="M1284" s="19">
        <f>IF(OR(E1284="",E1283=""),"",E1284/E1283-1)</f>
        <v/>
      </c>
      <c r="N1284" s="19">
        <f>IF(OR(F1284="",F1283=""),"",F1284/F1283-1)</f>
        <v/>
      </c>
      <c r="O1284" s="19">
        <f>IF(OR(G1284="",G1283=""),"",G1284/G1283-1)</f>
        <v/>
      </c>
      <c r="P1284" s="22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IF(R1284="","",P1284/R1284)</f>
        <v/>
      </c>
      <c r="T1284" s="23">
        <f>IF(R1284="","",Q1284/R1284)</f>
        <v/>
      </c>
      <c r="U1284" s="24">
        <f>IF(SUMIFS('Daily NSE Equity Options'!$M:$M,'Daily NSE Equity Options'!$A:$A,$A1284)=0,"",SUMIFS('Daily NSE Equity Options'!$M:$M,'Daily NSE Equity Options'!$A:$A,$A1284))</f>
        <v/>
      </c>
      <c r="V1284" s="9">
        <f>IF(SUMIFS('Daily BSE Equity Options'!$M:$M,'Daily BSE Equity Options'!$A:$A,$A1284)=0,"",SUMIFS('Daily BSE Equity Options'!$M:$M,'Daily BSE Equity Options'!$A:$A,$A1284))</f>
        <v/>
      </c>
      <c r="W1284" s="9">
        <f>IF(OR(U1284="",V1284=""),"",U1284+V1284)</f>
        <v/>
      </c>
      <c r="X1284" s="25">
        <f>IF(W1284="","",U1284/W1284)</f>
        <v/>
      </c>
      <c r="Y1284" s="25">
        <f>IF(W1284="","",V1284/W1284)</f>
        <v/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19">
        <f>IF(G1285="","",E1285/G1285)</f>
        <v/>
      </c>
      <c r="I1285" s="19">
        <f>IF(G1285="","",F1285/G1285)</f>
        <v/>
      </c>
      <c r="J1285" s="26">
        <f>IFERROR(IF(OR(E1285="",INDEX(E:E,MATCH(DATE(YEAR($A1285)-1,MONTH($A1285),DAY($A1285)),$A:$A,0))=""),"",E1285/INDEX(E:E,MATCH(DATE(YEAR($A1285)-1,MONTH($A1285),DAY($A1285)),$A:$A,0))-1),"")</f>
        <v/>
      </c>
      <c r="K1285" s="19">
        <f>IFERROR(IF(OR(F1285="",INDEX(F:F,MATCH(DATE(YEAR($A1285)-1,MONTH($A1285),DAY($A1285)),$A:$A,0))=""),"",F1285/INDEX(F:F,MATCH(DATE(YEAR($A1285)-1,MONTH($A1285),DAY($A1285)),$A:$A,0))-1),"")</f>
        <v/>
      </c>
      <c r="L1285" s="19">
        <f>IFERROR(IF(OR(G1285="",INDEX(G:G,MATCH(DATE(YEAR($A1285)-1,MONTH($A1285),DAY($A1285)),$A:$A,0))=""),"",G1285/INDEX(G:G,MATCH(DATE(YEAR($A1285)-1,MONTH($A1285),DAY($A1285)),$A:$A,0))-1),"")</f>
        <v/>
      </c>
      <c r="M1285" s="19">
        <f>IF(OR(E1285="",E1284=""),"",E1285/E1284-1)</f>
        <v/>
      </c>
      <c r="N1285" s="19">
        <f>IF(OR(F1285="",F1284=""),"",F1285/F1284-1)</f>
        <v/>
      </c>
      <c r="O1285" s="19">
        <f>IF(OR(G1285="",G1284=""),"",G1285/G1284-1)</f>
        <v/>
      </c>
      <c r="P1285" s="22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IF(R1285="","",P1285/R1285)</f>
        <v/>
      </c>
      <c r="T1285" s="23">
        <f>IF(R1285="","",Q1285/R1285)</f>
        <v/>
      </c>
      <c r="U1285" s="24">
        <f>IF(SUMIFS('Daily NSE Equity Options'!$M:$M,'Daily NSE Equity Options'!$A:$A,$A1285)=0,"",SUMIFS('Daily NSE Equity Options'!$M:$M,'Daily NSE Equity Options'!$A:$A,$A1285))</f>
        <v/>
      </c>
      <c r="V1285" s="9">
        <f>IF(SUMIFS('Daily BSE Equity Options'!$M:$M,'Daily BSE Equity Options'!$A:$A,$A1285)=0,"",SUMIFS('Daily BSE Equity Options'!$M:$M,'Daily BSE Equity Options'!$A:$A,$A1285))</f>
        <v/>
      </c>
      <c r="W1285" s="9">
        <f>IF(OR(U1285="",V1285=""),"",U1285+V1285)</f>
        <v/>
      </c>
      <c r="X1285" s="25">
        <f>IF(W1285="","",U1285/W1285)</f>
        <v/>
      </c>
      <c r="Y1285" s="25">
        <f>IF(W1285="","",V1285/W1285)</f>
        <v/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19">
        <f>IF(G1286="","",E1286/G1286)</f>
        <v/>
      </c>
      <c r="I1286" s="19">
        <f>IF(G1286="","",F1286/G1286)</f>
        <v/>
      </c>
      <c r="J1286" s="26">
        <f>IFERROR(IF(OR(E1286="",INDEX(E:E,MATCH(DATE(YEAR($A1286)-1,MONTH($A1286),DAY($A1286)),$A:$A,0))=""),"",E1286/INDEX(E:E,MATCH(DATE(YEAR($A1286)-1,MONTH($A1286),DAY($A1286)),$A:$A,0))-1),"")</f>
        <v/>
      </c>
      <c r="K1286" s="19">
        <f>IFERROR(IF(OR(F1286="",INDEX(F:F,MATCH(DATE(YEAR($A1286)-1,MONTH($A1286),DAY($A1286)),$A:$A,0))=""),"",F1286/INDEX(F:F,MATCH(DATE(YEAR($A1286)-1,MONTH($A1286),DAY($A1286)),$A:$A,0))-1),"")</f>
        <v/>
      </c>
      <c r="L1286" s="19">
        <f>IFERROR(IF(OR(G1286="",INDEX(G:G,MATCH(DATE(YEAR($A1286)-1,MONTH($A1286),DAY($A1286)),$A:$A,0))=""),"",G1286/INDEX(G:G,MATCH(DATE(YEAR($A1286)-1,MONTH($A1286),DAY($A1286)),$A:$A,0))-1),"")</f>
        <v/>
      </c>
      <c r="M1286" s="19">
        <f>IF(OR(E1286="",E1285=""),"",E1286/E1285-1)</f>
        <v/>
      </c>
      <c r="N1286" s="19">
        <f>IF(OR(F1286="",F1285=""),"",F1286/F1285-1)</f>
        <v/>
      </c>
      <c r="O1286" s="19">
        <f>IF(OR(G1286="",G1285=""),"",G1286/G1285-1)</f>
        <v/>
      </c>
      <c r="P1286" s="22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IF(R1286="","",P1286/R1286)</f>
        <v/>
      </c>
      <c r="T1286" s="23">
        <f>IF(R1286="","",Q1286/R1286)</f>
        <v/>
      </c>
      <c r="U1286" s="24">
        <f>IF(SUMIFS('Daily NSE Equity Options'!$M:$M,'Daily NSE Equity Options'!$A:$A,$A1286)=0,"",SUMIFS('Daily NSE Equity Options'!$M:$M,'Daily NSE Equity Options'!$A:$A,$A1286))</f>
        <v/>
      </c>
      <c r="V1286" s="9">
        <f>IF(SUMIFS('Daily BSE Equity Options'!$M:$M,'Daily BSE Equity Options'!$A:$A,$A1286)=0,"",SUMIFS('Daily BSE Equity Options'!$M:$M,'Daily BSE Equity Options'!$A:$A,$A1286))</f>
        <v/>
      </c>
      <c r="W1286" s="9">
        <f>IF(OR(U1286="",V1286=""),"",U1286+V1286)</f>
        <v/>
      </c>
      <c r="X1286" s="25">
        <f>IF(W1286="","",U1286/W1286)</f>
        <v/>
      </c>
      <c r="Y1286" s="25">
        <f>IF(W1286="","",V1286/W1286)</f>
        <v/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19">
        <f>IF(G1287="","",E1287/G1287)</f>
        <v/>
      </c>
      <c r="I1287" s="19">
        <f>IF(G1287="","",F1287/G1287)</f>
        <v/>
      </c>
      <c r="J1287" s="26">
        <f>IFERROR(IF(OR(E1287="",INDEX(E:E,MATCH(DATE(YEAR($A1287)-1,MONTH($A1287),DAY($A1287)),$A:$A,0))=""),"",E1287/INDEX(E:E,MATCH(DATE(YEAR($A1287)-1,MONTH($A1287),DAY($A1287)),$A:$A,0))-1),"")</f>
        <v/>
      </c>
      <c r="K1287" s="19">
        <f>IFERROR(IF(OR(F1287="",INDEX(F:F,MATCH(DATE(YEAR($A1287)-1,MONTH($A1287),DAY($A1287)),$A:$A,0))=""),"",F1287/INDEX(F:F,MATCH(DATE(YEAR($A1287)-1,MONTH($A1287),DAY($A1287)),$A:$A,0))-1),"")</f>
        <v/>
      </c>
      <c r="L1287" s="19">
        <f>IFERROR(IF(OR(G1287="",INDEX(G:G,MATCH(DATE(YEAR($A1287)-1,MONTH($A1287),DAY($A1287)),$A:$A,0))=""),"",G1287/INDEX(G:G,MATCH(DATE(YEAR($A1287)-1,MONTH($A1287),DAY($A1287)),$A:$A,0))-1),"")</f>
        <v/>
      </c>
      <c r="M1287" s="19">
        <f>IF(OR(E1287="",E1286=""),"",E1287/E1286-1)</f>
        <v/>
      </c>
      <c r="N1287" s="19">
        <f>IF(OR(F1287="",F1286=""),"",F1287/F1286-1)</f>
        <v/>
      </c>
      <c r="O1287" s="19">
        <f>IF(OR(G1287="",G1286=""),"",G1287/G1286-1)</f>
        <v/>
      </c>
      <c r="P1287" s="22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IF(R1287="","",P1287/R1287)</f>
        <v/>
      </c>
      <c r="T1287" s="23">
        <f>IF(R1287="","",Q1287/R1287)</f>
        <v/>
      </c>
      <c r="U1287" s="24">
        <f>IF(SUMIFS('Daily NSE Equity Options'!$M:$M,'Daily NSE Equity Options'!$A:$A,$A1287)=0,"",SUMIFS('Daily NSE Equity Options'!$M:$M,'Daily NSE Equity Options'!$A:$A,$A1287))</f>
        <v/>
      </c>
      <c r="V1287" s="9">
        <f>IF(SUMIFS('Daily BSE Equity Options'!$M:$M,'Daily BSE Equity Options'!$A:$A,$A1287)=0,"",SUMIFS('Daily BSE Equity Options'!$M:$M,'Daily BSE Equity Options'!$A:$A,$A1287))</f>
        <v/>
      </c>
      <c r="W1287" s="9">
        <f>IF(OR(U1287="",V1287=""),"",U1287+V1287)</f>
        <v/>
      </c>
      <c r="X1287" s="25">
        <f>IF(W1287="","",U1287/W1287)</f>
        <v/>
      </c>
      <c r="Y1287" s="25">
        <f>IF(W1287="","",V1287/W1287)</f>
        <v/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19">
        <f>IF(G1288="","",E1288/G1288)</f>
        <v/>
      </c>
      <c r="I1288" s="19">
        <f>IF(G1288="","",F1288/G1288)</f>
        <v/>
      </c>
      <c r="J1288" s="26">
        <f>IFERROR(IF(OR(E1288="",INDEX(E:E,MATCH(DATE(YEAR($A1288)-1,MONTH($A1288),DAY($A1288)),$A:$A,0))=""),"",E1288/INDEX(E:E,MATCH(DATE(YEAR($A1288)-1,MONTH($A1288),DAY($A1288)),$A:$A,0))-1),"")</f>
        <v/>
      </c>
      <c r="K1288" s="19">
        <f>IFERROR(IF(OR(F1288="",INDEX(F:F,MATCH(DATE(YEAR($A1288)-1,MONTH($A1288),DAY($A1288)),$A:$A,0))=""),"",F1288/INDEX(F:F,MATCH(DATE(YEAR($A1288)-1,MONTH($A1288),DAY($A1288)),$A:$A,0))-1),"")</f>
        <v/>
      </c>
      <c r="L1288" s="19">
        <f>IFERROR(IF(OR(G1288="",INDEX(G:G,MATCH(DATE(YEAR($A1288)-1,MONTH($A1288),DAY($A1288)),$A:$A,0))=""),"",G1288/INDEX(G:G,MATCH(DATE(YEAR($A1288)-1,MONTH($A1288),DAY($A1288)),$A:$A,0))-1),"")</f>
        <v/>
      </c>
      <c r="M1288" s="19">
        <f>IF(OR(E1288="",E1287=""),"",E1288/E1287-1)</f>
        <v/>
      </c>
      <c r="N1288" s="19">
        <f>IF(OR(F1288="",F1287=""),"",F1288/F1287-1)</f>
        <v/>
      </c>
      <c r="O1288" s="19">
        <f>IF(OR(G1288="",G1287=""),"",G1288/G1287-1)</f>
        <v/>
      </c>
      <c r="P1288" s="22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IF(R1288="","",P1288/R1288)</f>
        <v/>
      </c>
      <c r="T1288" s="23">
        <f>IF(R1288="","",Q1288/R1288)</f>
        <v/>
      </c>
      <c r="U1288" s="24">
        <f>IF(SUMIFS('Daily NSE Equity Options'!$M:$M,'Daily NSE Equity Options'!$A:$A,$A1288)=0,"",SUMIFS('Daily NSE Equity Options'!$M:$M,'Daily NSE Equity Options'!$A:$A,$A1288))</f>
        <v/>
      </c>
      <c r="V1288" s="9">
        <f>IF(SUMIFS('Daily BSE Equity Options'!$M:$M,'Daily BSE Equity Options'!$A:$A,$A1288)=0,"",SUMIFS('Daily BSE Equity Options'!$M:$M,'Daily BSE Equity Options'!$A:$A,$A1288))</f>
        <v/>
      </c>
      <c r="W1288" s="9">
        <f>IF(OR(U1288="",V1288=""),"",U1288+V1288)</f>
        <v/>
      </c>
      <c r="X1288" s="25">
        <f>IF(W1288="","",U1288/W1288)</f>
        <v/>
      </c>
      <c r="Y1288" s="25">
        <f>IF(W1288="","",V1288/W1288)</f>
        <v/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19">
        <f>IF(G1289="","",E1289/G1289)</f>
        <v/>
      </c>
      <c r="I1289" s="19">
        <f>IF(G1289="","",F1289/G1289)</f>
        <v/>
      </c>
      <c r="J1289" s="26">
        <f>IFERROR(IF(OR(E1289="",INDEX(E:E,MATCH(DATE(YEAR($A1289)-1,MONTH($A1289),DAY($A1289)),$A:$A,0))=""),"",E1289/INDEX(E:E,MATCH(DATE(YEAR($A1289)-1,MONTH($A1289),DAY($A1289)),$A:$A,0))-1),"")</f>
        <v/>
      </c>
      <c r="K1289" s="19">
        <f>IFERROR(IF(OR(F1289="",INDEX(F:F,MATCH(DATE(YEAR($A1289)-1,MONTH($A1289),DAY($A1289)),$A:$A,0))=""),"",F1289/INDEX(F:F,MATCH(DATE(YEAR($A1289)-1,MONTH($A1289),DAY($A1289)),$A:$A,0))-1),"")</f>
        <v/>
      </c>
      <c r="L1289" s="19">
        <f>IFERROR(IF(OR(G1289="",INDEX(G:G,MATCH(DATE(YEAR($A1289)-1,MONTH($A1289),DAY($A1289)),$A:$A,0))=""),"",G1289/INDEX(G:G,MATCH(DATE(YEAR($A1289)-1,MONTH($A1289),DAY($A1289)),$A:$A,0))-1),"")</f>
        <v/>
      </c>
      <c r="M1289" s="19">
        <f>IF(OR(E1289="",E1288=""),"",E1289/E1288-1)</f>
        <v/>
      </c>
      <c r="N1289" s="19">
        <f>IF(OR(F1289="",F1288=""),"",F1289/F1288-1)</f>
        <v/>
      </c>
      <c r="O1289" s="19">
        <f>IF(OR(G1289="",G1288=""),"",G1289/G1288-1)</f>
        <v/>
      </c>
      <c r="P1289" s="22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IF(R1289="","",P1289/R1289)</f>
        <v/>
      </c>
      <c r="T1289" s="23">
        <f>IF(R1289="","",Q1289/R1289)</f>
        <v/>
      </c>
      <c r="U1289" s="24">
        <f>IF(SUMIFS('Daily NSE Equity Options'!$M:$M,'Daily NSE Equity Options'!$A:$A,$A1289)=0,"",SUMIFS('Daily NSE Equity Options'!$M:$M,'Daily NSE Equity Options'!$A:$A,$A1289))</f>
        <v/>
      </c>
      <c r="V1289" s="9">
        <f>IF(SUMIFS('Daily BSE Equity Options'!$M:$M,'Daily BSE Equity Options'!$A:$A,$A1289)=0,"",SUMIFS('Daily BSE Equity Options'!$M:$M,'Daily BSE Equity Options'!$A:$A,$A1289))</f>
        <v/>
      </c>
      <c r="W1289" s="9">
        <f>IF(OR(U1289="",V1289=""),"",U1289+V1289)</f>
        <v/>
      </c>
      <c r="X1289" s="25">
        <f>IF(W1289="","",U1289/W1289)</f>
        <v/>
      </c>
      <c r="Y1289" s="25">
        <f>IF(W1289="","",V1289/W1289)</f>
        <v/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19">
        <f>IF(G1290="","",E1290/G1290)</f>
        <v/>
      </c>
      <c r="I1290" s="19">
        <f>IF(G1290="","",F1290/G1290)</f>
        <v/>
      </c>
      <c r="J1290" s="26">
        <f>IFERROR(IF(OR(E1290="",INDEX(E:E,MATCH(DATE(YEAR($A1290)-1,MONTH($A1290),DAY($A1290)),$A:$A,0))=""),"",E1290/INDEX(E:E,MATCH(DATE(YEAR($A1290)-1,MONTH($A1290),DAY($A1290)),$A:$A,0))-1),"")</f>
        <v/>
      </c>
      <c r="K1290" s="19">
        <f>IFERROR(IF(OR(F1290="",INDEX(F:F,MATCH(DATE(YEAR($A1290)-1,MONTH($A1290),DAY($A1290)),$A:$A,0))=""),"",F1290/INDEX(F:F,MATCH(DATE(YEAR($A1290)-1,MONTH($A1290),DAY($A1290)),$A:$A,0))-1),"")</f>
        <v/>
      </c>
      <c r="L1290" s="19">
        <f>IFERROR(IF(OR(G1290="",INDEX(G:G,MATCH(DATE(YEAR($A1290)-1,MONTH($A1290),DAY($A1290)),$A:$A,0))=""),"",G1290/INDEX(G:G,MATCH(DATE(YEAR($A1290)-1,MONTH($A1290),DAY($A1290)),$A:$A,0))-1),"")</f>
        <v/>
      </c>
      <c r="M1290" s="19">
        <f>IF(OR(E1290="",E1289=""),"",E1290/E1289-1)</f>
        <v/>
      </c>
      <c r="N1290" s="19">
        <f>IF(OR(F1290="",F1289=""),"",F1290/F1289-1)</f>
        <v/>
      </c>
      <c r="O1290" s="19">
        <f>IF(OR(G1290="",G1289=""),"",G1290/G1289-1)</f>
        <v/>
      </c>
      <c r="P1290" s="22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IF(R1290="","",P1290/R1290)</f>
        <v/>
      </c>
      <c r="T1290" s="23">
        <f>IF(R1290="","",Q1290/R1290)</f>
        <v/>
      </c>
      <c r="U1290" s="24">
        <f>IF(SUMIFS('Daily NSE Equity Options'!$M:$M,'Daily NSE Equity Options'!$A:$A,$A1290)=0,"",SUMIFS('Daily NSE Equity Options'!$M:$M,'Daily NSE Equity Options'!$A:$A,$A1290))</f>
        <v/>
      </c>
      <c r="V1290" s="9">
        <f>IF(SUMIFS('Daily BSE Equity Options'!$M:$M,'Daily BSE Equity Options'!$A:$A,$A1290)=0,"",SUMIFS('Daily BSE Equity Options'!$M:$M,'Daily BSE Equity Options'!$A:$A,$A1290))</f>
        <v/>
      </c>
      <c r="W1290" s="9">
        <f>IF(OR(U1290="",V1290=""),"",U1290+V1290)</f>
        <v/>
      </c>
      <c r="X1290" s="25">
        <f>IF(W1290="","",U1290/W1290)</f>
        <v/>
      </c>
      <c r="Y1290" s="25">
        <f>IF(W1290="","",V1290/W1290)</f>
        <v/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19">
        <f>IF(G1291="","",E1291/G1291)</f>
        <v/>
      </c>
      <c r="I1291" s="19">
        <f>IF(G1291="","",F1291/G1291)</f>
        <v/>
      </c>
      <c r="J1291" s="26">
        <f>IFERROR(IF(OR(E1291="",INDEX(E:E,MATCH(DATE(YEAR($A1291)-1,MONTH($A1291),DAY($A1291)),$A:$A,0))=""),"",E1291/INDEX(E:E,MATCH(DATE(YEAR($A1291)-1,MONTH($A1291),DAY($A1291)),$A:$A,0))-1),"")</f>
        <v/>
      </c>
      <c r="K1291" s="19">
        <f>IFERROR(IF(OR(F1291="",INDEX(F:F,MATCH(DATE(YEAR($A1291)-1,MONTH($A1291),DAY($A1291)),$A:$A,0))=""),"",F1291/INDEX(F:F,MATCH(DATE(YEAR($A1291)-1,MONTH($A1291),DAY($A1291)),$A:$A,0))-1),"")</f>
        <v/>
      </c>
      <c r="L1291" s="19">
        <f>IFERROR(IF(OR(G1291="",INDEX(G:G,MATCH(DATE(YEAR($A1291)-1,MONTH($A1291),DAY($A1291)),$A:$A,0))=""),"",G1291/INDEX(G:G,MATCH(DATE(YEAR($A1291)-1,MONTH($A1291),DAY($A1291)),$A:$A,0))-1),"")</f>
        <v/>
      </c>
      <c r="M1291" s="19">
        <f>IF(OR(E1291="",E1290=""),"",E1291/E1290-1)</f>
        <v/>
      </c>
      <c r="N1291" s="19">
        <f>IF(OR(F1291="",F1290=""),"",F1291/F1290-1)</f>
        <v/>
      </c>
      <c r="O1291" s="19">
        <f>IF(OR(G1291="",G1290=""),"",G1291/G1290-1)</f>
        <v/>
      </c>
      <c r="P1291" s="22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IF(R1291="","",P1291/R1291)</f>
        <v/>
      </c>
      <c r="T1291" s="23">
        <f>IF(R1291="","",Q1291/R1291)</f>
        <v/>
      </c>
      <c r="U1291" s="24">
        <f>IF(SUMIFS('Daily NSE Equity Options'!$M:$M,'Daily NSE Equity Options'!$A:$A,$A1291)=0,"",SUMIFS('Daily NSE Equity Options'!$M:$M,'Daily NSE Equity Options'!$A:$A,$A1291))</f>
        <v/>
      </c>
      <c r="V1291" s="9">
        <f>IF(SUMIFS('Daily BSE Equity Options'!$M:$M,'Daily BSE Equity Options'!$A:$A,$A1291)=0,"",SUMIFS('Daily BSE Equity Options'!$M:$M,'Daily BSE Equity Options'!$A:$A,$A1291))</f>
        <v/>
      </c>
      <c r="W1291" s="9">
        <f>IF(OR(U1291="",V1291=""),"",U1291+V1291)</f>
        <v/>
      </c>
      <c r="X1291" s="25">
        <f>IF(W1291="","",U1291/W1291)</f>
        <v/>
      </c>
      <c r="Y1291" s="25">
        <f>IF(W1291="","",V1291/W1291)</f>
        <v/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19">
        <f>IF(G1292="","",E1292/G1292)</f>
        <v/>
      </c>
      <c r="I1292" s="19">
        <f>IF(G1292="","",F1292/G1292)</f>
        <v/>
      </c>
      <c r="J1292" s="26">
        <f>IFERROR(IF(OR(E1292="",INDEX(E:E,MATCH(DATE(YEAR($A1292)-1,MONTH($A1292),DAY($A1292)),$A:$A,0))=""),"",E1292/INDEX(E:E,MATCH(DATE(YEAR($A1292)-1,MONTH($A1292),DAY($A1292)),$A:$A,0))-1),"")</f>
        <v/>
      </c>
      <c r="K1292" s="19">
        <f>IFERROR(IF(OR(F1292="",INDEX(F:F,MATCH(DATE(YEAR($A1292)-1,MONTH($A1292),DAY($A1292)),$A:$A,0))=""),"",F1292/INDEX(F:F,MATCH(DATE(YEAR($A1292)-1,MONTH($A1292),DAY($A1292)),$A:$A,0))-1),"")</f>
        <v/>
      </c>
      <c r="L1292" s="19">
        <f>IFERROR(IF(OR(G1292="",INDEX(G:G,MATCH(DATE(YEAR($A1292)-1,MONTH($A1292),DAY($A1292)),$A:$A,0))=""),"",G1292/INDEX(G:G,MATCH(DATE(YEAR($A1292)-1,MONTH($A1292),DAY($A1292)),$A:$A,0))-1),"")</f>
        <v/>
      </c>
      <c r="M1292" s="19">
        <f>IF(OR(E1292="",E1291=""),"",E1292/E1291-1)</f>
        <v/>
      </c>
      <c r="N1292" s="19">
        <f>IF(OR(F1292="",F1291=""),"",F1292/F1291-1)</f>
        <v/>
      </c>
      <c r="O1292" s="19">
        <f>IF(OR(G1292="",G1291=""),"",G1292/G1291-1)</f>
        <v/>
      </c>
      <c r="P1292" s="22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IF(R1292="","",P1292/R1292)</f>
        <v/>
      </c>
      <c r="T1292" s="23">
        <f>IF(R1292="","",Q1292/R1292)</f>
        <v/>
      </c>
      <c r="U1292" s="24">
        <f>IF(SUMIFS('Daily NSE Equity Options'!$M:$M,'Daily NSE Equity Options'!$A:$A,$A1292)=0,"",SUMIFS('Daily NSE Equity Options'!$M:$M,'Daily NSE Equity Options'!$A:$A,$A1292))</f>
        <v/>
      </c>
      <c r="V1292" s="9">
        <f>IF(SUMIFS('Daily BSE Equity Options'!$M:$M,'Daily BSE Equity Options'!$A:$A,$A1292)=0,"",SUMIFS('Daily BSE Equity Options'!$M:$M,'Daily BSE Equity Options'!$A:$A,$A1292))</f>
        <v/>
      </c>
      <c r="W1292" s="9">
        <f>IF(OR(U1292="",V1292=""),"",U1292+V1292)</f>
        <v/>
      </c>
      <c r="X1292" s="25">
        <f>IF(W1292="","",U1292/W1292)</f>
        <v/>
      </c>
      <c r="Y1292" s="25">
        <f>IF(W1292="","",V1292/W1292)</f>
        <v/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19">
        <f>IF(G1293="","",E1293/G1293)</f>
        <v/>
      </c>
      <c r="I1293" s="19">
        <f>IF(G1293="","",F1293/G1293)</f>
        <v/>
      </c>
      <c r="J1293" s="26">
        <f>IFERROR(IF(OR(E1293="",INDEX(E:E,MATCH(DATE(YEAR($A1293)-1,MONTH($A1293),DAY($A1293)),$A:$A,0))=""),"",E1293/INDEX(E:E,MATCH(DATE(YEAR($A1293)-1,MONTH($A1293),DAY($A1293)),$A:$A,0))-1),"")</f>
        <v/>
      </c>
      <c r="K1293" s="19">
        <f>IFERROR(IF(OR(F1293="",INDEX(F:F,MATCH(DATE(YEAR($A1293)-1,MONTH($A1293),DAY($A1293)),$A:$A,0))=""),"",F1293/INDEX(F:F,MATCH(DATE(YEAR($A1293)-1,MONTH($A1293),DAY($A1293)),$A:$A,0))-1),"")</f>
        <v/>
      </c>
      <c r="L1293" s="19">
        <f>IFERROR(IF(OR(G1293="",INDEX(G:G,MATCH(DATE(YEAR($A1293)-1,MONTH($A1293),DAY($A1293)),$A:$A,0))=""),"",G1293/INDEX(G:G,MATCH(DATE(YEAR($A1293)-1,MONTH($A1293),DAY($A1293)),$A:$A,0))-1),"")</f>
        <v/>
      </c>
      <c r="M1293" s="19">
        <f>IF(OR(E1293="",E1292=""),"",E1293/E1292-1)</f>
        <v/>
      </c>
      <c r="N1293" s="19">
        <f>IF(OR(F1293="",F1292=""),"",F1293/F1292-1)</f>
        <v/>
      </c>
      <c r="O1293" s="19">
        <f>IF(OR(G1293="",G1292=""),"",G1293/G1292-1)</f>
        <v/>
      </c>
      <c r="P1293" s="22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IF(R1293="","",P1293/R1293)</f>
        <v/>
      </c>
      <c r="T1293" s="23">
        <f>IF(R1293="","",Q1293/R1293)</f>
        <v/>
      </c>
      <c r="U1293" s="24">
        <f>IF(SUMIFS('Daily NSE Equity Options'!$M:$M,'Daily NSE Equity Options'!$A:$A,$A1293)=0,"",SUMIFS('Daily NSE Equity Options'!$M:$M,'Daily NSE Equity Options'!$A:$A,$A1293))</f>
        <v/>
      </c>
      <c r="V1293" s="9">
        <f>IF(SUMIFS('Daily BSE Equity Options'!$M:$M,'Daily BSE Equity Options'!$A:$A,$A1293)=0,"",SUMIFS('Daily BSE Equity Options'!$M:$M,'Daily BSE Equity Options'!$A:$A,$A1293))</f>
        <v/>
      </c>
      <c r="W1293" s="9">
        <f>IF(OR(U1293="",V1293=""),"",U1293+V1293)</f>
        <v/>
      </c>
      <c r="X1293" s="25">
        <f>IF(W1293="","",U1293/W1293)</f>
        <v/>
      </c>
      <c r="Y1293" s="25">
        <f>IF(W1293="","",V1293/W1293)</f>
        <v/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19">
        <f>IF(G1294="","",E1294/G1294)</f>
        <v/>
      </c>
      <c r="I1294" s="19">
        <f>IF(G1294="","",F1294/G1294)</f>
        <v/>
      </c>
      <c r="J1294" s="26">
        <f>IFERROR(IF(OR(E1294="",INDEX(E:E,MATCH(DATE(YEAR($A1294)-1,MONTH($A1294),DAY($A1294)),$A:$A,0))=""),"",E1294/INDEX(E:E,MATCH(DATE(YEAR($A1294)-1,MONTH($A1294),DAY($A1294)),$A:$A,0))-1),"")</f>
        <v/>
      </c>
      <c r="K1294" s="19">
        <f>IFERROR(IF(OR(F1294="",INDEX(F:F,MATCH(DATE(YEAR($A1294)-1,MONTH($A1294),DAY($A1294)),$A:$A,0))=""),"",F1294/INDEX(F:F,MATCH(DATE(YEAR($A1294)-1,MONTH($A1294),DAY($A1294)),$A:$A,0))-1),"")</f>
        <v/>
      </c>
      <c r="L1294" s="19">
        <f>IFERROR(IF(OR(G1294="",INDEX(G:G,MATCH(DATE(YEAR($A1294)-1,MONTH($A1294),DAY($A1294)),$A:$A,0))=""),"",G1294/INDEX(G:G,MATCH(DATE(YEAR($A1294)-1,MONTH($A1294),DAY($A1294)),$A:$A,0))-1),"")</f>
        <v/>
      </c>
      <c r="M1294" s="19">
        <f>IF(OR(E1294="",E1293=""),"",E1294/E1293-1)</f>
        <v/>
      </c>
      <c r="N1294" s="19">
        <f>IF(OR(F1294="",F1293=""),"",F1294/F1293-1)</f>
        <v/>
      </c>
      <c r="O1294" s="19">
        <f>IF(OR(G1294="",G1293=""),"",G1294/G1293-1)</f>
        <v/>
      </c>
      <c r="P1294" s="22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IF(R1294="","",P1294/R1294)</f>
        <v/>
      </c>
      <c r="T1294" s="23">
        <f>IF(R1294="","",Q1294/R1294)</f>
        <v/>
      </c>
      <c r="U1294" s="24">
        <f>IF(SUMIFS('Daily NSE Equity Options'!$M:$M,'Daily NSE Equity Options'!$A:$A,$A1294)=0,"",SUMIFS('Daily NSE Equity Options'!$M:$M,'Daily NSE Equity Options'!$A:$A,$A1294))</f>
        <v/>
      </c>
      <c r="V1294" s="9">
        <f>IF(SUMIFS('Daily BSE Equity Options'!$M:$M,'Daily BSE Equity Options'!$A:$A,$A1294)=0,"",SUMIFS('Daily BSE Equity Options'!$M:$M,'Daily BSE Equity Options'!$A:$A,$A1294))</f>
        <v/>
      </c>
      <c r="W1294" s="9">
        <f>IF(OR(U1294="",V1294=""),"",U1294+V1294)</f>
        <v/>
      </c>
      <c r="X1294" s="25">
        <f>IF(W1294="","",U1294/W1294)</f>
        <v/>
      </c>
      <c r="Y1294" s="25">
        <f>IF(W1294="","",V1294/W1294)</f>
        <v/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19">
        <f>IF(G1295="","",E1295/G1295)</f>
        <v/>
      </c>
      <c r="I1295" s="19">
        <f>IF(G1295="","",F1295/G1295)</f>
        <v/>
      </c>
      <c r="J1295" s="26">
        <f>IFERROR(IF(OR(E1295="",INDEX(E:E,MATCH(DATE(YEAR($A1295)-1,MONTH($A1295),DAY($A1295)),$A:$A,0))=""),"",E1295/INDEX(E:E,MATCH(DATE(YEAR($A1295)-1,MONTH($A1295),DAY($A1295)),$A:$A,0))-1),"")</f>
        <v/>
      </c>
      <c r="K1295" s="19">
        <f>IFERROR(IF(OR(F1295="",INDEX(F:F,MATCH(DATE(YEAR($A1295)-1,MONTH($A1295),DAY($A1295)),$A:$A,0))=""),"",F1295/INDEX(F:F,MATCH(DATE(YEAR($A1295)-1,MONTH($A1295),DAY($A1295)),$A:$A,0))-1),"")</f>
        <v/>
      </c>
      <c r="L1295" s="19">
        <f>IFERROR(IF(OR(G1295="",INDEX(G:G,MATCH(DATE(YEAR($A1295)-1,MONTH($A1295),DAY($A1295)),$A:$A,0))=""),"",G1295/INDEX(G:G,MATCH(DATE(YEAR($A1295)-1,MONTH($A1295),DAY($A1295)),$A:$A,0))-1),"")</f>
        <v/>
      </c>
      <c r="M1295" s="19">
        <f>IF(OR(E1295="",E1294=""),"",E1295/E1294-1)</f>
        <v/>
      </c>
      <c r="N1295" s="19">
        <f>IF(OR(F1295="",F1294=""),"",F1295/F1294-1)</f>
        <v/>
      </c>
      <c r="O1295" s="19">
        <f>IF(OR(G1295="",G1294=""),"",G1295/G1294-1)</f>
        <v/>
      </c>
      <c r="P1295" s="22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IF(R1295="","",P1295/R1295)</f>
        <v/>
      </c>
      <c r="T1295" s="23">
        <f>IF(R1295="","",Q1295/R1295)</f>
        <v/>
      </c>
      <c r="U1295" s="24">
        <f>IF(SUMIFS('Daily NSE Equity Options'!$M:$M,'Daily NSE Equity Options'!$A:$A,$A1295)=0,"",SUMIFS('Daily NSE Equity Options'!$M:$M,'Daily NSE Equity Options'!$A:$A,$A1295))</f>
        <v/>
      </c>
      <c r="V1295" s="9">
        <f>IF(SUMIFS('Daily BSE Equity Options'!$M:$M,'Daily BSE Equity Options'!$A:$A,$A1295)=0,"",SUMIFS('Daily BSE Equity Options'!$M:$M,'Daily BSE Equity Options'!$A:$A,$A1295))</f>
        <v/>
      </c>
      <c r="W1295" s="9">
        <f>IF(OR(U1295="",V1295=""),"",U1295+V1295)</f>
        <v/>
      </c>
      <c r="X1295" s="25">
        <f>IF(W1295="","",U1295/W1295)</f>
        <v/>
      </c>
      <c r="Y1295" s="25">
        <f>IF(W1295="","",V1295/W1295)</f>
        <v/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19">
        <f>IF(G1296="","",E1296/G1296)</f>
        <v/>
      </c>
      <c r="I1296" s="19">
        <f>IF(G1296="","",F1296/G1296)</f>
        <v/>
      </c>
      <c r="J1296" s="26">
        <f>IFERROR(IF(OR(E1296="",INDEX(E:E,MATCH(DATE(YEAR($A1296)-1,MONTH($A1296),DAY($A1296)),$A:$A,0))=""),"",E1296/INDEX(E:E,MATCH(DATE(YEAR($A1296)-1,MONTH($A1296),DAY($A1296)),$A:$A,0))-1),"")</f>
        <v/>
      </c>
      <c r="K1296" s="19">
        <f>IFERROR(IF(OR(F1296="",INDEX(F:F,MATCH(DATE(YEAR($A1296)-1,MONTH($A1296),DAY($A1296)),$A:$A,0))=""),"",F1296/INDEX(F:F,MATCH(DATE(YEAR($A1296)-1,MONTH($A1296),DAY($A1296)),$A:$A,0))-1),"")</f>
        <v/>
      </c>
      <c r="L1296" s="19">
        <f>IFERROR(IF(OR(G1296="",INDEX(G:G,MATCH(DATE(YEAR($A1296)-1,MONTH($A1296),DAY($A1296)),$A:$A,0))=""),"",G1296/INDEX(G:G,MATCH(DATE(YEAR($A1296)-1,MONTH($A1296),DAY($A1296)),$A:$A,0))-1),"")</f>
        <v/>
      </c>
      <c r="M1296" s="19">
        <f>IF(OR(E1296="",E1295=""),"",E1296/E1295-1)</f>
        <v/>
      </c>
      <c r="N1296" s="19">
        <f>IF(OR(F1296="",F1295=""),"",F1296/F1295-1)</f>
        <v/>
      </c>
      <c r="O1296" s="19">
        <f>IF(OR(G1296="",G1295=""),"",G1296/G1295-1)</f>
        <v/>
      </c>
      <c r="P1296" s="22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IF(R1296="","",P1296/R1296)</f>
        <v/>
      </c>
      <c r="T1296" s="23">
        <f>IF(R1296="","",Q1296/R1296)</f>
        <v/>
      </c>
      <c r="U1296" s="24">
        <f>IF(SUMIFS('Daily NSE Equity Options'!$M:$M,'Daily NSE Equity Options'!$A:$A,$A1296)=0,"",SUMIFS('Daily NSE Equity Options'!$M:$M,'Daily NSE Equity Options'!$A:$A,$A1296))</f>
        <v/>
      </c>
      <c r="V1296" s="9">
        <f>IF(SUMIFS('Daily BSE Equity Options'!$M:$M,'Daily BSE Equity Options'!$A:$A,$A1296)=0,"",SUMIFS('Daily BSE Equity Options'!$M:$M,'Daily BSE Equity Options'!$A:$A,$A1296))</f>
        <v/>
      </c>
      <c r="W1296" s="9">
        <f>IF(OR(U1296="",V1296=""),"",U1296+V1296)</f>
        <v/>
      </c>
      <c r="X1296" s="25">
        <f>IF(W1296="","",U1296/W1296)</f>
        <v/>
      </c>
      <c r="Y1296" s="25">
        <f>IF(W1296="","",V1296/W1296)</f>
        <v/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19">
        <f>IF(G1297="","",E1297/G1297)</f>
        <v/>
      </c>
      <c r="I1297" s="19">
        <f>IF(G1297="","",F1297/G1297)</f>
        <v/>
      </c>
      <c r="J1297" s="26">
        <f>IFERROR(IF(OR(E1297="",INDEX(E:E,MATCH(DATE(YEAR($A1297)-1,MONTH($A1297),DAY($A1297)),$A:$A,0))=""),"",E1297/INDEX(E:E,MATCH(DATE(YEAR($A1297)-1,MONTH($A1297),DAY($A1297)),$A:$A,0))-1),"")</f>
        <v/>
      </c>
      <c r="K1297" s="19">
        <f>IFERROR(IF(OR(F1297="",INDEX(F:F,MATCH(DATE(YEAR($A1297)-1,MONTH($A1297),DAY($A1297)),$A:$A,0))=""),"",F1297/INDEX(F:F,MATCH(DATE(YEAR($A1297)-1,MONTH($A1297),DAY($A1297)),$A:$A,0))-1),"")</f>
        <v/>
      </c>
      <c r="L1297" s="19">
        <f>IFERROR(IF(OR(G1297="",INDEX(G:G,MATCH(DATE(YEAR($A1297)-1,MONTH($A1297),DAY($A1297)),$A:$A,0))=""),"",G1297/INDEX(G:G,MATCH(DATE(YEAR($A1297)-1,MONTH($A1297),DAY($A1297)),$A:$A,0))-1),"")</f>
        <v/>
      </c>
      <c r="M1297" s="19">
        <f>IF(OR(E1297="",E1296=""),"",E1297/E1296-1)</f>
        <v/>
      </c>
      <c r="N1297" s="19">
        <f>IF(OR(F1297="",F1296=""),"",F1297/F1296-1)</f>
        <v/>
      </c>
      <c r="O1297" s="19">
        <f>IF(OR(G1297="",G1296=""),"",G1297/G1296-1)</f>
        <v/>
      </c>
      <c r="P1297" s="22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IF(R1297="","",P1297/R1297)</f>
        <v/>
      </c>
      <c r="T1297" s="23">
        <f>IF(R1297="","",Q1297/R1297)</f>
        <v/>
      </c>
      <c r="U1297" s="24">
        <f>IF(SUMIFS('Daily NSE Equity Options'!$M:$M,'Daily NSE Equity Options'!$A:$A,$A1297)=0,"",SUMIFS('Daily NSE Equity Options'!$M:$M,'Daily NSE Equity Options'!$A:$A,$A1297))</f>
        <v/>
      </c>
      <c r="V1297" s="9">
        <f>IF(SUMIFS('Daily BSE Equity Options'!$M:$M,'Daily BSE Equity Options'!$A:$A,$A1297)=0,"",SUMIFS('Daily BSE Equity Options'!$M:$M,'Daily BSE Equity Options'!$A:$A,$A1297))</f>
        <v/>
      </c>
      <c r="W1297" s="9">
        <f>IF(OR(U1297="",V1297=""),"",U1297+V1297)</f>
        <v/>
      </c>
      <c r="X1297" s="25">
        <f>IF(W1297="","",U1297/W1297)</f>
        <v/>
      </c>
      <c r="Y1297" s="25">
        <f>IF(W1297="","",V1297/W1297)</f>
        <v/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19">
        <f>IF(G1298="","",E1298/G1298)</f>
        <v/>
      </c>
      <c r="I1298" s="19">
        <f>IF(G1298="","",F1298/G1298)</f>
        <v/>
      </c>
      <c r="J1298" s="26">
        <f>IFERROR(IF(OR(E1298="",INDEX(E:E,MATCH(DATE(YEAR($A1298)-1,MONTH($A1298),DAY($A1298)),$A:$A,0))=""),"",E1298/INDEX(E:E,MATCH(DATE(YEAR($A1298)-1,MONTH($A1298),DAY($A1298)),$A:$A,0))-1),"")</f>
        <v/>
      </c>
      <c r="K1298" s="19">
        <f>IFERROR(IF(OR(F1298="",INDEX(F:F,MATCH(DATE(YEAR($A1298)-1,MONTH($A1298),DAY($A1298)),$A:$A,0))=""),"",F1298/INDEX(F:F,MATCH(DATE(YEAR($A1298)-1,MONTH($A1298),DAY($A1298)),$A:$A,0))-1),"")</f>
        <v/>
      </c>
      <c r="L1298" s="19">
        <f>IFERROR(IF(OR(G1298="",INDEX(G:G,MATCH(DATE(YEAR($A1298)-1,MONTH($A1298),DAY($A1298)),$A:$A,0))=""),"",G1298/INDEX(G:G,MATCH(DATE(YEAR($A1298)-1,MONTH($A1298),DAY($A1298)),$A:$A,0))-1),"")</f>
        <v/>
      </c>
      <c r="M1298" s="19">
        <f>IF(OR(E1298="",E1297=""),"",E1298/E1297-1)</f>
        <v/>
      </c>
      <c r="N1298" s="19">
        <f>IF(OR(F1298="",F1297=""),"",F1298/F1297-1)</f>
        <v/>
      </c>
      <c r="O1298" s="19">
        <f>IF(OR(G1298="",G1297=""),"",G1298/G1297-1)</f>
        <v/>
      </c>
      <c r="P1298" s="22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IF(R1298="","",P1298/R1298)</f>
        <v/>
      </c>
      <c r="T1298" s="23">
        <f>IF(R1298="","",Q1298/R1298)</f>
        <v/>
      </c>
      <c r="U1298" s="24">
        <f>IF(SUMIFS('Daily NSE Equity Options'!$M:$M,'Daily NSE Equity Options'!$A:$A,$A1298)=0,"",SUMIFS('Daily NSE Equity Options'!$M:$M,'Daily NSE Equity Options'!$A:$A,$A1298))</f>
        <v/>
      </c>
      <c r="V1298" s="9">
        <f>IF(SUMIFS('Daily BSE Equity Options'!$M:$M,'Daily BSE Equity Options'!$A:$A,$A1298)=0,"",SUMIFS('Daily BSE Equity Options'!$M:$M,'Daily BSE Equity Options'!$A:$A,$A1298))</f>
        <v/>
      </c>
      <c r="W1298" s="9">
        <f>IF(OR(U1298="",V1298=""),"",U1298+V1298)</f>
        <v/>
      </c>
      <c r="X1298" s="25">
        <f>IF(W1298="","",U1298/W1298)</f>
        <v/>
      </c>
      <c r="Y1298" s="25">
        <f>IF(W1298="","",V1298/W1298)</f>
        <v/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19">
        <f>IF(G1299="","",E1299/G1299)</f>
        <v/>
      </c>
      <c r="I1299" s="19">
        <f>IF(G1299="","",F1299/G1299)</f>
        <v/>
      </c>
      <c r="J1299" s="26">
        <f>IFERROR(IF(OR(E1299="",INDEX(E:E,MATCH(DATE(YEAR($A1299)-1,MONTH($A1299),DAY($A1299)),$A:$A,0))=""),"",E1299/INDEX(E:E,MATCH(DATE(YEAR($A1299)-1,MONTH($A1299),DAY($A1299)),$A:$A,0))-1),"")</f>
        <v/>
      </c>
      <c r="K1299" s="19">
        <f>IFERROR(IF(OR(F1299="",INDEX(F:F,MATCH(DATE(YEAR($A1299)-1,MONTH($A1299),DAY($A1299)),$A:$A,0))=""),"",F1299/INDEX(F:F,MATCH(DATE(YEAR($A1299)-1,MONTH($A1299),DAY($A1299)),$A:$A,0))-1),"")</f>
        <v/>
      </c>
      <c r="L1299" s="19">
        <f>IFERROR(IF(OR(G1299="",INDEX(G:G,MATCH(DATE(YEAR($A1299)-1,MONTH($A1299),DAY($A1299)),$A:$A,0))=""),"",G1299/INDEX(G:G,MATCH(DATE(YEAR($A1299)-1,MONTH($A1299),DAY($A1299)),$A:$A,0))-1),"")</f>
        <v/>
      </c>
      <c r="M1299" s="19">
        <f>IF(OR(E1299="",E1298=""),"",E1299/E1298-1)</f>
        <v/>
      </c>
      <c r="N1299" s="19">
        <f>IF(OR(F1299="",F1298=""),"",F1299/F1298-1)</f>
        <v/>
      </c>
      <c r="O1299" s="19">
        <f>IF(OR(G1299="",G1298=""),"",G1299/G1298-1)</f>
        <v/>
      </c>
      <c r="P1299" s="22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IF(R1299="","",P1299/R1299)</f>
        <v/>
      </c>
      <c r="T1299" s="23">
        <f>IF(R1299="","",Q1299/R1299)</f>
        <v/>
      </c>
      <c r="U1299" s="24">
        <f>IF(SUMIFS('Daily NSE Equity Options'!$M:$M,'Daily NSE Equity Options'!$A:$A,$A1299)=0,"",SUMIFS('Daily NSE Equity Options'!$M:$M,'Daily NSE Equity Options'!$A:$A,$A1299))</f>
        <v/>
      </c>
      <c r="V1299" s="9">
        <f>IF(SUMIFS('Daily BSE Equity Options'!$M:$M,'Daily BSE Equity Options'!$A:$A,$A1299)=0,"",SUMIFS('Daily BSE Equity Options'!$M:$M,'Daily BSE Equity Options'!$A:$A,$A1299))</f>
        <v/>
      </c>
      <c r="W1299" s="9">
        <f>IF(OR(U1299="",V1299=""),"",U1299+V1299)</f>
        <v/>
      </c>
      <c r="X1299" s="25">
        <f>IF(W1299="","",U1299/W1299)</f>
        <v/>
      </c>
      <c r="Y1299" s="25">
        <f>IF(W1299="","",V1299/W1299)</f>
        <v/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19">
        <f>IF(G1300="","",E1300/G1300)</f>
        <v/>
      </c>
      <c r="I1300" s="19">
        <f>IF(G1300="","",F1300/G1300)</f>
        <v/>
      </c>
      <c r="J1300" s="26">
        <f>IFERROR(IF(OR(E1300="",INDEX(E:E,MATCH(DATE(YEAR($A1300)-1,MONTH($A1300),DAY($A1300)),$A:$A,0))=""),"",E1300/INDEX(E:E,MATCH(DATE(YEAR($A1300)-1,MONTH($A1300),DAY($A1300)),$A:$A,0))-1),"")</f>
        <v/>
      </c>
      <c r="K1300" s="19">
        <f>IFERROR(IF(OR(F1300="",INDEX(F:F,MATCH(DATE(YEAR($A1300)-1,MONTH($A1300),DAY($A1300)),$A:$A,0))=""),"",F1300/INDEX(F:F,MATCH(DATE(YEAR($A1300)-1,MONTH($A1300),DAY($A1300)),$A:$A,0))-1),"")</f>
        <v/>
      </c>
      <c r="L1300" s="19">
        <f>IFERROR(IF(OR(G1300="",INDEX(G:G,MATCH(DATE(YEAR($A1300)-1,MONTH($A1300),DAY($A1300)),$A:$A,0))=""),"",G1300/INDEX(G:G,MATCH(DATE(YEAR($A1300)-1,MONTH($A1300),DAY($A1300)),$A:$A,0))-1),"")</f>
        <v/>
      </c>
      <c r="M1300" s="19">
        <f>IF(OR(E1300="",E1299=""),"",E1300/E1299-1)</f>
        <v/>
      </c>
      <c r="N1300" s="19">
        <f>IF(OR(F1300="",F1299=""),"",F1300/F1299-1)</f>
        <v/>
      </c>
      <c r="O1300" s="19">
        <f>IF(OR(G1300="",G1299=""),"",G1300/G1299-1)</f>
        <v/>
      </c>
      <c r="P1300" s="22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IF(R1300="","",P1300/R1300)</f>
        <v/>
      </c>
      <c r="T1300" s="23">
        <f>IF(R1300="","",Q1300/R1300)</f>
        <v/>
      </c>
      <c r="U1300" s="24">
        <f>IF(SUMIFS('Daily NSE Equity Options'!$M:$M,'Daily NSE Equity Options'!$A:$A,$A1300)=0,"",SUMIFS('Daily NSE Equity Options'!$M:$M,'Daily NSE Equity Options'!$A:$A,$A1300))</f>
        <v/>
      </c>
      <c r="V1300" s="9">
        <f>IF(SUMIFS('Daily BSE Equity Options'!$M:$M,'Daily BSE Equity Options'!$A:$A,$A1300)=0,"",SUMIFS('Daily BSE Equity Options'!$M:$M,'Daily BSE Equity Options'!$A:$A,$A1300))</f>
        <v/>
      </c>
      <c r="W1300" s="9">
        <f>IF(OR(U1300="",V1300=""),"",U1300+V1300)</f>
        <v/>
      </c>
      <c r="X1300" s="25">
        <f>IF(W1300="","",U1300/W1300)</f>
        <v/>
      </c>
      <c r="Y1300" s="25">
        <f>IF(W1300="","",V1300/W1300)</f>
        <v/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19">
        <f>IF(G1301="","",E1301/G1301)</f>
        <v/>
      </c>
      <c r="I1301" s="19">
        <f>IF(G1301="","",F1301/G1301)</f>
        <v/>
      </c>
      <c r="J1301" s="26">
        <f>IFERROR(IF(OR(E1301="",INDEX(E:E,MATCH(DATE(YEAR($A1301)-1,MONTH($A1301),DAY($A1301)),$A:$A,0))=""),"",E1301/INDEX(E:E,MATCH(DATE(YEAR($A1301)-1,MONTH($A1301),DAY($A1301)),$A:$A,0))-1),"")</f>
        <v/>
      </c>
      <c r="K1301" s="19">
        <f>IFERROR(IF(OR(F1301="",INDEX(F:F,MATCH(DATE(YEAR($A1301)-1,MONTH($A1301),DAY($A1301)),$A:$A,0))=""),"",F1301/INDEX(F:F,MATCH(DATE(YEAR($A1301)-1,MONTH($A1301),DAY($A1301)),$A:$A,0))-1),"")</f>
        <v/>
      </c>
      <c r="L1301" s="19">
        <f>IFERROR(IF(OR(G1301="",INDEX(G:G,MATCH(DATE(YEAR($A1301)-1,MONTH($A1301),DAY($A1301)),$A:$A,0))=""),"",G1301/INDEX(G:G,MATCH(DATE(YEAR($A1301)-1,MONTH($A1301),DAY($A1301)),$A:$A,0))-1),"")</f>
        <v/>
      </c>
      <c r="M1301" s="19">
        <f>IF(OR(E1301="",E1300=""),"",E1301/E1300-1)</f>
        <v/>
      </c>
      <c r="N1301" s="19">
        <f>IF(OR(F1301="",F1300=""),"",F1301/F1300-1)</f>
        <v/>
      </c>
      <c r="O1301" s="19">
        <f>IF(OR(G1301="",G1300=""),"",G1301/G1300-1)</f>
        <v/>
      </c>
      <c r="P1301" s="22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IF(R1301="","",P1301/R1301)</f>
        <v/>
      </c>
      <c r="T1301" s="23">
        <f>IF(R1301="","",Q1301/R1301)</f>
        <v/>
      </c>
      <c r="U1301" s="24">
        <f>IF(SUMIFS('Daily NSE Equity Options'!$M:$M,'Daily NSE Equity Options'!$A:$A,$A1301)=0,"",SUMIFS('Daily NSE Equity Options'!$M:$M,'Daily NSE Equity Options'!$A:$A,$A1301))</f>
        <v/>
      </c>
      <c r="V1301" s="9">
        <f>IF(SUMIFS('Daily BSE Equity Options'!$M:$M,'Daily BSE Equity Options'!$A:$A,$A1301)=0,"",SUMIFS('Daily BSE Equity Options'!$M:$M,'Daily BSE Equity Options'!$A:$A,$A1301))</f>
        <v/>
      </c>
      <c r="W1301" s="9">
        <f>IF(OR(U1301="",V1301=""),"",U1301+V1301)</f>
        <v/>
      </c>
      <c r="X1301" s="25">
        <f>IF(W1301="","",U1301/W1301)</f>
        <v/>
      </c>
      <c r="Y1301" s="25">
        <f>IF(W1301="","",V1301/W1301)</f>
        <v/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19">
        <f>IF(G1302="","",E1302/G1302)</f>
        <v/>
      </c>
      <c r="I1302" s="19">
        <f>IF(G1302="","",F1302/G1302)</f>
        <v/>
      </c>
      <c r="J1302" s="26">
        <f>IFERROR(IF(OR(E1302="",INDEX(E:E,MATCH(DATE(YEAR($A1302)-1,MONTH($A1302),DAY($A1302)),$A:$A,0))=""),"",E1302/INDEX(E:E,MATCH(DATE(YEAR($A1302)-1,MONTH($A1302),DAY($A1302)),$A:$A,0))-1),"")</f>
        <v/>
      </c>
      <c r="K1302" s="19">
        <f>IFERROR(IF(OR(F1302="",INDEX(F:F,MATCH(DATE(YEAR($A1302)-1,MONTH($A1302),DAY($A1302)),$A:$A,0))=""),"",F1302/INDEX(F:F,MATCH(DATE(YEAR($A1302)-1,MONTH($A1302),DAY($A1302)),$A:$A,0))-1),"")</f>
        <v/>
      </c>
      <c r="L1302" s="19">
        <f>IFERROR(IF(OR(G1302="",INDEX(G:G,MATCH(DATE(YEAR($A1302)-1,MONTH($A1302),DAY($A1302)),$A:$A,0))=""),"",G1302/INDEX(G:G,MATCH(DATE(YEAR($A1302)-1,MONTH($A1302),DAY($A1302)),$A:$A,0))-1),"")</f>
        <v/>
      </c>
      <c r="M1302" s="19">
        <f>IF(OR(E1302="",E1301=""),"",E1302/E1301-1)</f>
        <v/>
      </c>
      <c r="N1302" s="19">
        <f>IF(OR(F1302="",F1301=""),"",F1302/F1301-1)</f>
        <v/>
      </c>
      <c r="O1302" s="19">
        <f>IF(OR(G1302="",G1301=""),"",G1302/G1301-1)</f>
        <v/>
      </c>
      <c r="P1302" s="22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IF(R1302="","",P1302/R1302)</f>
        <v/>
      </c>
      <c r="T1302" s="23">
        <f>IF(R1302="","",Q1302/R1302)</f>
        <v/>
      </c>
      <c r="U1302" s="24">
        <f>IF(SUMIFS('Daily NSE Equity Options'!$M:$M,'Daily NSE Equity Options'!$A:$A,$A1302)=0,"",SUMIFS('Daily NSE Equity Options'!$M:$M,'Daily NSE Equity Options'!$A:$A,$A1302))</f>
        <v/>
      </c>
      <c r="V1302" s="9">
        <f>IF(SUMIFS('Daily BSE Equity Options'!$M:$M,'Daily BSE Equity Options'!$A:$A,$A1302)=0,"",SUMIFS('Daily BSE Equity Options'!$M:$M,'Daily BSE Equity Options'!$A:$A,$A1302))</f>
        <v/>
      </c>
      <c r="W1302" s="9">
        <f>IF(OR(U1302="",V1302=""),"",U1302+V1302)</f>
        <v/>
      </c>
      <c r="X1302" s="25">
        <f>IF(W1302="","",U1302/W1302)</f>
        <v/>
      </c>
      <c r="Y1302" s="25">
        <f>IF(W1302="","",V1302/W1302)</f>
        <v/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19">
        <f>IF(G1303="","",E1303/G1303)</f>
        <v/>
      </c>
      <c r="I1303" s="19">
        <f>IF(G1303="","",F1303/G1303)</f>
        <v/>
      </c>
      <c r="J1303" s="26">
        <f>IFERROR(IF(OR(E1303="",INDEX(E:E,MATCH(DATE(YEAR($A1303)-1,MONTH($A1303),DAY($A1303)),$A:$A,0))=""),"",E1303/INDEX(E:E,MATCH(DATE(YEAR($A1303)-1,MONTH($A1303),DAY($A1303)),$A:$A,0))-1),"")</f>
        <v/>
      </c>
      <c r="K1303" s="19">
        <f>IFERROR(IF(OR(F1303="",INDEX(F:F,MATCH(DATE(YEAR($A1303)-1,MONTH($A1303),DAY($A1303)),$A:$A,0))=""),"",F1303/INDEX(F:F,MATCH(DATE(YEAR($A1303)-1,MONTH($A1303),DAY($A1303)),$A:$A,0))-1),"")</f>
        <v/>
      </c>
      <c r="L1303" s="19">
        <f>IFERROR(IF(OR(G1303="",INDEX(G:G,MATCH(DATE(YEAR($A1303)-1,MONTH($A1303),DAY($A1303)),$A:$A,0))=""),"",G1303/INDEX(G:G,MATCH(DATE(YEAR($A1303)-1,MONTH($A1303),DAY($A1303)),$A:$A,0))-1),"")</f>
        <v/>
      </c>
      <c r="M1303" s="19">
        <f>IF(OR(E1303="",E1302=""),"",E1303/E1302-1)</f>
        <v/>
      </c>
      <c r="N1303" s="19">
        <f>IF(OR(F1303="",F1302=""),"",F1303/F1302-1)</f>
        <v/>
      </c>
      <c r="O1303" s="19">
        <f>IF(OR(G1303="",G1302=""),"",G1303/G1302-1)</f>
        <v/>
      </c>
      <c r="P1303" s="22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IF(R1303="","",P1303/R1303)</f>
        <v/>
      </c>
      <c r="T1303" s="23">
        <f>IF(R1303="","",Q1303/R1303)</f>
        <v/>
      </c>
      <c r="U1303" s="24">
        <f>IF(SUMIFS('Daily NSE Equity Options'!$M:$M,'Daily NSE Equity Options'!$A:$A,$A1303)=0,"",SUMIFS('Daily NSE Equity Options'!$M:$M,'Daily NSE Equity Options'!$A:$A,$A1303))</f>
        <v/>
      </c>
      <c r="V1303" s="9">
        <f>IF(SUMIFS('Daily BSE Equity Options'!$M:$M,'Daily BSE Equity Options'!$A:$A,$A1303)=0,"",SUMIFS('Daily BSE Equity Options'!$M:$M,'Daily BSE Equity Options'!$A:$A,$A1303))</f>
        <v/>
      </c>
      <c r="W1303" s="9">
        <f>IF(OR(U1303="",V1303=""),"",U1303+V1303)</f>
        <v/>
      </c>
      <c r="X1303" s="25">
        <f>IF(W1303="","",U1303/W1303)</f>
        <v/>
      </c>
      <c r="Y1303" s="25">
        <f>IF(W1303="","",V1303/W1303)</f>
        <v/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19">
        <f>IF(G1304="","",E1304/G1304)</f>
        <v/>
      </c>
      <c r="I1304" s="19">
        <f>IF(G1304="","",F1304/G1304)</f>
        <v/>
      </c>
      <c r="J1304" s="26">
        <f>IFERROR(IF(OR(E1304="",INDEX(E:E,MATCH(DATE(YEAR($A1304)-1,MONTH($A1304),DAY($A1304)),$A:$A,0))=""),"",E1304/INDEX(E:E,MATCH(DATE(YEAR($A1304)-1,MONTH($A1304),DAY($A1304)),$A:$A,0))-1),"")</f>
        <v/>
      </c>
      <c r="K1304" s="19">
        <f>IFERROR(IF(OR(F1304="",INDEX(F:F,MATCH(DATE(YEAR($A1304)-1,MONTH($A1304),DAY($A1304)),$A:$A,0))=""),"",F1304/INDEX(F:F,MATCH(DATE(YEAR($A1304)-1,MONTH($A1304),DAY($A1304)),$A:$A,0))-1),"")</f>
        <v/>
      </c>
      <c r="L1304" s="19">
        <f>IFERROR(IF(OR(G1304="",INDEX(G:G,MATCH(DATE(YEAR($A1304)-1,MONTH($A1304),DAY($A1304)),$A:$A,0))=""),"",G1304/INDEX(G:G,MATCH(DATE(YEAR($A1304)-1,MONTH($A1304),DAY($A1304)),$A:$A,0))-1),"")</f>
        <v/>
      </c>
      <c r="M1304" s="19">
        <f>IF(OR(E1304="",E1303=""),"",E1304/E1303-1)</f>
        <v/>
      </c>
      <c r="N1304" s="19">
        <f>IF(OR(F1304="",F1303=""),"",F1304/F1303-1)</f>
        <v/>
      </c>
      <c r="O1304" s="19">
        <f>IF(OR(G1304="",G1303=""),"",G1304/G1303-1)</f>
        <v/>
      </c>
      <c r="P1304" s="22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IF(R1304="","",P1304/R1304)</f>
        <v/>
      </c>
      <c r="T1304" s="23">
        <f>IF(R1304="","",Q1304/R1304)</f>
        <v/>
      </c>
      <c r="U1304" s="24">
        <f>IF(SUMIFS('Daily NSE Equity Options'!$M:$M,'Daily NSE Equity Options'!$A:$A,$A1304)=0,"",SUMIFS('Daily NSE Equity Options'!$M:$M,'Daily NSE Equity Options'!$A:$A,$A1304))</f>
        <v/>
      </c>
      <c r="V1304" s="9">
        <f>IF(SUMIFS('Daily BSE Equity Options'!$M:$M,'Daily BSE Equity Options'!$A:$A,$A1304)=0,"",SUMIFS('Daily BSE Equity Options'!$M:$M,'Daily BSE Equity Options'!$A:$A,$A1304))</f>
        <v/>
      </c>
      <c r="W1304" s="9">
        <f>IF(OR(U1304="",V1304=""),"",U1304+V1304)</f>
        <v/>
      </c>
      <c r="X1304" s="25">
        <f>IF(W1304="","",U1304/W1304)</f>
        <v/>
      </c>
      <c r="Y1304" s="25">
        <f>IF(W1304="","",V1304/W1304)</f>
        <v/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19">
        <f>IF(G1305="","",E1305/G1305)</f>
        <v/>
      </c>
      <c r="I1305" s="19">
        <f>IF(G1305="","",F1305/G1305)</f>
        <v/>
      </c>
      <c r="J1305" s="26">
        <f>IFERROR(IF(OR(E1305="",INDEX(E:E,MATCH(DATE(YEAR($A1305)-1,MONTH($A1305),DAY($A1305)),$A:$A,0))=""),"",E1305/INDEX(E:E,MATCH(DATE(YEAR($A1305)-1,MONTH($A1305),DAY($A1305)),$A:$A,0))-1),"")</f>
        <v/>
      </c>
      <c r="K1305" s="19">
        <f>IFERROR(IF(OR(F1305="",INDEX(F:F,MATCH(DATE(YEAR($A1305)-1,MONTH($A1305),DAY($A1305)),$A:$A,0))=""),"",F1305/INDEX(F:F,MATCH(DATE(YEAR($A1305)-1,MONTH($A1305),DAY($A1305)),$A:$A,0))-1),"")</f>
        <v/>
      </c>
      <c r="L1305" s="19">
        <f>IFERROR(IF(OR(G1305="",INDEX(G:G,MATCH(DATE(YEAR($A1305)-1,MONTH($A1305),DAY($A1305)),$A:$A,0))=""),"",G1305/INDEX(G:G,MATCH(DATE(YEAR($A1305)-1,MONTH($A1305),DAY($A1305)),$A:$A,0))-1),"")</f>
        <v/>
      </c>
      <c r="M1305" s="19">
        <f>IF(OR(E1305="",E1304=""),"",E1305/E1304-1)</f>
        <v/>
      </c>
      <c r="N1305" s="19">
        <f>IF(OR(F1305="",F1304=""),"",F1305/F1304-1)</f>
        <v/>
      </c>
      <c r="O1305" s="19">
        <f>IF(OR(G1305="",G1304=""),"",G1305/G1304-1)</f>
        <v/>
      </c>
      <c r="P1305" s="22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IF(R1305="","",P1305/R1305)</f>
        <v/>
      </c>
      <c r="T1305" s="23">
        <f>IF(R1305="","",Q1305/R1305)</f>
        <v/>
      </c>
      <c r="U1305" s="24">
        <f>IF(SUMIFS('Daily NSE Equity Options'!$M:$M,'Daily NSE Equity Options'!$A:$A,$A1305)=0,"",SUMIFS('Daily NSE Equity Options'!$M:$M,'Daily NSE Equity Options'!$A:$A,$A1305))</f>
        <v/>
      </c>
      <c r="V1305" s="9">
        <f>IF(SUMIFS('Daily BSE Equity Options'!$M:$M,'Daily BSE Equity Options'!$A:$A,$A1305)=0,"",SUMIFS('Daily BSE Equity Options'!$M:$M,'Daily BSE Equity Options'!$A:$A,$A1305))</f>
        <v/>
      </c>
      <c r="W1305" s="9">
        <f>IF(OR(U1305="",V1305=""),"",U1305+V1305)</f>
        <v/>
      </c>
      <c r="X1305" s="25">
        <f>IF(W1305="","",U1305/W1305)</f>
        <v/>
      </c>
      <c r="Y1305" s="25">
        <f>IF(W1305="","",V1305/W1305)</f>
        <v/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19">
        <f>IF(G1306="","",E1306/G1306)</f>
        <v/>
      </c>
      <c r="I1306" s="19">
        <f>IF(G1306="","",F1306/G1306)</f>
        <v/>
      </c>
      <c r="J1306" s="26">
        <f>IFERROR(IF(OR(E1306="",INDEX(E:E,MATCH(DATE(YEAR($A1306)-1,MONTH($A1306),DAY($A1306)),$A:$A,0))=""),"",E1306/INDEX(E:E,MATCH(DATE(YEAR($A1306)-1,MONTH($A1306),DAY($A1306)),$A:$A,0))-1),"")</f>
        <v/>
      </c>
      <c r="K1306" s="19">
        <f>IFERROR(IF(OR(F1306="",INDEX(F:F,MATCH(DATE(YEAR($A1306)-1,MONTH($A1306),DAY($A1306)),$A:$A,0))=""),"",F1306/INDEX(F:F,MATCH(DATE(YEAR($A1306)-1,MONTH($A1306),DAY($A1306)),$A:$A,0))-1),"")</f>
        <v/>
      </c>
      <c r="L1306" s="19">
        <f>IFERROR(IF(OR(G1306="",INDEX(G:G,MATCH(DATE(YEAR($A1306)-1,MONTH($A1306),DAY($A1306)),$A:$A,0))=""),"",G1306/INDEX(G:G,MATCH(DATE(YEAR($A1306)-1,MONTH($A1306),DAY($A1306)),$A:$A,0))-1),"")</f>
        <v/>
      </c>
      <c r="M1306" s="19">
        <f>IF(OR(E1306="",E1305=""),"",E1306/E1305-1)</f>
        <v/>
      </c>
      <c r="N1306" s="19">
        <f>IF(OR(F1306="",F1305=""),"",F1306/F1305-1)</f>
        <v/>
      </c>
      <c r="O1306" s="19">
        <f>IF(OR(G1306="",G1305=""),"",G1306/G1305-1)</f>
        <v/>
      </c>
      <c r="P1306" s="22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IF(R1306="","",P1306/R1306)</f>
        <v/>
      </c>
      <c r="T1306" s="23">
        <f>IF(R1306="","",Q1306/R1306)</f>
        <v/>
      </c>
      <c r="U1306" s="24">
        <f>IF(SUMIFS('Daily NSE Equity Options'!$M:$M,'Daily NSE Equity Options'!$A:$A,$A1306)=0,"",SUMIFS('Daily NSE Equity Options'!$M:$M,'Daily NSE Equity Options'!$A:$A,$A1306))</f>
        <v/>
      </c>
      <c r="V1306" s="9">
        <f>IF(SUMIFS('Daily BSE Equity Options'!$M:$M,'Daily BSE Equity Options'!$A:$A,$A1306)=0,"",SUMIFS('Daily BSE Equity Options'!$M:$M,'Daily BSE Equity Options'!$A:$A,$A1306))</f>
        <v/>
      </c>
      <c r="W1306" s="9">
        <f>IF(OR(U1306="",V1306=""),"",U1306+V1306)</f>
        <v/>
      </c>
      <c r="X1306" s="25">
        <f>IF(W1306="","",U1306/W1306)</f>
        <v/>
      </c>
      <c r="Y1306" s="25">
        <f>IF(W1306="","",V1306/W1306)</f>
        <v/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19">
        <f>IF(G1307="","",E1307/G1307)</f>
        <v/>
      </c>
      <c r="I1307" s="19">
        <f>IF(G1307="","",F1307/G1307)</f>
        <v/>
      </c>
      <c r="J1307" s="26">
        <f>IFERROR(IF(OR(E1307="",INDEX(E:E,MATCH(DATE(YEAR($A1307)-1,MONTH($A1307),DAY($A1307)),$A:$A,0))=""),"",E1307/INDEX(E:E,MATCH(DATE(YEAR($A1307)-1,MONTH($A1307),DAY($A1307)),$A:$A,0))-1),"")</f>
        <v/>
      </c>
      <c r="K1307" s="19">
        <f>IFERROR(IF(OR(F1307="",INDEX(F:F,MATCH(DATE(YEAR($A1307)-1,MONTH($A1307),DAY($A1307)),$A:$A,0))=""),"",F1307/INDEX(F:F,MATCH(DATE(YEAR($A1307)-1,MONTH($A1307),DAY($A1307)),$A:$A,0))-1),"")</f>
        <v/>
      </c>
      <c r="L1307" s="19">
        <f>IFERROR(IF(OR(G1307="",INDEX(G:G,MATCH(DATE(YEAR($A1307)-1,MONTH($A1307),DAY($A1307)),$A:$A,0))=""),"",G1307/INDEX(G:G,MATCH(DATE(YEAR($A1307)-1,MONTH($A1307),DAY($A1307)),$A:$A,0))-1),"")</f>
        <v/>
      </c>
      <c r="M1307" s="19">
        <f>IF(OR(E1307="",E1306=""),"",E1307/E1306-1)</f>
        <v/>
      </c>
      <c r="N1307" s="19">
        <f>IF(OR(F1307="",F1306=""),"",F1307/F1306-1)</f>
        <v/>
      </c>
      <c r="O1307" s="19">
        <f>IF(OR(G1307="",G1306=""),"",G1307/G1306-1)</f>
        <v/>
      </c>
      <c r="P1307" s="22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IF(R1307="","",P1307/R1307)</f>
        <v/>
      </c>
      <c r="T1307" s="23">
        <f>IF(R1307="","",Q1307/R1307)</f>
        <v/>
      </c>
      <c r="U1307" s="24">
        <f>IF(SUMIFS('Daily NSE Equity Options'!$M:$M,'Daily NSE Equity Options'!$A:$A,$A1307)=0,"",SUMIFS('Daily NSE Equity Options'!$M:$M,'Daily NSE Equity Options'!$A:$A,$A1307))</f>
        <v/>
      </c>
      <c r="V1307" s="9">
        <f>IF(SUMIFS('Daily BSE Equity Options'!$M:$M,'Daily BSE Equity Options'!$A:$A,$A1307)=0,"",SUMIFS('Daily BSE Equity Options'!$M:$M,'Daily BSE Equity Options'!$A:$A,$A1307))</f>
        <v/>
      </c>
      <c r="W1307" s="9">
        <f>IF(OR(U1307="",V1307=""),"",U1307+V1307)</f>
        <v/>
      </c>
      <c r="X1307" s="25">
        <f>IF(W1307="","",U1307/W1307)</f>
        <v/>
      </c>
      <c r="Y1307" s="25">
        <f>IF(W1307="","",V1307/W1307)</f>
        <v/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19">
        <f>IF(G1308="","",E1308/G1308)</f>
        <v/>
      </c>
      <c r="I1308" s="19">
        <f>IF(G1308="","",F1308/G1308)</f>
        <v/>
      </c>
      <c r="J1308" s="26">
        <f>IFERROR(IF(OR(E1308="",INDEX(E:E,MATCH(DATE(YEAR($A1308)-1,MONTH($A1308),DAY($A1308)),$A:$A,0))=""),"",E1308/INDEX(E:E,MATCH(DATE(YEAR($A1308)-1,MONTH($A1308),DAY($A1308)),$A:$A,0))-1),"")</f>
        <v/>
      </c>
      <c r="K1308" s="19">
        <f>IFERROR(IF(OR(F1308="",INDEX(F:F,MATCH(DATE(YEAR($A1308)-1,MONTH($A1308),DAY($A1308)),$A:$A,0))=""),"",F1308/INDEX(F:F,MATCH(DATE(YEAR($A1308)-1,MONTH($A1308),DAY($A1308)),$A:$A,0))-1),"")</f>
        <v/>
      </c>
      <c r="L1308" s="19">
        <f>IFERROR(IF(OR(G1308="",INDEX(G:G,MATCH(DATE(YEAR($A1308)-1,MONTH($A1308),DAY($A1308)),$A:$A,0))=""),"",G1308/INDEX(G:G,MATCH(DATE(YEAR($A1308)-1,MONTH($A1308),DAY($A1308)),$A:$A,0))-1),"")</f>
        <v/>
      </c>
      <c r="M1308" s="19">
        <f>IF(OR(E1308="",E1307=""),"",E1308/E1307-1)</f>
        <v/>
      </c>
      <c r="N1308" s="19">
        <f>IF(OR(F1308="",F1307=""),"",F1308/F1307-1)</f>
        <v/>
      </c>
      <c r="O1308" s="19">
        <f>IF(OR(G1308="",G1307=""),"",G1308/G1307-1)</f>
        <v/>
      </c>
      <c r="P1308" s="22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IF(R1308="","",P1308/R1308)</f>
        <v/>
      </c>
      <c r="T1308" s="23">
        <f>IF(R1308="","",Q1308/R1308)</f>
        <v/>
      </c>
      <c r="U1308" s="24">
        <f>IF(SUMIFS('Daily NSE Equity Options'!$M:$M,'Daily NSE Equity Options'!$A:$A,$A1308)=0,"",SUMIFS('Daily NSE Equity Options'!$M:$M,'Daily NSE Equity Options'!$A:$A,$A1308))</f>
        <v/>
      </c>
      <c r="V1308" s="9">
        <f>IF(SUMIFS('Daily BSE Equity Options'!$M:$M,'Daily BSE Equity Options'!$A:$A,$A1308)=0,"",SUMIFS('Daily BSE Equity Options'!$M:$M,'Daily BSE Equity Options'!$A:$A,$A1308))</f>
        <v/>
      </c>
      <c r="W1308" s="9">
        <f>IF(OR(U1308="",V1308=""),"",U1308+V1308)</f>
        <v/>
      </c>
      <c r="X1308" s="25">
        <f>IF(W1308="","",U1308/W1308)</f>
        <v/>
      </c>
      <c r="Y1308" s="25">
        <f>IF(W1308="","",V1308/W1308)</f>
        <v/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19">
        <f>IF(G1309="","",E1309/G1309)</f>
        <v/>
      </c>
      <c r="I1309" s="19">
        <f>IF(G1309="","",F1309/G1309)</f>
        <v/>
      </c>
      <c r="J1309" s="26">
        <f>IFERROR(IF(OR(E1309="",INDEX(E:E,MATCH(DATE(YEAR($A1309)-1,MONTH($A1309),DAY($A1309)),$A:$A,0))=""),"",E1309/INDEX(E:E,MATCH(DATE(YEAR($A1309)-1,MONTH($A1309),DAY($A1309)),$A:$A,0))-1),"")</f>
        <v/>
      </c>
      <c r="K1309" s="19">
        <f>IFERROR(IF(OR(F1309="",INDEX(F:F,MATCH(DATE(YEAR($A1309)-1,MONTH($A1309),DAY($A1309)),$A:$A,0))=""),"",F1309/INDEX(F:F,MATCH(DATE(YEAR($A1309)-1,MONTH($A1309),DAY($A1309)),$A:$A,0))-1),"")</f>
        <v/>
      </c>
      <c r="L1309" s="19">
        <f>IFERROR(IF(OR(G1309="",INDEX(G:G,MATCH(DATE(YEAR($A1309)-1,MONTH($A1309),DAY($A1309)),$A:$A,0))=""),"",G1309/INDEX(G:G,MATCH(DATE(YEAR($A1309)-1,MONTH($A1309),DAY($A1309)),$A:$A,0))-1),"")</f>
        <v/>
      </c>
      <c r="M1309" s="19">
        <f>IF(OR(E1309="",E1308=""),"",E1309/E1308-1)</f>
        <v/>
      </c>
      <c r="N1309" s="19">
        <f>IF(OR(F1309="",F1308=""),"",F1309/F1308-1)</f>
        <v/>
      </c>
      <c r="O1309" s="19">
        <f>IF(OR(G1309="",G1308=""),"",G1309/G1308-1)</f>
        <v/>
      </c>
      <c r="P1309" s="22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IF(R1309="","",P1309/R1309)</f>
        <v/>
      </c>
      <c r="T1309" s="23">
        <f>IF(R1309="","",Q1309/R1309)</f>
        <v/>
      </c>
      <c r="U1309" s="24">
        <f>IF(SUMIFS('Daily NSE Equity Options'!$M:$M,'Daily NSE Equity Options'!$A:$A,$A1309)=0,"",SUMIFS('Daily NSE Equity Options'!$M:$M,'Daily NSE Equity Options'!$A:$A,$A1309))</f>
        <v/>
      </c>
      <c r="V1309" s="9">
        <f>IF(SUMIFS('Daily BSE Equity Options'!$M:$M,'Daily BSE Equity Options'!$A:$A,$A1309)=0,"",SUMIFS('Daily BSE Equity Options'!$M:$M,'Daily BSE Equity Options'!$A:$A,$A1309))</f>
        <v/>
      </c>
      <c r="W1309" s="9">
        <f>IF(OR(U1309="",V1309=""),"",U1309+V1309)</f>
        <v/>
      </c>
      <c r="X1309" s="25">
        <f>IF(W1309="","",U1309/W1309)</f>
        <v/>
      </c>
      <c r="Y1309" s="25">
        <f>IF(W1309="","",V1309/W1309)</f>
        <v/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19">
        <f>IF(G1310="","",E1310/G1310)</f>
        <v/>
      </c>
      <c r="I1310" s="19">
        <f>IF(G1310="","",F1310/G1310)</f>
        <v/>
      </c>
      <c r="J1310" s="26">
        <f>IFERROR(IF(OR(E1310="",INDEX(E:E,MATCH(DATE(YEAR($A1310)-1,MONTH($A1310),DAY($A1310)),$A:$A,0))=""),"",E1310/INDEX(E:E,MATCH(DATE(YEAR($A1310)-1,MONTH($A1310),DAY($A1310)),$A:$A,0))-1),"")</f>
        <v/>
      </c>
      <c r="K1310" s="19">
        <f>IFERROR(IF(OR(F1310="",INDEX(F:F,MATCH(DATE(YEAR($A1310)-1,MONTH($A1310),DAY($A1310)),$A:$A,0))=""),"",F1310/INDEX(F:F,MATCH(DATE(YEAR($A1310)-1,MONTH($A1310),DAY($A1310)),$A:$A,0))-1),"")</f>
        <v/>
      </c>
      <c r="L1310" s="19">
        <f>IFERROR(IF(OR(G1310="",INDEX(G:G,MATCH(DATE(YEAR($A1310)-1,MONTH($A1310),DAY($A1310)),$A:$A,0))=""),"",G1310/INDEX(G:G,MATCH(DATE(YEAR($A1310)-1,MONTH($A1310),DAY($A1310)),$A:$A,0))-1),"")</f>
        <v/>
      </c>
      <c r="M1310" s="19">
        <f>IF(OR(E1310="",E1309=""),"",E1310/E1309-1)</f>
        <v/>
      </c>
      <c r="N1310" s="19">
        <f>IF(OR(F1310="",F1309=""),"",F1310/F1309-1)</f>
        <v/>
      </c>
      <c r="O1310" s="19">
        <f>IF(OR(G1310="",G1309=""),"",G1310/G1309-1)</f>
        <v/>
      </c>
      <c r="P1310" s="22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IF(R1310="","",P1310/R1310)</f>
        <v/>
      </c>
      <c r="T1310" s="23">
        <f>IF(R1310="","",Q1310/R1310)</f>
        <v/>
      </c>
      <c r="U1310" s="24">
        <f>IF(SUMIFS('Daily NSE Equity Options'!$M:$M,'Daily NSE Equity Options'!$A:$A,$A1310)=0,"",SUMIFS('Daily NSE Equity Options'!$M:$M,'Daily NSE Equity Options'!$A:$A,$A1310))</f>
        <v/>
      </c>
      <c r="V1310" s="9">
        <f>IF(SUMIFS('Daily BSE Equity Options'!$M:$M,'Daily BSE Equity Options'!$A:$A,$A1310)=0,"",SUMIFS('Daily BSE Equity Options'!$M:$M,'Daily BSE Equity Options'!$A:$A,$A1310))</f>
        <v/>
      </c>
      <c r="W1310" s="9">
        <f>IF(OR(U1310="",V1310=""),"",U1310+V1310)</f>
        <v/>
      </c>
      <c r="X1310" s="25">
        <f>IF(W1310="","",U1310/W1310)</f>
        <v/>
      </c>
      <c r="Y1310" s="25">
        <f>IF(W1310="","",V1310/W1310)</f>
        <v/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19">
        <f>IF(G1311="","",E1311/G1311)</f>
        <v/>
      </c>
      <c r="I1311" s="19">
        <f>IF(G1311="","",F1311/G1311)</f>
        <v/>
      </c>
      <c r="J1311" s="26">
        <f>IFERROR(IF(OR(E1311="",INDEX(E:E,MATCH(DATE(YEAR($A1311)-1,MONTH($A1311),DAY($A1311)),$A:$A,0))=""),"",E1311/INDEX(E:E,MATCH(DATE(YEAR($A1311)-1,MONTH($A1311),DAY($A1311)),$A:$A,0))-1),"")</f>
        <v/>
      </c>
      <c r="K1311" s="19">
        <f>IFERROR(IF(OR(F1311="",INDEX(F:F,MATCH(DATE(YEAR($A1311)-1,MONTH($A1311),DAY($A1311)),$A:$A,0))=""),"",F1311/INDEX(F:F,MATCH(DATE(YEAR($A1311)-1,MONTH($A1311),DAY($A1311)),$A:$A,0))-1),"")</f>
        <v/>
      </c>
      <c r="L1311" s="19">
        <f>IFERROR(IF(OR(G1311="",INDEX(G:G,MATCH(DATE(YEAR($A1311)-1,MONTH($A1311),DAY($A1311)),$A:$A,0))=""),"",G1311/INDEX(G:G,MATCH(DATE(YEAR($A1311)-1,MONTH($A1311),DAY($A1311)),$A:$A,0))-1),"")</f>
        <v/>
      </c>
      <c r="M1311" s="19">
        <f>IF(OR(E1311="",E1310=""),"",E1311/E1310-1)</f>
        <v/>
      </c>
      <c r="N1311" s="19">
        <f>IF(OR(F1311="",F1310=""),"",F1311/F1310-1)</f>
        <v/>
      </c>
      <c r="O1311" s="19">
        <f>IF(OR(G1311="",G1310=""),"",G1311/G1310-1)</f>
        <v/>
      </c>
      <c r="P1311" s="22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IF(R1311="","",P1311/R1311)</f>
        <v/>
      </c>
      <c r="T1311" s="23">
        <f>IF(R1311="","",Q1311/R1311)</f>
        <v/>
      </c>
      <c r="U1311" s="24">
        <f>IF(SUMIFS('Daily NSE Equity Options'!$M:$M,'Daily NSE Equity Options'!$A:$A,$A1311)=0,"",SUMIFS('Daily NSE Equity Options'!$M:$M,'Daily NSE Equity Options'!$A:$A,$A1311))</f>
        <v/>
      </c>
      <c r="V1311" s="9">
        <f>IF(SUMIFS('Daily BSE Equity Options'!$M:$M,'Daily BSE Equity Options'!$A:$A,$A1311)=0,"",SUMIFS('Daily BSE Equity Options'!$M:$M,'Daily BSE Equity Options'!$A:$A,$A1311))</f>
        <v/>
      </c>
      <c r="W1311" s="9">
        <f>IF(OR(U1311="",V1311=""),"",U1311+V1311)</f>
        <v/>
      </c>
      <c r="X1311" s="25">
        <f>IF(W1311="","",U1311/W1311)</f>
        <v/>
      </c>
      <c r="Y1311" s="25">
        <f>IF(W1311="","",V1311/W1311)</f>
        <v/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19">
        <f>IF(G1312="","",E1312/G1312)</f>
        <v/>
      </c>
      <c r="I1312" s="19">
        <f>IF(G1312="","",F1312/G1312)</f>
        <v/>
      </c>
      <c r="J1312" s="26">
        <f>IFERROR(IF(OR(E1312="",INDEX(E:E,MATCH(DATE(YEAR($A1312)-1,MONTH($A1312),DAY($A1312)),$A:$A,0))=""),"",E1312/INDEX(E:E,MATCH(DATE(YEAR($A1312)-1,MONTH($A1312),DAY($A1312)),$A:$A,0))-1),"")</f>
        <v/>
      </c>
      <c r="K1312" s="19">
        <f>IFERROR(IF(OR(F1312="",INDEX(F:F,MATCH(DATE(YEAR($A1312)-1,MONTH($A1312),DAY($A1312)),$A:$A,0))=""),"",F1312/INDEX(F:F,MATCH(DATE(YEAR($A1312)-1,MONTH($A1312),DAY($A1312)),$A:$A,0))-1),"")</f>
        <v/>
      </c>
      <c r="L1312" s="19">
        <f>IFERROR(IF(OR(G1312="",INDEX(G:G,MATCH(DATE(YEAR($A1312)-1,MONTH($A1312),DAY($A1312)),$A:$A,0))=""),"",G1312/INDEX(G:G,MATCH(DATE(YEAR($A1312)-1,MONTH($A1312),DAY($A1312)),$A:$A,0))-1),"")</f>
        <v/>
      </c>
      <c r="M1312" s="19">
        <f>IF(OR(E1312="",E1311=""),"",E1312/E1311-1)</f>
        <v/>
      </c>
      <c r="N1312" s="19">
        <f>IF(OR(F1312="",F1311=""),"",F1312/F1311-1)</f>
        <v/>
      </c>
      <c r="O1312" s="19">
        <f>IF(OR(G1312="",G1311=""),"",G1312/G1311-1)</f>
        <v/>
      </c>
      <c r="P1312" s="22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IF(R1312="","",P1312/R1312)</f>
        <v/>
      </c>
      <c r="T1312" s="23">
        <f>IF(R1312="","",Q1312/R1312)</f>
        <v/>
      </c>
      <c r="U1312" s="24">
        <f>IF(SUMIFS('Daily NSE Equity Options'!$M:$M,'Daily NSE Equity Options'!$A:$A,$A1312)=0,"",SUMIFS('Daily NSE Equity Options'!$M:$M,'Daily NSE Equity Options'!$A:$A,$A1312))</f>
        <v/>
      </c>
      <c r="V1312" s="9">
        <f>IF(SUMIFS('Daily BSE Equity Options'!$M:$M,'Daily BSE Equity Options'!$A:$A,$A1312)=0,"",SUMIFS('Daily BSE Equity Options'!$M:$M,'Daily BSE Equity Options'!$A:$A,$A1312))</f>
        <v/>
      </c>
      <c r="W1312" s="9">
        <f>IF(OR(U1312="",V1312=""),"",U1312+V1312)</f>
        <v/>
      </c>
      <c r="X1312" s="25">
        <f>IF(W1312="","",U1312/W1312)</f>
        <v/>
      </c>
      <c r="Y1312" s="25">
        <f>IF(W1312="","",V1312/W1312)</f>
        <v/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19">
        <f>IF(G1313="","",E1313/G1313)</f>
        <v/>
      </c>
      <c r="I1313" s="19">
        <f>IF(G1313="","",F1313/G1313)</f>
        <v/>
      </c>
      <c r="J1313" s="26">
        <f>IFERROR(IF(OR(E1313="",INDEX(E:E,MATCH(DATE(YEAR($A1313)-1,MONTH($A1313),DAY($A1313)),$A:$A,0))=""),"",E1313/INDEX(E:E,MATCH(DATE(YEAR($A1313)-1,MONTH($A1313),DAY($A1313)),$A:$A,0))-1),"")</f>
        <v/>
      </c>
      <c r="K1313" s="19">
        <f>IFERROR(IF(OR(F1313="",INDEX(F:F,MATCH(DATE(YEAR($A1313)-1,MONTH($A1313),DAY($A1313)),$A:$A,0))=""),"",F1313/INDEX(F:F,MATCH(DATE(YEAR($A1313)-1,MONTH($A1313),DAY($A1313)),$A:$A,0))-1),"")</f>
        <v/>
      </c>
      <c r="L1313" s="19">
        <f>IFERROR(IF(OR(G1313="",INDEX(G:G,MATCH(DATE(YEAR($A1313)-1,MONTH($A1313),DAY($A1313)),$A:$A,0))=""),"",G1313/INDEX(G:G,MATCH(DATE(YEAR($A1313)-1,MONTH($A1313),DAY($A1313)),$A:$A,0))-1),"")</f>
        <v/>
      </c>
      <c r="M1313" s="19">
        <f>IF(OR(E1313="",E1312=""),"",E1313/E1312-1)</f>
        <v/>
      </c>
      <c r="N1313" s="19">
        <f>IF(OR(F1313="",F1312=""),"",F1313/F1312-1)</f>
        <v/>
      </c>
      <c r="O1313" s="19">
        <f>IF(OR(G1313="",G1312=""),"",G1313/G1312-1)</f>
        <v/>
      </c>
      <c r="P1313" s="22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IF(R1313="","",P1313/R1313)</f>
        <v/>
      </c>
      <c r="T1313" s="23">
        <f>IF(R1313="","",Q1313/R1313)</f>
        <v/>
      </c>
      <c r="U1313" s="24">
        <f>IF(SUMIFS('Daily NSE Equity Options'!$M:$M,'Daily NSE Equity Options'!$A:$A,$A1313)=0,"",SUMIFS('Daily NSE Equity Options'!$M:$M,'Daily NSE Equity Options'!$A:$A,$A1313))</f>
        <v/>
      </c>
      <c r="V1313" s="9">
        <f>IF(SUMIFS('Daily BSE Equity Options'!$M:$M,'Daily BSE Equity Options'!$A:$A,$A1313)=0,"",SUMIFS('Daily BSE Equity Options'!$M:$M,'Daily BSE Equity Options'!$A:$A,$A1313))</f>
        <v/>
      </c>
      <c r="W1313" s="9">
        <f>IF(OR(U1313="",V1313=""),"",U1313+V1313)</f>
        <v/>
      </c>
      <c r="X1313" s="25">
        <f>IF(W1313="","",U1313/W1313)</f>
        <v/>
      </c>
      <c r="Y1313" s="25">
        <f>IF(W1313="","",V1313/W1313)</f>
        <v/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19">
        <f>IF(G1314="","",E1314/G1314)</f>
        <v/>
      </c>
      <c r="I1314" s="19">
        <f>IF(G1314="","",F1314/G1314)</f>
        <v/>
      </c>
      <c r="J1314" s="26">
        <f>IFERROR(IF(OR(E1314="",INDEX(E:E,MATCH(DATE(YEAR($A1314)-1,MONTH($A1314),DAY($A1314)),$A:$A,0))=""),"",E1314/INDEX(E:E,MATCH(DATE(YEAR($A1314)-1,MONTH($A1314),DAY($A1314)),$A:$A,0))-1),"")</f>
        <v/>
      </c>
      <c r="K1314" s="19">
        <f>IFERROR(IF(OR(F1314="",INDEX(F:F,MATCH(DATE(YEAR($A1314)-1,MONTH($A1314),DAY($A1314)),$A:$A,0))=""),"",F1314/INDEX(F:F,MATCH(DATE(YEAR($A1314)-1,MONTH($A1314),DAY($A1314)),$A:$A,0))-1),"")</f>
        <v/>
      </c>
      <c r="L1314" s="19">
        <f>IFERROR(IF(OR(G1314="",INDEX(G:G,MATCH(DATE(YEAR($A1314)-1,MONTH($A1314),DAY($A1314)),$A:$A,0))=""),"",G1314/INDEX(G:G,MATCH(DATE(YEAR($A1314)-1,MONTH($A1314),DAY($A1314)),$A:$A,0))-1),"")</f>
        <v/>
      </c>
      <c r="M1314" s="19">
        <f>IF(OR(E1314="",E1313=""),"",E1314/E1313-1)</f>
        <v/>
      </c>
      <c r="N1314" s="19">
        <f>IF(OR(F1314="",F1313=""),"",F1314/F1313-1)</f>
        <v/>
      </c>
      <c r="O1314" s="19">
        <f>IF(OR(G1314="",G1313=""),"",G1314/G1313-1)</f>
        <v/>
      </c>
      <c r="P1314" s="22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IF(R1314="","",P1314/R1314)</f>
        <v/>
      </c>
      <c r="T1314" s="23">
        <f>IF(R1314="","",Q1314/R1314)</f>
        <v/>
      </c>
      <c r="U1314" s="24">
        <f>IF(SUMIFS('Daily NSE Equity Options'!$M:$M,'Daily NSE Equity Options'!$A:$A,$A1314)=0,"",SUMIFS('Daily NSE Equity Options'!$M:$M,'Daily NSE Equity Options'!$A:$A,$A1314))</f>
        <v/>
      </c>
      <c r="V1314" s="9">
        <f>IF(SUMIFS('Daily BSE Equity Options'!$M:$M,'Daily BSE Equity Options'!$A:$A,$A1314)=0,"",SUMIFS('Daily BSE Equity Options'!$M:$M,'Daily BSE Equity Options'!$A:$A,$A1314))</f>
        <v/>
      </c>
      <c r="W1314" s="9">
        <f>IF(OR(U1314="",V1314=""),"",U1314+V1314)</f>
        <v/>
      </c>
      <c r="X1314" s="25">
        <f>IF(W1314="","",U1314/W1314)</f>
        <v/>
      </c>
      <c r="Y1314" s="25">
        <f>IF(W1314="","",V1314/W1314)</f>
        <v/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19">
        <f>IF(G1315="","",E1315/G1315)</f>
        <v/>
      </c>
      <c r="I1315" s="19">
        <f>IF(G1315="","",F1315/G1315)</f>
        <v/>
      </c>
      <c r="J1315" s="26">
        <f>IFERROR(IF(OR(E1315="",INDEX(E:E,MATCH(DATE(YEAR($A1315)-1,MONTH($A1315),DAY($A1315)),$A:$A,0))=""),"",E1315/INDEX(E:E,MATCH(DATE(YEAR($A1315)-1,MONTH($A1315),DAY($A1315)),$A:$A,0))-1),"")</f>
        <v/>
      </c>
      <c r="K1315" s="19">
        <f>IFERROR(IF(OR(F1315="",INDEX(F:F,MATCH(DATE(YEAR($A1315)-1,MONTH($A1315),DAY($A1315)),$A:$A,0))=""),"",F1315/INDEX(F:F,MATCH(DATE(YEAR($A1315)-1,MONTH($A1315),DAY($A1315)),$A:$A,0))-1),"")</f>
        <v/>
      </c>
      <c r="L1315" s="19">
        <f>IFERROR(IF(OR(G1315="",INDEX(G:G,MATCH(DATE(YEAR($A1315)-1,MONTH($A1315),DAY($A1315)),$A:$A,0))=""),"",G1315/INDEX(G:G,MATCH(DATE(YEAR($A1315)-1,MONTH($A1315),DAY($A1315)),$A:$A,0))-1),"")</f>
        <v/>
      </c>
      <c r="M1315" s="19">
        <f>IF(OR(E1315="",E1314=""),"",E1315/E1314-1)</f>
        <v/>
      </c>
      <c r="N1315" s="19">
        <f>IF(OR(F1315="",F1314=""),"",F1315/F1314-1)</f>
        <v/>
      </c>
      <c r="O1315" s="19">
        <f>IF(OR(G1315="",G1314=""),"",G1315/G1314-1)</f>
        <v/>
      </c>
      <c r="P1315" s="22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IF(R1315="","",P1315/R1315)</f>
        <v/>
      </c>
      <c r="T1315" s="23">
        <f>IF(R1315="","",Q1315/R1315)</f>
        <v/>
      </c>
      <c r="U1315" s="24">
        <f>IF(SUMIFS('Daily NSE Equity Options'!$M:$M,'Daily NSE Equity Options'!$A:$A,$A1315)=0,"",SUMIFS('Daily NSE Equity Options'!$M:$M,'Daily NSE Equity Options'!$A:$A,$A1315))</f>
        <v/>
      </c>
      <c r="V1315" s="9">
        <f>IF(SUMIFS('Daily BSE Equity Options'!$M:$M,'Daily BSE Equity Options'!$A:$A,$A1315)=0,"",SUMIFS('Daily BSE Equity Options'!$M:$M,'Daily BSE Equity Options'!$A:$A,$A1315))</f>
        <v/>
      </c>
      <c r="W1315" s="9">
        <f>IF(OR(U1315="",V1315=""),"",U1315+V1315)</f>
        <v/>
      </c>
      <c r="X1315" s="25">
        <f>IF(W1315="","",U1315/W1315)</f>
        <v/>
      </c>
      <c r="Y1315" s="25">
        <f>IF(W1315="","",V1315/W1315)</f>
        <v/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19">
        <f>IF(G1316="","",E1316/G1316)</f>
        <v/>
      </c>
      <c r="I1316" s="19">
        <f>IF(G1316="","",F1316/G1316)</f>
        <v/>
      </c>
      <c r="J1316" s="26">
        <f>IFERROR(IF(OR(E1316="",INDEX(E:E,MATCH(DATE(YEAR($A1316)-1,MONTH($A1316),DAY($A1316)),$A:$A,0))=""),"",E1316/INDEX(E:E,MATCH(DATE(YEAR($A1316)-1,MONTH($A1316),DAY($A1316)),$A:$A,0))-1),"")</f>
        <v/>
      </c>
      <c r="K1316" s="19">
        <f>IFERROR(IF(OR(F1316="",INDEX(F:F,MATCH(DATE(YEAR($A1316)-1,MONTH($A1316),DAY($A1316)),$A:$A,0))=""),"",F1316/INDEX(F:F,MATCH(DATE(YEAR($A1316)-1,MONTH($A1316),DAY($A1316)),$A:$A,0))-1),"")</f>
        <v/>
      </c>
      <c r="L1316" s="19">
        <f>IFERROR(IF(OR(G1316="",INDEX(G:G,MATCH(DATE(YEAR($A1316)-1,MONTH($A1316),DAY($A1316)),$A:$A,0))=""),"",G1316/INDEX(G:G,MATCH(DATE(YEAR($A1316)-1,MONTH($A1316),DAY($A1316)),$A:$A,0))-1),"")</f>
        <v/>
      </c>
      <c r="M1316" s="19">
        <f>IF(OR(E1316="",E1315=""),"",E1316/E1315-1)</f>
        <v/>
      </c>
      <c r="N1316" s="19">
        <f>IF(OR(F1316="",F1315=""),"",F1316/F1315-1)</f>
        <v/>
      </c>
      <c r="O1316" s="19">
        <f>IF(OR(G1316="",G1315=""),"",G1316/G1315-1)</f>
        <v/>
      </c>
      <c r="P1316" s="22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IF(R1316="","",P1316/R1316)</f>
        <v/>
      </c>
      <c r="T1316" s="23">
        <f>IF(R1316="","",Q1316/R1316)</f>
        <v/>
      </c>
      <c r="U1316" s="24">
        <f>IF(SUMIFS('Daily NSE Equity Options'!$M:$M,'Daily NSE Equity Options'!$A:$A,$A1316)=0,"",SUMIFS('Daily NSE Equity Options'!$M:$M,'Daily NSE Equity Options'!$A:$A,$A1316))</f>
        <v/>
      </c>
      <c r="V1316" s="9">
        <f>IF(SUMIFS('Daily BSE Equity Options'!$M:$M,'Daily BSE Equity Options'!$A:$A,$A1316)=0,"",SUMIFS('Daily BSE Equity Options'!$M:$M,'Daily BSE Equity Options'!$A:$A,$A1316))</f>
        <v/>
      </c>
      <c r="W1316" s="9">
        <f>IF(OR(U1316="",V1316=""),"",U1316+V1316)</f>
        <v/>
      </c>
      <c r="X1316" s="25">
        <f>IF(W1316="","",U1316/W1316)</f>
        <v/>
      </c>
      <c r="Y1316" s="25">
        <f>IF(W1316="","",V1316/W1316)</f>
        <v/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19">
        <f>IF(G1317="","",E1317/G1317)</f>
        <v/>
      </c>
      <c r="I1317" s="19">
        <f>IF(G1317="","",F1317/G1317)</f>
        <v/>
      </c>
      <c r="J1317" s="26">
        <f>IFERROR(IF(OR(E1317="",INDEX(E:E,MATCH(DATE(YEAR($A1317)-1,MONTH($A1317),DAY($A1317)),$A:$A,0))=""),"",E1317/INDEX(E:E,MATCH(DATE(YEAR($A1317)-1,MONTH($A1317),DAY($A1317)),$A:$A,0))-1),"")</f>
        <v/>
      </c>
      <c r="K1317" s="19">
        <f>IFERROR(IF(OR(F1317="",INDEX(F:F,MATCH(DATE(YEAR($A1317)-1,MONTH($A1317),DAY($A1317)),$A:$A,0))=""),"",F1317/INDEX(F:F,MATCH(DATE(YEAR($A1317)-1,MONTH($A1317),DAY($A1317)),$A:$A,0))-1),"")</f>
        <v/>
      </c>
      <c r="L1317" s="19">
        <f>IFERROR(IF(OR(G1317="",INDEX(G:G,MATCH(DATE(YEAR($A1317)-1,MONTH($A1317),DAY($A1317)),$A:$A,0))=""),"",G1317/INDEX(G:G,MATCH(DATE(YEAR($A1317)-1,MONTH($A1317),DAY($A1317)),$A:$A,0))-1),"")</f>
        <v/>
      </c>
      <c r="M1317" s="19">
        <f>IF(OR(E1317="",E1316=""),"",E1317/E1316-1)</f>
        <v/>
      </c>
      <c r="N1317" s="19">
        <f>IF(OR(F1317="",F1316=""),"",F1317/F1316-1)</f>
        <v/>
      </c>
      <c r="O1317" s="19">
        <f>IF(OR(G1317="",G1316=""),"",G1317/G1316-1)</f>
        <v/>
      </c>
      <c r="P1317" s="22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IF(R1317="","",P1317/R1317)</f>
        <v/>
      </c>
      <c r="T1317" s="23">
        <f>IF(R1317="","",Q1317/R1317)</f>
        <v/>
      </c>
      <c r="U1317" s="24">
        <f>IF(SUMIFS('Daily NSE Equity Options'!$M:$M,'Daily NSE Equity Options'!$A:$A,$A1317)=0,"",SUMIFS('Daily NSE Equity Options'!$M:$M,'Daily NSE Equity Options'!$A:$A,$A1317))</f>
        <v/>
      </c>
      <c r="V1317" s="9">
        <f>IF(SUMIFS('Daily BSE Equity Options'!$M:$M,'Daily BSE Equity Options'!$A:$A,$A1317)=0,"",SUMIFS('Daily BSE Equity Options'!$M:$M,'Daily BSE Equity Options'!$A:$A,$A1317))</f>
        <v/>
      </c>
      <c r="W1317" s="9">
        <f>IF(OR(U1317="",V1317=""),"",U1317+V1317)</f>
        <v/>
      </c>
      <c r="X1317" s="25">
        <f>IF(W1317="","",U1317/W1317)</f>
        <v/>
      </c>
      <c r="Y1317" s="25">
        <f>IF(W1317="","",V1317/W1317)</f>
        <v/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19">
        <f>IF(G1318="","",E1318/G1318)</f>
        <v/>
      </c>
      <c r="I1318" s="19">
        <f>IF(G1318="","",F1318/G1318)</f>
        <v/>
      </c>
      <c r="J1318" s="26">
        <f>IFERROR(IF(OR(E1318="",INDEX(E:E,MATCH(DATE(YEAR($A1318)-1,MONTH($A1318),DAY($A1318)),$A:$A,0))=""),"",E1318/INDEX(E:E,MATCH(DATE(YEAR($A1318)-1,MONTH($A1318),DAY($A1318)),$A:$A,0))-1),"")</f>
        <v/>
      </c>
      <c r="K1318" s="19">
        <f>IFERROR(IF(OR(F1318="",INDEX(F:F,MATCH(DATE(YEAR($A1318)-1,MONTH($A1318),DAY($A1318)),$A:$A,0))=""),"",F1318/INDEX(F:F,MATCH(DATE(YEAR($A1318)-1,MONTH($A1318),DAY($A1318)),$A:$A,0))-1),"")</f>
        <v/>
      </c>
      <c r="L1318" s="19">
        <f>IFERROR(IF(OR(G1318="",INDEX(G:G,MATCH(DATE(YEAR($A1318)-1,MONTH($A1318),DAY($A1318)),$A:$A,0))=""),"",G1318/INDEX(G:G,MATCH(DATE(YEAR($A1318)-1,MONTH($A1318),DAY($A1318)),$A:$A,0))-1),"")</f>
        <v/>
      </c>
      <c r="M1318" s="19">
        <f>IF(OR(E1318="",E1317=""),"",E1318/E1317-1)</f>
        <v/>
      </c>
      <c r="N1318" s="19">
        <f>IF(OR(F1318="",F1317=""),"",F1318/F1317-1)</f>
        <v/>
      </c>
      <c r="O1318" s="19">
        <f>IF(OR(G1318="",G1317=""),"",G1318/G1317-1)</f>
        <v/>
      </c>
      <c r="P1318" s="22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IF(R1318="","",P1318/R1318)</f>
        <v/>
      </c>
      <c r="T1318" s="23">
        <f>IF(R1318="","",Q1318/R1318)</f>
        <v/>
      </c>
      <c r="U1318" s="24">
        <f>IF(SUMIFS('Daily NSE Equity Options'!$M:$M,'Daily NSE Equity Options'!$A:$A,$A1318)=0,"",SUMIFS('Daily NSE Equity Options'!$M:$M,'Daily NSE Equity Options'!$A:$A,$A1318))</f>
        <v/>
      </c>
      <c r="V1318" s="9">
        <f>IF(SUMIFS('Daily BSE Equity Options'!$M:$M,'Daily BSE Equity Options'!$A:$A,$A1318)=0,"",SUMIFS('Daily BSE Equity Options'!$M:$M,'Daily BSE Equity Options'!$A:$A,$A1318))</f>
        <v/>
      </c>
      <c r="W1318" s="9">
        <f>IF(OR(U1318="",V1318=""),"",U1318+V1318)</f>
        <v/>
      </c>
      <c r="X1318" s="25">
        <f>IF(W1318="","",U1318/W1318)</f>
        <v/>
      </c>
      <c r="Y1318" s="25">
        <f>IF(W1318="","",V1318/W1318)</f>
        <v/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19">
        <f>IF(G1319="","",E1319/G1319)</f>
        <v/>
      </c>
      <c r="I1319" s="19">
        <f>IF(G1319="","",F1319/G1319)</f>
        <v/>
      </c>
      <c r="J1319" s="26">
        <f>IFERROR(IF(OR(E1319="",INDEX(E:E,MATCH(DATE(YEAR($A1319)-1,MONTH($A1319),DAY($A1319)),$A:$A,0))=""),"",E1319/INDEX(E:E,MATCH(DATE(YEAR($A1319)-1,MONTH($A1319),DAY($A1319)),$A:$A,0))-1),"")</f>
        <v/>
      </c>
      <c r="K1319" s="19">
        <f>IFERROR(IF(OR(F1319="",INDEX(F:F,MATCH(DATE(YEAR($A1319)-1,MONTH($A1319),DAY($A1319)),$A:$A,0))=""),"",F1319/INDEX(F:F,MATCH(DATE(YEAR($A1319)-1,MONTH($A1319),DAY($A1319)),$A:$A,0))-1),"")</f>
        <v/>
      </c>
      <c r="L1319" s="19">
        <f>IFERROR(IF(OR(G1319="",INDEX(G:G,MATCH(DATE(YEAR($A1319)-1,MONTH($A1319),DAY($A1319)),$A:$A,0))=""),"",G1319/INDEX(G:G,MATCH(DATE(YEAR($A1319)-1,MONTH($A1319),DAY($A1319)),$A:$A,0))-1),"")</f>
        <v/>
      </c>
      <c r="M1319" s="19">
        <f>IF(OR(E1319="",E1318=""),"",E1319/E1318-1)</f>
        <v/>
      </c>
      <c r="N1319" s="19">
        <f>IF(OR(F1319="",F1318=""),"",F1319/F1318-1)</f>
        <v/>
      </c>
      <c r="O1319" s="19">
        <f>IF(OR(G1319="",G1318=""),"",G1319/G1318-1)</f>
        <v/>
      </c>
      <c r="P1319" s="22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IF(R1319="","",P1319/R1319)</f>
        <v/>
      </c>
      <c r="T1319" s="23">
        <f>IF(R1319="","",Q1319/R1319)</f>
        <v/>
      </c>
      <c r="U1319" s="24">
        <f>IF(SUMIFS('Daily NSE Equity Options'!$M:$M,'Daily NSE Equity Options'!$A:$A,$A1319)=0,"",SUMIFS('Daily NSE Equity Options'!$M:$M,'Daily NSE Equity Options'!$A:$A,$A1319))</f>
        <v/>
      </c>
      <c r="V1319" s="9">
        <f>IF(SUMIFS('Daily BSE Equity Options'!$M:$M,'Daily BSE Equity Options'!$A:$A,$A1319)=0,"",SUMIFS('Daily BSE Equity Options'!$M:$M,'Daily BSE Equity Options'!$A:$A,$A1319))</f>
        <v/>
      </c>
      <c r="W1319" s="9">
        <f>IF(OR(U1319="",V1319=""),"",U1319+V1319)</f>
        <v/>
      </c>
      <c r="X1319" s="25">
        <f>IF(W1319="","",U1319/W1319)</f>
        <v/>
      </c>
      <c r="Y1319" s="25">
        <f>IF(W1319="","",V1319/W1319)</f>
        <v/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19">
        <f>IF(G1320="","",E1320/G1320)</f>
        <v/>
      </c>
      <c r="I1320" s="19">
        <f>IF(G1320="","",F1320/G1320)</f>
        <v/>
      </c>
      <c r="J1320" s="26">
        <f>IFERROR(IF(OR(E1320="",INDEX(E:E,MATCH(DATE(YEAR($A1320)-1,MONTH($A1320),DAY($A1320)),$A:$A,0))=""),"",E1320/INDEX(E:E,MATCH(DATE(YEAR($A1320)-1,MONTH($A1320),DAY($A1320)),$A:$A,0))-1),"")</f>
        <v/>
      </c>
      <c r="K1320" s="19">
        <f>IFERROR(IF(OR(F1320="",INDEX(F:F,MATCH(DATE(YEAR($A1320)-1,MONTH($A1320),DAY($A1320)),$A:$A,0))=""),"",F1320/INDEX(F:F,MATCH(DATE(YEAR($A1320)-1,MONTH($A1320),DAY($A1320)),$A:$A,0))-1),"")</f>
        <v/>
      </c>
      <c r="L1320" s="19">
        <f>IFERROR(IF(OR(G1320="",INDEX(G:G,MATCH(DATE(YEAR($A1320)-1,MONTH($A1320),DAY($A1320)),$A:$A,0))=""),"",G1320/INDEX(G:G,MATCH(DATE(YEAR($A1320)-1,MONTH($A1320),DAY($A1320)),$A:$A,0))-1),"")</f>
        <v/>
      </c>
      <c r="M1320" s="19">
        <f>IF(OR(E1320="",E1319=""),"",E1320/E1319-1)</f>
        <v/>
      </c>
      <c r="N1320" s="19">
        <f>IF(OR(F1320="",F1319=""),"",F1320/F1319-1)</f>
        <v/>
      </c>
      <c r="O1320" s="19">
        <f>IF(OR(G1320="",G1319=""),"",G1320/G1319-1)</f>
        <v/>
      </c>
      <c r="P1320" s="22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IF(R1320="","",P1320/R1320)</f>
        <v/>
      </c>
      <c r="T1320" s="23">
        <f>IF(R1320="","",Q1320/R1320)</f>
        <v/>
      </c>
      <c r="U1320" s="24">
        <f>IF(SUMIFS('Daily NSE Equity Options'!$M:$M,'Daily NSE Equity Options'!$A:$A,$A1320)=0,"",SUMIFS('Daily NSE Equity Options'!$M:$M,'Daily NSE Equity Options'!$A:$A,$A1320))</f>
        <v/>
      </c>
      <c r="V1320" s="9">
        <f>IF(SUMIFS('Daily BSE Equity Options'!$M:$M,'Daily BSE Equity Options'!$A:$A,$A1320)=0,"",SUMIFS('Daily BSE Equity Options'!$M:$M,'Daily BSE Equity Options'!$A:$A,$A1320))</f>
        <v/>
      </c>
      <c r="W1320" s="9">
        <f>IF(OR(U1320="",V1320=""),"",U1320+V1320)</f>
        <v/>
      </c>
      <c r="X1320" s="25">
        <f>IF(W1320="","",U1320/W1320)</f>
        <v/>
      </c>
      <c r="Y1320" s="25">
        <f>IF(W1320="","",V1320/W1320)</f>
        <v/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19">
        <f>IF(G1321="","",E1321/G1321)</f>
        <v/>
      </c>
      <c r="I1321" s="19">
        <f>IF(G1321="","",F1321/G1321)</f>
        <v/>
      </c>
      <c r="J1321" s="26">
        <f>IFERROR(IF(OR(E1321="",INDEX(E:E,MATCH(DATE(YEAR($A1321)-1,MONTH($A1321),DAY($A1321)),$A:$A,0))=""),"",E1321/INDEX(E:E,MATCH(DATE(YEAR($A1321)-1,MONTH($A1321),DAY($A1321)),$A:$A,0))-1),"")</f>
        <v/>
      </c>
      <c r="K1321" s="19">
        <f>IFERROR(IF(OR(F1321="",INDEX(F:F,MATCH(DATE(YEAR($A1321)-1,MONTH($A1321),DAY($A1321)),$A:$A,0))=""),"",F1321/INDEX(F:F,MATCH(DATE(YEAR($A1321)-1,MONTH($A1321),DAY($A1321)),$A:$A,0))-1),"")</f>
        <v/>
      </c>
      <c r="L1321" s="19">
        <f>IFERROR(IF(OR(G1321="",INDEX(G:G,MATCH(DATE(YEAR($A1321)-1,MONTH($A1321),DAY($A1321)),$A:$A,0))=""),"",G1321/INDEX(G:G,MATCH(DATE(YEAR($A1321)-1,MONTH($A1321),DAY($A1321)),$A:$A,0))-1),"")</f>
        <v/>
      </c>
      <c r="M1321" s="19">
        <f>IF(OR(E1321="",E1320=""),"",E1321/E1320-1)</f>
        <v/>
      </c>
      <c r="N1321" s="19">
        <f>IF(OR(F1321="",F1320=""),"",F1321/F1320-1)</f>
        <v/>
      </c>
      <c r="O1321" s="19">
        <f>IF(OR(G1321="",G1320=""),"",G1321/G1320-1)</f>
        <v/>
      </c>
      <c r="P1321" s="22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IF(R1321="","",P1321/R1321)</f>
        <v/>
      </c>
      <c r="T1321" s="23">
        <f>IF(R1321="","",Q1321/R1321)</f>
        <v/>
      </c>
      <c r="U1321" s="24">
        <f>IF(SUMIFS('Daily NSE Equity Options'!$M:$M,'Daily NSE Equity Options'!$A:$A,$A1321)=0,"",SUMIFS('Daily NSE Equity Options'!$M:$M,'Daily NSE Equity Options'!$A:$A,$A1321))</f>
        <v/>
      </c>
      <c r="V1321" s="9">
        <f>IF(SUMIFS('Daily BSE Equity Options'!$M:$M,'Daily BSE Equity Options'!$A:$A,$A1321)=0,"",SUMIFS('Daily BSE Equity Options'!$M:$M,'Daily BSE Equity Options'!$A:$A,$A1321))</f>
        <v/>
      </c>
      <c r="W1321" s="9">
        <f>IF(OR(U1321="",V1321=""),"",U1321+V1321)</f>
        <v/>
      </c>
      <c r="X1321" s="25">
        <f>IF(W1321="","",U1321/W1321)</f>
        <v/>
      </c>
      <c r="Y1321" s="25">
        <f>IF(W1321="","",V1321/W1321)</f>
        <v/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19">
        <f>IF(G1322="","",E1322/G1322)</f>
        <v/>
      </c>
      <c r="I1322" s="19">
        <f>IF(G1322="","",F1322/G1322)</f>
        <v/>
      </c>
      <c r="J1322" s="26">
        <f>IFERROR(IF(OR(E1322="",INDEX(E:E,MATCH(DATE(YEAR($A1322)-1,MONTH($A1322),DAY($A1322)),$A:$A,0))=""),"",E1322/INDEX(E:E,MATCH(DATE(YEAR($A1322)-1,MONTH($A1322),DAY($A1322)),$A:$A,0))-1),"")</f>
        <v/>
      </c>
      <c r="K1322" s="19">
        <f>IFERROR(IF(OR(F1322="",INDEX(F:F,MATCH(DATE(YEAR($A1322)-1,MONTH($A1322),DAY($A1322)),$A:$A,0))=""),"",F1322/INDEX(F:F,MATCH(DATE(YEAR($A1322)-1,MONTH($A1322),DAY($A1322)),$A:$A,0))-1),"")</f>
        <v/>
      </c>
      <c r="L1322" s="19">
        <f>IFERROR(IF(OR(G1322="",INDEX(G:G,MATCH(DATE(YEAR($A1322)-1,MONTH($A1322),DAY($A1322)),$A:$A,0))=""),"",G1322/INDEX(G:G,MATCH(DATE(YEAR($A1322)-1,MONTH($A1322),DAY($A1322)),$A:$A,0))-1),"")</f>
        <v/>
      </c>
      <c r="M1322" s="19">
        <f>IF(OR(E1322="",E1321=""),"",E1322/E1321-1)</f>
        <v/>
      </c>
      <c r="N1322" s="19">
        <f>IF(OR(F1322="",F1321=""),"",F1322/F1321-1)</f>
        <v/>
      </c>
      <c r="O1322" s="19">
        <f>IF(OR(G1322="",G1321=""),"",G1322/G1321-1)</f>
        <v/>
      </c>
      <c r="P1322" s="22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IF(R1322="","",P1322/R1322)</f>
        <v/>
      </c>
      <c r="T1322" s="23">
        <f>IF(R1322="","",Q1322/R1322)</f>
        <v/>
      </c>
      <c r="U1322" s="24">
        <f>IF(SUMIFS('Daily NSE Equity Options'!$M:$M,'Daily NSE Equity Options'!$A:$A,$A1322)=0,"",SUMIFS('Daily NSE Equity Options'!$M:$M,'Daily NSE Equity Options'!$A:$A,$A1322))</f>
        <v/>
      </c>
      <c r="V1322" s="9">
        <f>IF(SUMIFS('Daily BSE Equity Options'!$M:$M,'Daily BSE Equity Options'!$A:$A,$A1322)=0,"",SUMIFS('Daily BSE Equity Options'!$M:$M,'Daily BSE Equity Options'!$A:$A,$A1322))</f>
        <v/>
      </c>
      <c r="W1322" s="9">
        <f>IF(OR(U1322="",V1322=""),"",U1322+V1322)</f>
        <v/>
      </c>
      <c r="X1322" s="25">
        <f>IF(W1322="","",U1322/W1322)</f>
        <v/>
      </c>
      <c r="Y1322" s="25">
        <f>IF(W1322="","",V1322/W1322)</f>
        <v/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19">
        <f>IF(G1323="","",E1323/G1323)</f>
        <v/>
      </c>
      <c r="I1323" s="19">
        <f>IF(G1323="","",F1323/G1323)</f>
        <v/>
      </c>
      <c r="J1323" s="26">
        <f>IFERROR(IF(OR(E1323="",INDEX(E:E,MATCH(DATE(YEAR($A1323)-1,MONTH($A1323),DAY($A1323)),$A:$A,0))=""),"",E1323/INDEX(E:E,MATCH(DATE(YEAR($A1323)-1,MONTH($A1323),DAY($A1323)),$A:$A,0))-1),"")</f>
        <v/>
      </c>
      <c r="K1323" s="19">
        <f>IFERROR(IF(OR(F1323="",INDEX(F:F,MATCH(DATE(YEAR($A1323)-1,MONTH($A1323),DAY($A1323)),$A:$A,0))=""),"",F1323/INDEX(F:F,MATCH(DATE(YEAR($A1323)-1,MONTH($A1323),DAY($A1323)),$A:$A,0))-1),"")</f>
        <v/>
      </c>
      <c r="L1323" s="19">
        <f>IFERROR(IF(OR(G1323="",INDEX(G:G,MATCH(DATE(YEAR($A1323)-1,MONTH($A1323),DAY($A1323)),$A:$A,0))=""),"",G1323/INDEX(G:G,MATCH(DATE(YEAR($A1323)-1,MONTH($A1323),DAY($A1323)),$A:$A,0))-1),"")</f>
        <v/>
      </c>
      <c r="M1323" s="19">
        <f>IF(OR(E1323="",E1322=""),"",E1323/E1322-1)</f>
        <v/>
      </c>
      <c r="N1323" s="19">
        <f>IF(OR(F1323="",F1322=""),"",F1323/F1322-1)</f>
        <v/>
      </c>
      <c r="O1323" s="19">
        <f>IF(OR(G1323="",G1322=""),"",G1323/G1322-1)</f>
        <v/>
      </c>
      <c r="P1323" s="22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IF(R1323="","",P1323/R1323)</f>
        <v/>
      </c>
      <c r="T1323" s="23">
        <f>IF(R1323="","",Q1323/R1323)</f>
        <v/>
      </c>
      <c r="U1323" s="24">
        <f>IF(SUMIFS('Daily NSE Equity Options'!$M:$M,'Daily NSE Equity Options'!$A:$A,$A1323)=0,"",SUMIFS('Daily NSE Equity Options'!$M:$M,'Daily NSE Equity Options'!$A:$A,$A1323))</f>
        <v/>
      </c>
      <c r="V1323" s="9">
        <f>IF(SUMIFS('Daily BSE Equity Options'!$M:$M,'Daily BSE Equity Options'!$A:$A,$A1323)=0,"",SUMIFS('Daily BSE Equity Options'!$M:$M,'Daily BSE Equity Options'!$A:$A,$A1323))</f>
        <v/>
      </c>
      <c r="W1323" s="9">
        <f>IF(OR(U1323="",V1323=""),"",U1323+V1323)</f>
        <v/>
      </c>
      <c r="X1323" s="25">
        <f>IF(W1323="","",U1323/W1323)</f>
        <v/>
      </c>
      <c r="Y1323" s="25">
        <f>IF(W1323="","",V1323/W1323)</f>
        <v/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19">
        <f>IF(G1324="","",E1324/G1324)</f>
        <v/>
      </c>
      <c r="I1324" s="19">
        <f>IF(G1324="","",F1324/G1324)</f>
        <v/>
      </c>
      <c r="J1324" s="26">
        <f>IFERROR(IF(OR(E1324="",INDEX(E:E,MATCH(DATE(YEAR($A1324)-1,MONTH($A1324),DAY($A1324)),$A:$A,0))=""),"",E1324/INDEX(E:E,MATCH(DATE(YEAR($A1324)-1,MONTH($A1324),DAY($A1324)),$A:$A,0))-1),"")</f>
        <v/>
      </c>
      <c r="K1324" s="19">
        <f>IFERROR(IF(OR(F1324="",INDEX(F:F,MATCH(DATE(YEAR($A1324)-1,MONTH($A1324),DAY($A1324)),$A:$A,0))=""),"",F1324/INDEX(F:F,MATCH(DATE(YEAR($A1324)-1,MONTH($A1324),DAY($A1324)),$A:$A,0))-1),"")</f>
        <v/>
      </c>
      <c r="L1324" s="19">
        <f>IFERROR(IF(OR(G1324="",INDEX(G:G,MATCH(DATE(YEAR($A1324)-1,MONTH($A1324),DAY($A1324)),$A:$A,0))=""),"",G1324/INDEX(G:G,MATCH(DATE(YEAR($A1324)-1,MONTH($A1324),DAY($A1324)),$A:$A,0))-1),"")</f>
        <v/>
      </c>
      <c r="M1324" s="19">
        <f>IF(OR(E1324="",E1323=""),"",E1324/E1323-1)</f>
        <v/>
      </c>
      <c r="N1324" s="19">
        <f>IF(OR(F1324="",F1323=""),"",F1324/F1323-1)</f>
        <v/>
      </c>
      <c r="O1324" s="19">
        <f>IF(OR(G1324="",G1323=""),"",G1324/G1323-1)</f>
        <v/>
      </c>
      <c r="P1324" s="22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IF(R1324="","",P1324/R1324)</f>
        <v/>
      </c>
      <c r="T1324" s="23">
        <f>IF(R1324="","",Q1324/R1324)</f>
        <v/>
      </c>
      <c r="U1324" s="24">
        <f>IF(SUMIFS('Daily NSE Equity Options'!$M:$M,'Daily NSE Equity Options'!$A:$A,$A1324)=0,"",SUMIFS('Daily NSE Equity Options'!$M:$M,'Daily NSE Equity Options'!$A:$A,$A1324))</f>
        <v/>
      </c>
      <c r="V1324" s="9">
        <f>IF(SUMIFS('Daily BSE Equity Options'!$M:$M,'Daily BSE Equity Options'!$A:$A,$A1324)=0,"",SUMIFS('Daily BSE Equity Options'!$M:$M,'Daily BSE Equity Options'!$A:$A,$A1324))</f>
        <v/>
      </c>
      <c r="W1324" s="9">
        <f>IF(OR(U1324="",V1324=""),"",U1324+V1324)</f>
        <v/>
      </c>
      <c r="X1324" s="25">
        <f>IF(W1324="","",U1324/W1324)</f>
        <v/>
      </c>
      <c r="Y1324" s="25">
        <f>IF(W1324="","",V1324/W1324)</f>
        <v/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19">
        <f>IF(G1325="","",E1325/G1325)</f>
        <v/>
      </c>
      <c r="I1325" s="19">
        <f>IF(G1325="","",F1325/G1325)</f>
        <v/>
      </c>
      <c r="J1325" s="26">
        <f>IFERROR(IF(OR(E1325="",INDEX(E:E,MATCH(DATE(YEAR($A1325)-1,MONTH($A1325),DAY($A1325)),$A:$A,0))=""),"",E1325/INDEX(E:E,MATCH(DATE(YEAR($A1325)-1,MONTH($A1325),DAY($A1325)),$A:$A,0))-1),"")</f>
        <v/>
      </c>
      <c r="K1325" s="19">
        <f>IFERROR(IF(OR(F1325="",INDEX(F:F,MATCH(DATE(YEAR($A1325)-1,MONTH($A1325),DAY($A1325)),$A:$A,0))=""),"",F1325/INDEX(F:F,MATCH(DATE(YEAR($A1325)-1,MONTH($A1325),DAY($A1325)),$A:$A,0))-1),"")</f>
        <v/>
      </c>
      <c r="L1325" s="19">
        <f>IFERROR(IF(OR(G1325="",INDEX(G:G,MATCH(DATE(YEAR($A1325)-1,MONTH($A1325),DAY($A1325)),$A:$A,0))=""),"",G1325/INDEX(G:G,MATCH(DATE(YEAR($A1325)-1,MONTH($A1325),DAY($A1325)),$A:$A,0))-1),"")</f>
        <v/>
      </c>
      <c r="M1325" s="19">
        <f>IF(OR(E1325="",E1324=""),"",E1325/E1324-1)</f>
        <v/>
      </c>
      <c r="N1325" s="19">
        <f>IF(OR(F1325="",F1324=""),"",F1325/F1324-1)</f>
        <v/>
      </c>
      <c r="O1325" s="19">
        <f>IF(OR(G1325="",G1324=""),"",G1325/G1324-1)</f>
        <v/>
      </c>
      <c r="P1325" s="22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IF(R1325="","",P1325/R1325)</f>
        <v/>
      </c>
      <c r="T1325" s="23">
        <f>IF(R1325="","",Q1325/R1325)</f>
        <v/>
      </c>
      <c r="U1325" s="24">
        <f>IF(SUMIFS('Daily NSE Equity Options'!$M:$M,'Daily NSE Equity Options'!$A:$A,$A1325)=0,"",SUMIFS('Daily NSE Equity Options'!$M:$M,'Daily NSE Equity Options'!$A:$A,$A1325))</f>
        <v/>
      </c>
      <c r="V1325" s="9">
        <f>IF(SUMIFS('Daily BSE Equity Options'!$M:$M,'Daily BSE Equity Options'!$A:$A,$A1325)=0,"",SUMIFS('Daily BSE Equity Options'!$M:$M,'Daily BSE Equity Options'!$A:$A,$A1325))</f>
        <v/>
      </c>
      <c r="W1325" s="9">
        <f>IF(OR(U1325="",V1325=""),"",U1325+V1325)</f>
        <v/>
      </c>
      <c r="X1325" s="25">
        <f>IF(W1325="","",U1325/W1325)</f>
        <v/>
      </c>
      <c r="Y1325" s="25">
        <f>IF(W1325="","",V1325/W1325)</f>
        <v/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19">
        <f>IF(G1326="","",E1326/G1326)</f>
        <v/>
      </c>
      <c r="I1326" s="19">
        <f>IF(G1326="","",F1326/G1326)</f>
        <v/>
      </c>
      <c r="J1326" s="26">
        <f>IFERROR(IF(OR(E1326="",INDEX(E:E,MATCH(DATE(YEAR($A1326)-1,MONTH($A1326),DAY($A1326)),$A:$A,0))=""),"",E1326/INDEX(E:E,MATCH(DATE(YEAR($A1326)-1,MONTH($A1326),DAY($A1326)),$A:$A,0))-1),"")</f>
        <v/>
      </c>
      <c r="K1326" s="19">
        <f>IFERROR(IF(OR(F1326="",INDEX(F:F,MATCH(DATE(YEAR($A1326)-1,MONTH($A1326),DAY($A1326)),$A:$A,0))=""),"",F1326/INDEX(F:F,MATCH(DATE(YEAR($A1326)-1,MONTH($A1326),DAY($A1326)),$A:$A,0))-1),"")</f>
        <v/>
      </c>
      <c r="L1326" s="19">
        <f>IFERROR(IF(OR(G1326="",INDEX(G:G,MATCH(DATE(YEAR($A1326)-1,MONTH($A1326),DAY($A1326)),$A:$A,0))=""),"",G1326/INDEX(G:G,MATCH(DATE(YEAR($A1326)-1,MONTH($A1326),DAY($A1326)),$A:$A,0))-1),"")</f>
        <v/>
      </c>
      <c r="M1326" s="19">
        <f>IF(OR(E1326="",E1325=""),"",E1326/E1325-1)</f>
        <v/>
      </c>
      <c r="N1326" s="19">
        <f>IF(OR(F1326="",F1325=""),"",F1326/F1325-1)</f>
        <v/>
      </c>
      <c r="O1326" s="19">
        <f>IF(OR(G1326="",G1325=""),"",G1326/G1325-1)</f>
        <v/>
      </c>
      <c r="P1326" s="22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IF(R1326="","",P1326/R1326)</f>
        <v/>
      </c>
      <c r="T1326" s="23">
        <f>IF(R1326="","",Q1326/R1326)</f>
        <v/>
      </c>
      <c r="U1326" s="24">
        <f>IF(SUMIFS('Daily NSE Equity Options'!$M:$M,'Daily NSE Equity Options'!$A:$A,$A1326)=0,"",SUMIFS('Daily NSE Equity Options'!$M:$M,'Daily NSE Equity Options'!$A:$A,$A1326))</f>
        <v/>
      </c>
      <c r="V1326" s="9">
        <f>IF(SUMIFS('Daily BSE Equity Options'!$M:$M,'Daily BSE Equity Options'!$A:$A,$A1326)=0,"",SUMIFS('Daily BSE Equity Options'!$M:$M,'Daily BSE Equity Options'!$A:$A,$A1326))</f>
        <v/>
      </c>
      <c r="W1326" s="9">
        <f>IF(OR(U1326="",V1326=""),"",U1326+V1326)</f>
        <v/>
      </c>
      <c r="X1326" s="25">
        <f>IF(W1326="","",U1326/W1326)</f>
        <v/>
      </c>
      <c r="Y1326" s="25">
        <f>IF(W1326="","",V1326/W1326)</f>
        <v/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19">
        <f>IF(G1327="","",E1327/G1327)</f>
        <v/>
      </c>
      <c r="I1327" s="19">
        <f>IF(G1327="","",F1327/G1327)</f>
        <v/>
      </c>
      <c r="J1327" s="26">
        <f>IFERROR(IF(OR(E1327="",INDEX(E:E,MATCH(DATE(YEAR($A1327)-1,MONTH($A1327),DAY($A1327)),$A:$A,0))=""),"",E1327/INDEX(E:E,MATCH(DATE(YEAR($A1327)-1,MONTH($A1327),DAY($A1327)),$A:$A,0))-1),"")</f>
        <v/>
      </c>
      <c r="K1327" s="19">
        <f>IFERROR(IF(OR(F1327="",INDEX(F:F,MATCH(DATE(YEAR($A1327)-1,MONTH($A1327),DAY($A1327)),$A:$A,0))=""),"",F1327/INDEX(F:F,MATCH(DATE(YEAR($A1327)-1,MONTH($A1327),DAY($A1327)),$A:$A,0))-1),"")</f>
        <v/>
      </c>
      <c r="L1327" s="19">
        <f>IFERROR(IF(OR(G1327="",INDEX(G:G,MATCH(DATE(YEAR($A1327)-1,MONTH($A1327),DAY($A1327)),$A:$A,0))=""),"",G1327/INDEX(G:G,MATCH(DATE(YEAR($A1327)-1,MONTH($A1327),DAY($A1327)),$A:$A,0))-1),"")</f>
        <v/>
      </c>
      <c r="M1327" s="19">
        <f>IF(OR(E1327="",E1326=""),"",E1327/E1326-1)</f>
        <v/>
      </c>
      <c r="N1327" s="19">
        <f>IF(OR(F1327="",F1326=""),"",F1327/F1326-1)</f>
        <v/>
      </c>
      <c r="O1327" s="19">
        <f>IF(OR(G1327="",G1326=""),"",G1327/G1326-1)</f>
        <v/>
      </c>
      <c r="P1327" s="22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IF(R1327="","",P1327/R1327)</f>
        <v/>
      </c>
      <c r="T1327" s="23">
        <f>IF(R1327="","",Q1327/R1327)</f>
        <v/>
      </c>
      <c r="U1327" s="24">
        <f>IF(SUMIFS('Daily NSE Equity Options'!$M:$M,'Daily NSE Equity Options'!$A:$A,$A1327)=0,"",SUMIFS('Daily NSE Equity Options'!$M:$M,'Daily NSE Equity Options'!$A:$A,$A1327))</f>
        <v/>
      </c>
      <c r="V1327" s="9">
        <f>IF(SUMIFS('Daily BSE Equity Options'!$M:$M,'Daily BSE Equity Options'!$A:$A,$A1327)=0,"",SUMIFS('Daily BSE Equity Options'!$M:$M,'Daily BSE Equity Options'!$A:$A,$A1327))</f>
        <v/>
      </c>
      <c r="W1327" s="9">
        <f>IF(OR(U1327="",V1327=""),"",U1327+V1327)</f>
        <v/>
      </c>
      <c r="X1327" s="25">
        <f>IF(W1327="","",U1327/W1327)</f>
        <v/>
      </c>
      <c r="Y1327" s="25">
        <f>IF(W1327="","",V1327/W1327)</f>
        <v/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19">
        <f>IF(G1328="","",E1328/G1328)</f>
        <v/>
      </c>
      <c r="I1328" s="19">
        <f>IF(G1328="","",F1328/G1328)</f>
        <v/>
      </c>
      <c r="J1328" s="26">
        <f>IFERROR(IF(OR(E1328="",INDEX(E:E,MATCH(DATE(YEAR($A1328)-1,MONTH($A1328),DAY($A1328)),$A:$A,0))=""),"",E1328/INDEX(E:E,MATCH(DATE(YEAR($A1328)-1,MONTH($A1328),DAY($A1328)),$A:$A,0))-1),"")</f>
        <v/>
      </c>
      <c r="K1328" s="19">
        <f>IFERROR(IF(OR(F1328="",INDEX(F:F,MATCH(DATE(YEAR($A1328)-1,MONTH($A1328),DAY($A1328)),$A:$A,0))=""),"",F1328/INDEX(F:F,MATCH(DATE(YEAR($A1328)-1,MONTH($A1328),DAY($A1328)),$A:$A,0))-1),"")</f>
        <v/>
      </c>
      <c r="L1328" s="19">
        <f>IFERROR(IF(OR(G1328="",INDEX(G:G,MATCH(DATE(YEAR($A1328)-1,MONTH($A1328),DAY($A1328)),$A:$A,0))=""),"",G1328/INDEX(G:G,MATCH(DATE(YEAR($A1328)-1,MONTH($A1328),DAY($A1328)),$A:$A,0))-1),"")</f>
        <v/>
      </c>
      <c r="M1328" s="19">
        <f>IF(OR(E1328="",E1327=""),"",E1328/E1327-1)</f>
        <v/>
      </c>
      <c r="N1328" s="19">
        <f>IF(OR(F1328="",F1327=""),"",F1328/F1327-1)</f>
        <v/>
      </c>
      <c r="O1328" s="19">
        <f>IF(OR(G1328="",G1327=""),"",G1328/G1327-1)</f>
        <v/>
      </c>
      <c r="P1328" s="22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IF(R1328="","",P1328/R1328)</f>
        <v/>
      </c>
      <c r="T1328" s="23">
        <f>IF(R1328="","",Q1328/R1328)</f>
        <v/>
      </c>
      <c r="U1328" s="24">
        <f>IF(SUMIFS('Daily NSE Equity Options'!$M:$M,'Daily NSE Equity Options'!$A:$A,$A1328)=0,"",SUMIFS('Daily NSE Equity Options'!$M:$M,'Daily NSE Equity Options'!$A:$A,$A1328))</f>
        <v/>
      </c>
      <c r="V1328" s="9">
        <f>IF(SUMIFS('Daily BSE Equity Options'!$M:$M,'Daily BSE Equity Options'!$A:$A,$A1328)=0,"",SUMIFS('Daily BSE Equity Options'!$M:$M,'Daily BSE Equity Options'!$A:$A,$A1328))</f>
        <v/>
      </c>
      <c r="W1328" s="9">
        <f>IF(OR(U1328="",V1328=""),"",U1328+V1328)</f>
        <v/>
      </c>
      <c r="X1328" s="25">
        <f>IF(W1328="","",U1328/W1328)</f>
        <v/>
      </c>
      <c r="Y1328" s="25">
        <f>IF(W1328="","",V1328/W1328)</f>
        <v/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19">
        <f>IF(G1329="","",E1329/G1329)</f>
        <v/>
      </c>
      <c r="I1329" s="19">
        <f>IF(G1329="","",F1329/G1329)</f>
        <v/>
      </c>
      <c r="J1329" s="26">
        <f>IFERROR(IF(OR(E1329="",INDEX(E:E,MATCH(DATE(YEAR($A1329)-1,MONTH($A1329),DAY($A1329)),$A:$A,0))=""),"",E1329/INDEX(E:E,MATCH(DATE(YEAR($A1329)-1,MONTH($A1329),DAY($A1329)),$A:$A,0))-1),"")</f>
        <v/>
      </c>
      <c r="K1329" s="19">
        <f>IFERROR(IF(OR(F1329="",INDEX(F:F,MATCH(DATE(YEAR($A1329)-1,MONTH($A1329),DAY($A1329)),$A:$A,0))=""),"",F1329/INDEX(F:F,MATCH(DATE(YEAR($A1329)-1,MONTH($A1329),DAY($A1329)),$A:$A,0))-1),"")</f>
        <v/>
      </c>
      <c r="L1329" s="19">
        <f>IFERROR(IF(OR(G1329="",INDEX(G:G,MATCH(DATE(YEAR($A1329)-1,MONTH($A1329),DAY($A1329)),$A:$A,0))=""),"",G1329/INDEX(G:G,MATCH(DATE(YEAR($A1329)-1,MONTH($A1329),DAY($A1329)),$A:$A,0))-1),"")</f>
        <v/>
      </c>
      <c r="M1329" s="19">
        <f>IF(OR(E1329="",E1328=""),"",E1329/E1328-1)</f>
        <v/>
      </c>
      <c r="N1329" s="19">
        <f>IF(OR(F1329="",F1328=""),"",F1329/F1328-1)</f>
        <v/>
      </c>
      <c r="O1329" s="19">
        <f>IF(OR(G1329="",G1328=""),"",G1329/G1328-1)</f>
        <v/>
      </c>
      <c r="P1329" s="22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IF(R1329="","",P1329/R1329)</f>
        <v/>
      </c>
      <c r="T1329" s="23">
        <f>IF(R1329="","",Q1329/R1329)</f>
        <v/>
      </c>
      <c r="U1329" s="24">
        <f>IF(SUMIFS('Daily NSE Equity Options'!$M:$M,'Daily NSE Equity Options'!$A:$A,$A1329)=0,"",SUMIFS('Daily NSE Equity Options'!$M:$M,'Daily NSE Equity Options'!$A:$A,$A1329))</f>
        <v/>
      </c>
      <c r="V1329" s="9">
        <f>IF(SUMIFS('Daily BSE Equity Options'!$M:$M,'Daily BSE Equity Options'!$A:$A,$A1329)=0,"",SUMIFS('Daily BSE Equity Options'!$M:$M,'Daily BSE Equity Options'!$A:$A,$A1329))</f>
        <v/>
      </c>
      <c r="W1329" s="9">
        <f>IF(OR(U1329="",V1329=""),"",U1329+V1329)</f>
        <v/>
      </c>
      <c r="X1329" s="25">
        <f>IF(W1329="","",U1329/W1329)</f>
        <v/>
      </c>
      <c r="Y1329" s="25">
        <f>IF(W1329="","",V1329/W1329)</f>
        <v/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19">
        <f>IF(G1330="","",E1330/G1330)</f>
        <v/>
      </c>
      <c r="I1330" s="19">
        <f>IF(G1330="","",F1330/G1330)</f>
        <v/>
      </c>
      <c r="J1330" s="26">
        <f>IFERROR(IF(OR(E1330="",INDEX(E:E,MATCH(DATE(YEAR($A1330)-1,MONTH($A1330),DAY($A1330)),$A:$A,0))=""),"",E1330/INDEX(E:E,MATCH(DATE(YEAR($A1330)-1,MONTH($A1330),DAY($A1330)),$A:$A,0))-1),"")</f>
        <v/>
      </c>
      <c r="K1330" s="19">
        <f>IFERROR(IF(OR(F1330="",INDEX(F:F,MATCH(DATE(YEAR($A1330)-1,MONTH($A1330),DAY($A1330)),$A:$A,0))=""),"",F1330/INDEX(F:F,MATCH(DATE(YEAR($A1330)-1,MONTH($A1330),DAY($A1330)),$A:$A,0))-1),"")</f>
        <v/>
      </c>
      <c r="L1330" s="19">
        <f>IFERROR(IF(OR(G1330="",INDEX(G:G,MATCH(DATE(YEAR($A1330)-1,MONTH($A1330),DAY($A1330)),$A:$A,0))=""),"",G1330/INDEX(G:G,MATCH(DATE(YEAR($A1330)-1,MONTH($A1330),DAY($A1330)),$A:$A,0))-1),"")</f>
        <v/>
      </c>
      <c r="M1330" s="19">
        <f>IF(OR(E1330="",E1329=""),"",E1330/E1329-1)</f>
        <v/>
      </c>
      <c r="N1330" s="19">
        <f>IF(OR(F1330="",F1329=""),"",F1330/F1329-1)</f>
        <v/>
      </c>
      <c r="O1330" s="19">
        <f>IF(OR(G1330="",G1329=""),"",G1330/G1329-1)</f>
        <v/>
      </c>
      <c r="P1330" s="22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IF(R1330="","",P1330/R1330)</f>
        <v/>
      </c>
      <c r="T1330" s="23">
        <f>IF(R1330="","",Q1330/R1330)</f>
        <v/>
      </c>
      <c r="U1330" s="24">
        <f>IF(SUMIFS('Daily NSE Equity Options'!$M:$M,'Daily NSE Equity Options'!$A:$A,$A1330)=0,"",SUMIFS('Daily NSE Equity Options'!$M:$M,'Daily NSE Equity Options'!$A:$A,$A1330))</f>
        <v/>
      </c>
      <c r="V1330" s="9">
        <f>IF(SUMIFS('Daily BSE Equity Options'!$M:$M,'Daily BSE Equity Options'!$A:$A,$A1330)=0,"",SUMIFS('Daily BSE Equity Options'!$M:$M,'Daily BSE Equity Options'!$A:$A,$A1330))</f>
        <v/>
      </c>
      <c r="W1330" s="9">
        <f>IF(OR(U1330="",V1330=""),"",U1330+V1330)</f>
        <v/>
      </c>
      <c r="X1330" s="25">
        <f>IF(W1330="","",U1330/W1330)</f>
        <v/>
      </c>
      <c r="Y1330" s="25">
        <f>IF(W1330="","",V1330/W1330)</f>
        <v/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19">
        <f>IF(G1331="","",E1331/G1331)</f>
        <v/>
      </c>
      <c r="I1331" s="19">
        <f>IF(G1331="","",F1331/G1331)</f>
        <v/>
      </c>
      <c r="J1331" s="26">
        <f>IFERROR(IF(OR(E1331="",INDEX(E:E,MATCH(DATE(YEAR($A1331)-1,MONTH($A1331),DAY($A1331)),$A:$A,0))=""),"",E1331/INDEX(E:E,MATCH(DATE(YEAR($A1331)-1,MONTH($A1331),DAY($A1331)),$A:$A,0))-1),"")</f>
        <v/>
      </c>
      <c r="K1331" s="19">
        <f>IFERROR(IF(OR(F1331="",INDEX(F:F,MATCH(DATE(YEAR($A1331)-1,MONTH($A1331),DAY($A1331)),$A:$A,0))=""),"",F1331/INDEX(F:F,MATCH(DATE(YEAR($A1331)-1,MONTH($A1331),DAY($A1331)),$A:$A,0))-1),"")</f>
        <v/>
      </c>
      <c r="L1331" s="19">
        <f>IFERROR(IF(OR(G1331="",INDEX(G:G,MATCH(DATE(YEAR($A1331)-1,MONTH($A1331),DAY($A1331)),$A:$A,0))=""),"",G1331/INDEX(G:G,MATCH(DATE(YEAR($A1331)-1,MONTH($A1331),DAY($A1331)),$A:$A,0))-1),"")</f>
        <v/>
      </c>
      <c r="M1331" s="19">
        <f>IF(OR(E1331="",E1330=""),"",E1331/E1330-1)</f>
        <v/>
      </c>
      <c r="N1331" s="19">
        <f>IF(OR(F1331="",F1330=""),"",F1331/F1330-1)</f>
        <v/>
      </c>
      <c r="O1331" s="19">
        <f>IF(OR(G1331="",G1330=""),"",G1331/G1330-1)</f>
        <v/>
      </c>
      <c r="P1331" s="22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IF(R1331="","",P1331/R1331)</f>
        <v/>
      </c>
      <c r="T1331" s="23">
        <f>IF(R1331="","",Q1331/R1331)</f>
        <v/>
      </c>
      <c r="U1331" s="24">
        <f>IF(SUMIFS('Daily NSE Equity Options'!$M:$M,'Daily NSE Equity Options'!$A:$A,$A1331)=0,"",SUMIFS('Daily NSE Equity Options'!$M:$M,'Daily NSE Equity Options'!$A:$A,$A1331))</f>
        <v/>
      </c>
      <c r="V1331" s="9">
        <f>IF(SUMIFS('Daily BSE Equity Options'!$M:$M,'Daily BSE Equity Options'!$A:$A,$A1331)=0,"",SUMIFS('Daily BSE Equity Options'!$M:$M,'Daily BSE Equity Options'!$A:$A,$A1331))</f>
        <v/>
      </c>
      <c r="W1331" s="9">
        <f>IF(OR(U1331="",V1331=""),"",U1331+V1331)</f>
        <v/>
      </c>
      <c r="X1331" s="25">
        <f>IF(W1331="","",U1331/W1331)</f>
        <v/>
      </c>
      <c r="Y1331" s="25">
        <f>IF(W1331="","",V1331/W1331)</f>
        <v/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19">
        <f>IF(G1332="","",E1332/G1332)</f>
        <v/>
      </c>
      <c r="I1332" s="19">
        <f>IF(G1332="","",F1332/G1332)</f>
        <v/>
      </c>
      <c r="J1332" s="26">
        <f>IFERROR(IF(OR(E1332="",INDEX(E:E,MATCH(DATE(YEAR($A1332)-1,MONTH($A1332),DAY($A1332)),$A:$A,0))=""),"",E1332/INDEX(E:E,MATCH(DATE(YEAR($A1332)-1,MONTH($A1332),DAY($A1332)),$A:$A,0))-1),"")</f>
        <v/>
      </c>
      <c r="K1332" s="19">
        <f>IFERROR(IF(OR(F1332="",INDEX(F:F,MATCH(DATE(YEAR($A1332)-1,MONTH($A1332),DAY($A1332)),$A:$A,0))=""),"",F1332/INDEX(F:F,MATCH(DATE(YEAR($A1332)-1,MONTH($A1332),DAY($A1332)),$A:$A,0))-1),"")</f>
        <v/>
      </c>
      <c r="L1332" s="19">
        <f>IFERROR(IF(OR(G1332="",INDEX(G:G,MATCH(DATE(YEAR($A1332)-1,MONTH($A1332),DAY($A1332)),$A:$A,0))=""),"",G1332/INDEX(G:G,MATCH(DATE(YEAR($A1332)-1,MONTH($A1332),DAY($A1332)),$A:$A,0))-1),"")</f>
        <v/>
      </c>
      <c r="M1332" s="19">
        <f>IF(OR(E1332="",E1331=""),"",E1332/E1331-1)</f>
        <v/>
      </c>
      <c r="N1332" s="19">
        <f>IF(OR(F1332="",F1331=""),"",F1332/F1331-1)</f>
        <v/>
      </c>
      <c r="O1332" s="19">
        <f>IF(OR(G1332="",G1331=""),"",G1332/G1331-1)</f>
        <v/>
      </c>
      <c r="P1332" s="22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IF(R1332="","",P1332/R1332)</f>
        <v/>
      </c>
      <c r="T1332" s="23">
        <f>IF(R1332="","",Q1332/R1332)</f>
        <v/>
      </c>
      <c r="U1332" s="24">
        <f>IF(SUMIFS('Daily NSE Equity Options'!$M:$M,'Daily NSE Equity Options'!$A:$A,$A1332)=0,"",SUMIFS('Daily NSE Equity Options'!$M:$M,'Daily NSE Equity Options'!$A:$A,$A1332))</f>
        <v/>
      </c>
      <c r="V1332" s="9">
        <f>IF(SUMIFS('Daily BSE Equity Options'!$M:$M,'Daily BSE Equity Options'!$A:$A,$A1332)=0,"",SUMIFS('Daily BSE Equity Options'!$M:$M,'Daily BSE Equity Options'!$A:$A,$A1332))</f>
        <v/>
      </c>
      <c r="W1332" s="9">
        <f>IF(OR(U1332="",V1332=""),"",U1332+V1332)</f>
        <v/>
      </c>
      <c r="X1332" s="25">
        <f>IF(W1332="","",U1332/W1332)</f>
        <v/>
      </c>
      <c r="Y1332" s="25">
        <f>IF(W1332="","",V1332/W1332)</f>
        <v/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19">
        <f>IF(G1333="","",E1333/G1333)</f>
        <v/>
      </c>
      <c r="I1333" s="19">
        <f>IF(G1333="","",F1333/G1333)</f>
        <v/>
      </c>
      <c r="J1333" s="26">
        <f>IFERROR(IF(OR(E1333="",INDEX(E:E,MATCH(DATE(YEAR($A1333)-1,MONTH($A1333),DAY($A1333)),$A:$A,0))=""),"",E1333/INDEX(E:E,MATCH(DATE(YEAR($A1333)-1,MONTH($A1333),DAY($A1333)),$A:$A,0))-1),"")</f>
        <v/>
      </c>
      <c r="K1333" s="19">
        <f>IFERROR(IF(OR(F1333="",INDEX(F:F,MATCH(DATE(YEAR($A1333)-1,MONTH($A1333),DAY($A1333)),$A:$A,0))=""),"",F1333/INDEX(F:F,MATCH(DATE(YEAR($A1333)-1,MONTH($A1333),DAY($A1333)),$A:$A,0))-1),"")</f>
        <v/>
      </c>
      <c r="L1333" s="19">
        <f>IFERROR(IF(OR(G1333="",INDEX(G:G,MATCH(DATE(YEAR($A1333)-1,MONTH($A1333),DAY($A1333)),$A:$A,0))=""),"",G1333/INDEX(G:G,MATCH(DATE(YEAR($A1333)-1,MONTH($A1333),DAY($A1333)),$A:$A,0))-1),"")</f>
        <v/>
      </c>
      <c r="M1333" s="19">
        <f>IF(OR(E1333="",E1332=""),"",E1333/E1332-1)</f>
        <v/>
      </c>
      <c r="N1333" s="19">
        <f>IF(OR(F1333="",F1332=""),"",F1333/F1332-1)</f>
        <v/>
      </c>
      <c r="O1333" s="19">
        <f>IF(OR(G1333="",G1332=""),"",G1333/G1332-1)</f>
        <v/>
      </c>
      <c r="P1333" s="22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IF(R1333="","",P1333/R1333)</f>
        <v/>
      </c>
      <c r="T1333" s="23">
        <f>IF(R1333="","",Q1333/R1333)</f>
        <v/>
      </c>
      <c r="U1333" s="24">
        <f>IF(SUMIFS('Daily NSE Equity Options'!$M:$M,'Daily NSE Equity Options'!$A:$A,$A1333)=0,"",SUMIFS('Daily NSE Equity Options'!$M:$M,'Daily NSE Equity Options'!$A:$A,$A1333))</f>
        <v/>
      </c>
      <c r="V1333" s="9">
        <f>IF(SUMIFS('Daily BSE Equity Options'!$M:$M,'Daily BSE Equity Options'!$A:$A,$A1333)=0,"",SUMIFS('Daily BSE Equity Options'!$M:$M,'Daily BSE Equity Options'!$A:$A,$A1333))</f>
        <v/>
      </c>
      <c r="W1333" s="9">
        <f>IF(OR(U1333="",V1333=""),"",U1333+V1333)</f>
        <v/>
      </c>
      <c r="X1333" s="25">
        <f>IF(W1333="","",U1333/W1333)</f>
        <v/>
      </c>
      <c r="Y1333" s="25">
        <f>IF(W1333="","",V1333/W1333)</f>
        <v/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19">
        <f>IF(G1334="","",E1334/G1334)</f>
        <v/>
      </c>
      <c r="I1334" s="19">
        <f>IF(G1334="","",F1334/G1334)</f>
        <v/>
      </c>
      <c r="J1334" s="26">
        <f>IFERROR(IF(OR(E1334="",INDEX(E:E,MATCH(DATE(YEAR($A1334)-1,MONTH($A1334),DAY($A1334)),$A:$A,0))=""),"",E1334/INDEX(E:E,MATCH(DATE(YEAR($A1334)-1,MONTH($A1334),DAY($A1334)),$A:$A,0))-1),"")</f>
        <v/>
      </c>
      <c r="K1334" s="19">
        <f>IFERROR(IF(OR(F1334="",INDEX(F:F,MATCH(DATE(YEAR($A1334)-1,MONTH($A1334),DAY($A1334)),$A:$A,0))=""),"",F1334/INDEX(F:F,MATCH(DATE(YEAR($A1334)-1,MONTH($A1334),DAY($A1334)),$A:$A,0))-1),"")</f>
        <v/>
      </c>
      <c r="L1334" s="19">
        <f>IFERROR(IF(OR(G1334="",INDEX(G:G,MATCH(DATE(YEAR($A1334)-1,MONTH($A1334),DAY($A1334)),$A:$A,0))=""),"",G1334/INDEX(G:G,MATCH(DATE(YEAR($A1334)-1,MONTH($A1334),DAY($A1334)),$A:$A,0))-1),"")</f>
        <v/>
      </c>
      <c r="M1334" s="19">
        <f>IF(OR(E1334="",E1333=""),"",E1334/E1333-1)</f>
        <v/>
      </c>
      <c r="N1334" s="19">
        <f>IF(OR(F1334="",F1333=""),"",F1334/F1333-1)</f>
        <v/>
      </c>
      <c r="O1334" s="19">
        <f>IF(OR(G1334="",G1333=""),"",G1334/G1333-1)</f>
        <v/>
      </c>
      <c r="P1334" s="22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IF(R1334="","",P1334/R1334)</f>
        <v/>
      </c>
      <c r="T1334" s="23">
        <f>IF(R1334="","",Q1334/R1334)</f>
        <v/>
      </c>
      <c r="U1334" s="24">
        <f>IF(SUMIFS('Daily NSE Equity Options'!$M:$M,'Daily NSE Equity Options'!$A:$A,$A1334)=0,"",SUMIFS('Daily NSE Equity Options'!$M:$M,'Daily NSE Equity Options'!$A:$A,$A1334))</f>
        <v/>
      </c>
      <c r="V1334" s="9">
        <f>IF(SUMIFS('Daily BSE Equity Options'!$M:$M,'Daily BSE Equity Options'!$A:$A,$A1334)=0,"",SUMIFS('Daily BSE Equity Options'!$M:$M,'Daily BSE Equity Options'!$A:$A,$A1334))</f>
        <v/>
      </c>
      <c r="W1334" s="9">
        <f>IF(OR(U1334="",V1334=""),"",U1334+V1334)</f>
        <v/>
      </c>
      <c r="X1334" s="25">
        <f>IF(W1334="","",U1334/W1334)</f>
        <v/>
      </c>
      <c r="Y1334" s="25">
        <f>IF(W1334="","",V1334/W1334)</f>
        <v/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19">
        <f>IF(G1335="","",E1335/G1335)</f>
        <v/>
      </c>
      <c r="I1335" s="19">
        <f>IF(G1335="","",F1335/G1335)</f>
        <v/>
      </c>
      <c r="J1335" s="26">
        <f>IFERROR(IF(OR(E1335="",INDEX(E:E,MATCH(DATE(YEAR($A1335)-1,MONTH($A1335),DAY($A1335)),$A:$A,0))=""),"",E1335/INDEX(E:E,MATCH(DATE(YEAR($A1335)-1,MONTH($A1335),DAY($A1335)),$A:$A,0))-1),"")</f>
        <v/>
      </c>
      <c r="K1335" s="19">
        <f>IFERROR(IF(OR(F1335="",INDEX(F:F,MATCH(DATE(YEAR($A1335)-1,MONTH($A1335),DAY($A1335)),$A:$A,0))=""),"",F1335/INDEX(F:F,MATCH(DATE(YEAR($A1335)-1,MONTH($A1335),DAY($A1335)),$A:$A,0))-1),"")</f>
        <v/>
      </c>
      <c r="L1335" s="19">
        <f>IFERROR(IF(OR(G1335="",INDEX(G:G,MATCH(DATE(YEAR($A1335)-1,MONTH($A1335),DAY($A1335)),$A:$A,0))=""),"",G1335/INDEX(G:G,MATCH(DATE(YEAR($A1335)-1,MONTH($A1335),DAY($A1335)),$A:$A,0))-1),"")</f>
        <v/>
      </c>
      <c r="M1335" s="19">
        <f>IF(OR(E1335="",E1334=""),"",E1335/E1334-1)</f>
        <v/>
      </c>
      <c r="N1335" s="19">
        <f>IF(OR(F1335="",F1334=""),"",F1335/F1334-1)</f>
        <v/>
      </c>
      <c r="O1335" s="19">
        <f>IF(OR(G1335="",G1334=""),"",G1335/G1334-1)</f>
        <v/>
      </c>
      <c r="P1335" s="22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IF(R1335="","",P1335/R1335)</f>
        <v/>
      </c>
      <c r="T1335" s="23">
        <f>IF(R1335="","",Q1335/R1335)</f>
        <v/>
      </c>
      <c r="U1335" s="24">
        <f>IF(SUMIFS('Daily NSE Equity Options'!$M:$M,'Daily NSE Equity Options'!$A:$A,$A1335)=0,"",SUMIFS('Daily NSE Equity Options'!$M:$M,'Daily NSE Equity Options'!$A:$A,$A1335))</f>
        <v/>
      </c>
      <c r="V1335" s="9">
        <f>IF(SUMIFS('Daily BSE Equity Options'!$M:$M,'Daily BSE Equity Options'!$A:$A,$A1335)=0,"",SUMIFS('Daily BSE Equity Options'!$M:$M,'Daily BSE Equity Options'!$A:$A,$A1335))</f>
        <v/>
      </c>
      <c r="W1335" s="9">
        <f>IF(OR(U1335="",V1335=""),"",U1335+V1335)</f>
        <v/>
      </c>
      <c r="X1335" s="25">
        <f>IF(W1335="","",U1335/W1335)</f>
        <v/>
      </c>
      <c r="Y1335" s="25">
        <f>IF(W1335="","",V1335/W1335)</f>
        <v/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19">
        <f>IF(G1336="","",E1336/G1336)</f>
        <v/>
      </c>
      <c r="I1336" s="19">
        <f>IF(G1336="","",F1336/G1336)</f>
        <v/>
      </c>
      <c r="J1336" s="26">
        <f>IFERROR(IF(OR(E1336="",INDEX(E:E,MATCH(DATE(YEAR($A1336)-1,MONTH($A1336),DAY($A1336)),$A:$A,0))=""),"",E1336/INDEX(E:E,MATCH(DATE(YEAR($A1336)-1,MONTH($A1336),DAY($A1336)),$A:$A,0))-1),"")</f>
        <v/>
      </c>
      <c r="K1336" s="19">
        <f>IFERROR(IF(OR(F1336="",INDEX(F:F,MATCH(DATE(YEAR($A1336)-1,MONTH($A1336),DAY($A1336)),$A:$A,0))=""),"",F1336/INDEX(F:F,MATCH(DATE(YEAR($A1336)-1,MONTH($A1336),DAY($A1336)),$A:$A,0))-1),"")</f>
        <v/>
      </c>
      <c r="L1336" s="19">
        <f>IFERROR(IF(OR(G1336="",INDEX(G:G,MATCH(DATE(YEAR($A1336)-1,MONTH($A1336),DAY($A1336)),$A:$A,0))=""),"",G1336/INDEX(G:G,MATCH(DATE(YEAR($A1336)-1,MONTH($A1336),DAY($A1336)),$A:$A,0))-1),"")</f>
        <v/>
      </c>
      <c r="M1336" s="19">
        <f>IF(OR(E1336="",E1335=""),"",E1336/E1335-1)</f>
        <v/>
      </c>
      <c r="N1336" s="19">
        <f>IF(OR(F1336="",F1335=""),"",F1336/F1335-1)</f>
        <v/>
      </c>
      <c r="O1336" s="19">
        <f>IF(OR(G1336="",G1335=""),"",G1336/G1335-1)</f>
        <v/>
      </c>
      <c r="P1336" s="22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IF(R1336="","",P1336/R1336)</f>
        <v/>
      </c>
      <c r="T1336" s="23">
        <f>IF(R1336="","",Q1336/R1336)</f>
        <v/>
      </c>
      <c r="U1336" s="24">
        <f>IF(SUMIFS('Daily NSE Equity Options'!$M:$M,'Daily NSE Equity Options'!$A:$A,$A1336)=0,"",SUMIFS('Daily NSE Equity Options'!$M:$M,'Daily NSE Equity Options'!$A:$A,$A1336))</f>
        <v/>
      </c>
      <c r="V1336" s="9">
        <f>IF(SUMIFS('Daily BSE Equity Options'!$M:$M,'Daily BSE Equity Options'!$A:$A,$A1336)=0,"",SUMIFS('Daily BSE Equity Options'!$M:$M,'Daily BSE Equity Options'!$A:$A,$A1336))</f>
        <v/>
      </c>
      <c r="W1336" s="9">
        <f>IF(OR(U1336="",V1336=""),"",U1336+V1336)</f>
        <v/>
      </c>
      <c r="X1336" s="25">
        <f>IF(W1336="","",U1336/W1336)</f>
        <v/>
      </c>
      <c r="Y1336" s="25">
        <f>IF(W1336="","",V1336/W1336)</f>
        <v/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19">
        <f>IF(G1337="","",E1337/G1337)</f>
        <v/>
      </c>
      <c r="I1337" s="19">
        <f>IF(G1337="","",F1337/G1337)</f>
        <v/>
      </c>
      <c r="J1337" s="26">
        <f>IFERROR(IF(OR(E1337="",INDEX(E:E,MATCH(DATE(YEAR($A1337)-1,MONTH($A1337),DAY($A1337)),$A:$A,0))=""),"",E1337/INDEX(E:E,MATCH(DATE(YEAR($A1337)-1,MONTH($A1337),DAY($A1337)),$A:$A,0))-1),"")</f>
        <v/>
      </c>
      <c r="K1337" s="19">
        <f>IFERROR(IF(OR(F1337="",INDEX(F:F,MATCH(DATE(YEAR($A1337)-1,MONTH($A1337),DAY($A1337)),$A:$A,0))=""),"",F1337/INDEX(F:F,MATCH(DATE(YEAR($A1337)-1,MONTH($A1337),DAY($A1337)),$A:$A,0))-1),"")</f>
        <v/>
      </c>
      <c r="L1337" s="19">
        <f>IFERROR(IF(OR(G1337="",INDEX(G:G,MATCH(DATE(YEAR($A1337)-1,MONTH($A1337),DAY($A1337)),$A:$A,0))=""),"",G1337/INDEX(G:G,MATCH(DATE(YEAR($A1337)-1,MONTH($A1337),DAY($A1337)),$A:$A,0))-1),"")</f>
        <v/>
      </c>
      <c r="M1337" s="19">
        <f>IF(OR(E1337="",E1336=""),"",E1337/E1336-1)</f>
        <v/>
      </c>
      <c r="N1337" s="19">
        <f>IF(OR(F1337="",F1336=""),"",F1337/F1336-1)</f>
        <v/>
      </c>
      <c r="O1337" s="19">
        <f>IF(OR(G1337="",G1336=""),"",G1337/G1336-1)</f>
        <v/>
      </c>
      <c r="P1337" s="22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IF(R1337="","",P1337/R1337)</f>
        <v/>
      </c>
      <c r="T1337" s="23">
        <f>IF(R1337="","",Q1337/R1337)</f>
        <v/>
      </c>
      <c r="U1337" s="24">
        <f>IF(SUMIFS('Daily NSE Equity Options'!$M:$M,'Daily NSE Equity Options'!$A:$A,$A1337)=0,"",SUMIFS('Daily NSE Equity Options'!$M:$M,'Daily NSE Equity Options'!$A:$A,$A1337))</f>
        <v/>
      </c>
      <c r="V1337" s="9">
        <f>IF(SUMIFS('Daily BSE Equity Options'!$M:$M,'Daily BSE Equity Options'!$A:$A,$A1337)=0,"",SUMIFS('Daily BSE Equity Options'!$M:$M,'Daily BSE Equity Options'!$A:$A,$A1337))</f>
        <v/>
      </c>
      <c r="W1337" s="9">
        <f>IF(OR(U1337="",V1337=""),"",U1337+V1337)</f>
        <v/>
      </c>
      <c r="X1337" s="25">
        <f>IF(W1337="","",U1337/W1337)</f>
        <v/>
      </c>
      <c r="Y1337" s="25">
        <f>IF(W1337="","",V1337/W1337)</f>
        <v/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19">
        <f>IF(G1338="","",E1338/G1338)</f>
        <v/>
      </c>
      <c r="I1338" s="19">
        <f>IF(G1338="","",F1338/G1338)</f>
        <v/>
      </c>
      <c r="J1338" s="26">
        <f>IFERROR(IF(OR(E1338="",INDEX(E:E,MATCH(DATE(YEAR($A1338)-1,MONTH($A1338),DAY($A1338)),$A:$A,0))=""),"",E1338/INDEX(E:E,MATCH(DATE(YEAR($A1338)-1,MONTH($A1338),DAY($A1338)),$A:$A,0))-1),"")</f>
        <v/>
      </c>
      <c r="K1338" s="19">
        <f>IFERROR(IF(OR(F1338="",INDEX(F:F,MATCH(DATE(YEAR($A1338)-1,MONTH($A1338),DAY($A1338)),$A:$A,0))=""),"",F1338/INDEX(F:F,MATCH(DATE(YEAR($A1338)-1,MONTH($A1338),DAY($A1338)),$A:$A,0))-1),"")</f>
        <v/>
      </c>
      <c r="L1338" s="19">
        <f>IFERROR(IF(OR(G1338="",INDEX(G:G,MATCH(DATE(YEAR($A1338)-1,MONTH($A1338),DAY($A1338)),$A:$A,0))=""),"",G1338/INDEX(G:G,MATCH(DATE(YEAR($A1338)-1,MONTH($A1338),DAY($A1338)),$A:$A,0))-1),"")</f>
        <v/>
      </c>
      <c r="M1338" s="19">
        <f>IF(OR(E1338="",E1337=""),"",E1338/E1337-1)</f>
        <v/>
      </c>
      <c r="N1338" s="19">
        <f>IF(OR(F1338="",F1337=""),"",F1338/F1337-1)</f>
        <v/>
      </c>
      <c r="O1338" s="19">
        <f>IF(OR(G1338="",G1337=""),"",G1338/G1337-1)</f>
        <v/>
      </c>
      <c r="P1338" s="22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IF(R1338="","",P1338/R1338)</f>
        <v/>
      </c>
      <c r="T1338" s="23">
        <f>IF(R1338="","",Q1338/R1338)</f>
        <v/>
      </c>
      <c r="U1338" s="24">
        <f>IF(SUMIFS('Daily NSE Equity Options'!$M:$M,'Daily NSE Equity Options'!$A:$A,$A1338)=0,"",SUMIFS('Daily NSE Equity Options'!$M:$M,'Daily NSE Equity Options'!$A:$A,$A1338))</f>
        <v/>
      </c>
      <c r="V1338" s="9">
        <f>IF(SUMIFS('Daily BSE Equity Options'!$M:$M,'Daily BSE Equity Options'!$A:$A,$A1338)=0,"",SUMIFS('Daily BSE Equity Options'!$M:$M,'Daily BSE Equity Options'!$A:$A,$A1338))</f>
        <v/>
      </c>
      <c r="W1338" s="9">
        <f>IF(OR(U1338="",V1338=""),"",U1338+V1338)</f>
        <v/>
      </c>
      <c r="X1338" s="25">
        <f>IF(W1338="","",U1338/W1338)</f>
        <v/>
      </c>
      <c r="Y1338" s="25">
        <f>IF(W1338="","",V1338/W1338)</f>
        <v/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19">
        <f>IF(G1339="","",E1339/G1339)</f>
        <v/>
      </c>
      <c r="I1339" s="19">
        <f>IF(G1339="","",F1339/G1339)</f>
        <v/>
      </c>
      <c r="J1339" s="26">
        <f>IFERROR(IF(OR(E1339="",INDEX(E:E,MATCH(DATE(YEAR($A1339)-1,MONTH($A1339),DAY($A1339)),$A:$A,0))=""),"",E1339/INDEX(E:E,MATCH(DATE(YEAR($A1339)-1,MONTH($A1339),DAY($A1339)),$A:$A,0))-1),"")</f>
        <v/>
      </c>
      <c r="K1339" s="19">
        <f>IFERROR(IF(OR(F1339="",INDEX(F:F,MATCH(DATE(YEAR($A1339)-1,MONTH($A1339),DAY($A1339)),$A:$A,0))=""),"",F1339/INDEX(F:F,MATCH(DATE(YEAR($A1339)-1,MONTH($A1339),DAY($A1339)),$A:$A,0))-1),"")</f>
        <v/>
      </c>
      <c r="L1339" s="19">
        <f>IFERROR(IF(OR(G1339="",INDEX(G:G,MATCH(DATE(YEAR($A1339)-1,MONTH($A1339),DAY($A1339)),$A:$A,0))=""),"",G1339/INDEX(G:G,MATCH(DATE(YEAR($A1339)-1,MONTH($A1339),DAY($A1339)),$A:$A,0))-1),"")</f>
        <v/>
      </c>
      <c r="M1339" s="19">
        <f>IF(OR(E1339="",E1338=""),"",E1339/E1338-1)</f>
        <v/>
      </c>
      <c r="N1339" s="19">
        <f>IF(OR(F1339="",F1338=""),"",F1339/F1338-1)</f>
        <v/>
      </c>
      <c r="O1339" s="19">
        <f>IF(OR(G1339="",G1338=""),"",G1339/G1338-1)</f>
        <v/>
      </c>
      <c r="P1339" s="22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IF(R1339="","",P1339/R1339)</f>
        <v/>
      </c>
      <c r="T1339" s="23">
        <f>IF(R1339="","",Q1339/R1339)</f>
        <v/>
      </c>
      <c r="U1339" s="24">
        <f>IF(SUMIFS('Daily NSE Equity Options'!$M:$M,'Daily NSE Equity Options'!$A:$A,$A1339)=0,"",SUMIFS('Daily NSE Equity Options'!$M:$M,'Daily NSE Equity Options'!$A:$A,$A1339))</f>
        <v/>
      </c>
      <c r="V1339" s="9">
        <f>IF(SUMIFS('Daily BSE Equity Options'!$M:$M,'Daily BSE Equity Options'!$A:$A,$A1339)=0,"",SUMIFS('Daily BSE Equity Options'!$M:$M,'Daily BSE Equity Options'!$A:$A,$A1339))</f>
        <v/>
      </c>
      <c r="W1339" s="9">
        <f>IF(OR(U1339="",V1339=""),"",U1339+V1339)</f>
        <v/>
      </c>
      <c r="X1339" s="25">
        <f>IF(W1339="","",U1339/W1339)</f>
        <v/>
      </c>
      <c r="Y1339" s="25">
        <f>IF(W1339="","",V1339/W1339)</f>
        <v/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19">
        <f>IF(G1340="","",E1340/G1340)</f>
        <v/>
      </c>
      <c r="I1340" s="19">
        <f>IF(G1340="","",F1340/G1340)</f>
        <v/>
      </c>
      <c r="J1340" s="26">
        <f>IFERROR(IF(OR(E1340="",INDEX(E:E,MATCH(DATE(YEAR($A1340)-1,MONTH($A1340),DAY($A1340)),$A:$A,0))=""),"",E1340/INDEX(E:E,MATCH(DATE(YEAR($A1340)-1,MONTH($A1340),DAY($A1340)),$A:$A,0))-1),"")</f>
        <v/>
      </c>
      <c r="K1340" s="19">
        <f>IFERROR(IF(OR(F1340="",INDEX(F:F,MATCH(DATE(YEAR($A1340)-1,MONTH($A1340),DAY($A1340)),$A:$A,0))=""),"",F1340/INDEX(F:F,MATCH(DATE(YEAR($A1340)-1,MONTH($A1340),DAY($A1340)),$A:$A,0))-1),"")</f>
        <v/>
      </c>
      <c r="L1340" s="19">
        <f>IFERROR(IF(OR(G1340="",INDEX(G:G,MATCH(DATE(YEAR($A1340)-1,MONTH($A1340),DAY($A1340)),$A:$A,0))=""),"",G1340/INDEX(G:G,MATCH(DATE(YEAR($A1340)-1,MONTH($A1340),DAY($A1340)),$A:$A,0))-1),"")</f>
        <v/>
      </c>
      <c r="M1340" s="19">
        <f>IF(OR(E1340="",E1339=""),"",E1340/E1339-1)</f>
        <v/>
      </c>
      <c r="N1340" s="19">
        <f>IF(OR(F1340="",F1339=""),"",F1340/F1339-1)</f>
        <v/>
      </c>
      <c r="O1340" s="19">
        <f>IF(OR(G1340="",G1339=""),"",G1340/G1339-1)</f>
        <v/>
      </c>
      <c r="P1340" s="22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IF(R1340="","",P1340/R1340)</f>
        <v/>
      </c>
      <c r="T1340" s="23">
        <f>IF(R1340="","",Q1340/R1340)</f>
        <v/>
      </c>
      <c r="U1340" s="24">
        <f>IF(SUMIFS('Daily NSE Equity Options'!$M:$M,'Daily NSE Equity Options'!$A:$A,$A1340)=0,"",SUMIFS('Daily NSE Equity Options'!$M:$M,'Daily NSE Equity Options'!$A:$A,$A1340))</f>
        <v/>
      </c>
      <c r="V1340" s="9">
        <f>IF(SUMIFS('Daily BSE Equity Options'!$M:$M,'Daily BSE Equity Options'!$A:$A,$A1340)=0,"",SUMIFS('Daily BSE Equity Options'!$M:$M,'Daily BSE Equity Options'!$A:$A,$A1340))</f>
        <v/>
      </c>
      <c r="W1340" s="9">
        <f>IF(OR(U1340="",V1340=""),"",U1340+V1340)</f>
        <v/>
      </c>
      <c r="X1340" s="25">
        <f>IF(W1340="","",U1340/W1340)</f>
        <v/>
      </c>
      <c r="Y1340" s="25">
        <f>IF(W1340="","",V1340/W1340)</f>
        <v/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19">
        <f>IF(G1341="","",E1341/G1341)</f>
        <v/>
      </c>
      <c r="I1341" s="19">
        <f>IF(G1341="","",F1341/G1341)</f>
        <v/>
      </c>
      <c r="J1341" s="26">
        <f>IFERROR(IF(OR(E1341="",INDEX(E:E,MATCH(DATE(YEAR($A1341)-1,MONTH($A1341),DAY($A1341)),$A:$A,0))=""),"",E1341/INDEX(E:E,MATCH(DATE(YEAR($A1341)-1,MONTH($A1341),DAY($A1341)),$A:$A,0))-1),"")</f>
        <v/>
      </c>
      <c r="K1341" s="19">
        <f>IFERROR(IF(OR(F1341="",INDEX(F:F,MATCH(DATE(YEAR($A1341)-1,MONTH($A1341),DAY($A1341)),$A:$A,0))=""),"",F1341/INDEX(F:F,MATCH(DATE(YEAR($A1341)-1,MONTH($A1341),DAY($A1341)),$A:$A,0))-1),"")</f>
        <v/>
      </c>
      <c r="L1341" s="19">
        <f>IFERROR(IF(OR(G1341="",INDEX(G:G,MATCH(DATE(YEAR($A1341)-1,MONTH($A1341),DAY($A1341)),$A:$A,0))=""),"",G1341/INDEX(G:G,MATCH(DATE(YEAR($A1341)-1,MONTH($A1341),DAY($A1341)),$A:$A,0))-1),"")</f>
        <v/>
      </c>
      <c r="M1341" s="19">
        <f>IF(OR(E1341="",E1340=""),"",E1341/E1340-1)</f>
        <v/>
      </c>
      <c r="N1341" s="19">
        <f>IF(OR(F1341="",F1340=""),"",F1341/F1340-1)</f>
        <v/>
      </c>
      <c r="O1341" s="19">
        <f>IF(OR(G1341="",G1340=""),"",G1341/G1340-1)</f>
        <v/>
      </c>
      <c r="P1341" s="22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IF(R1341="","",P1341/R1341)</f>
        <v/>
      </c>
      <c r="T1341" s="23">
        <f>IF(R1341="","",Q1341/R1341)</f>
        <v/>
      </c>
      <c r="U1341" s="24">
        <f>IF(SUMIFS('Daily NSE Equity Options'!$M:$M,'Daily NSE Equity Options'!$A:$A,$A1341)=0,"",SUMIFS('Daily NSE Equity Options'!$M:$M,'Daily NSE Equity Options'!$A:$A,$A1341))</f>
        <v/>
      </c>
      <c r="V1341" s="9">
        <f>IF(SUMIFS('Daily BSE Equity Options'!$M:$M,'Daily BSE Equity Options'!$A:$A,$A1341)=0,"",SUMIFS('Daily BSE Equity Options'!$M:$M,'Daily BSE Equity Options'!$A:$A,$A1341))</f>
        <v/>
      </c>
      <c r="W1341" s="9">
        <f>IF(OR(U1341="",V1341=""),"",U1341+V1341)</f>
        <v/>
      </c>
      <c r="X1341" s="25">
        <f>IF(W1341="","",U1341/W1341)</f>
        <v/>
      </c>
      <c r="Y1341" s="25">
        <f>IF(W1341="","",V1341/W1341)</f>
        <v/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19">
        <f>IF(G1342="","",E1342/G1342)</f>
        <v/>
      </c>
      <c r="I1342" s="19">
        <f>IF(G1342="","",F1342/G1342)</f>
        <v/>
      </c>
      <c r="J1342" s="26">
        <f>IFERROR(IF(OR(E1342="",INDEX(E:E,MATCH(DATE(YEAR($A1342)-1,MONTH($A1342),DAY($A1342)),$A:$A,0))=""),"",E1342/INDEX(E:E,MATCH(DATE(YEAR($A1342)-1,MONTH($A1342),DAY($A1342)),$A:$A,0))-1),"")</f>
        <v/>
      </c>
      <c r="K1342" s="19">
        <f>IFERROR(IF(OR(F1342="",INDEX(F:F,MATCH(DATE(YEAR($A1342)-1,MONTH($A1342),DAY($A1342)),$A:$A,0))=""),"",F1342/INDEX(F:F,MATCH(DATE(YEAR($A1342)-1,MONTH($A1342),DAY($A1342)),$A:$A,0))-1),"")</f>
        <v/>
      </c>
      <c r="L1342" s="19">
        <f>IFERROR(IF(OR(G1342="",INDEX(G:G,MATCH(DATE(YEAR($A1342)-1,MONTH($A1342),DAY($A1342)),$A:$A,0))=""),"",G1342/INDEX(G:G,MATCH(DATE(YEAR($A1342)-1,MONTH($A1342),DAY($A1342)),$A:$A,0))-1),"")</f>
        <v/>
      </c>
      <c r="M1342" s="19">
        <f>IF(OR(E1342="",E1341=""),"",E1342/E1341-1)</f>
        <v/>
      </c>
      <c r="N1342" s="19">
        <f>IF(OR(F1342="",F1341=""),"",F1342/F1341-1)</f>
        <v/>
      </c>
      <c r="O1342" s="19">
        <f>IF(OR(G1342="",G1341=""),"",G1342/G1341-1)</f>
        <v/>
      </c>
      <c r="P1342" s="22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IF(R1342="","",P1342/R1342)</f>
        <v/>
      </c>
      <c r="T1342" s="23">
        <f>IF(R1342="","",Q1342/R1342)</f>
        <v/>
      </c>
      <c r="U1342" s="24">
        <f>IF(SUMIFS('Daily NSE Equity Options'!$M:$M,'Daily NSE Equity Options'!$A:$A,$A1342)=0,"",SUMIFS('Daily NSE Equity Options'!$M:$M,'Daily NSE Equity Options'!$A:$A,$A1342))</f>
        <v/>
      </c>
      <c r="V1342" s="9">
        <f>IF(SUMIFS('Daily BSE Equity Options'!$M:$M,'Daily BSE Equity Options'!$A:$A,$A1342)=0,"",SUMIFS('Daily BSE Equity Options'!$M:$M,'Daily BSE Equity Options'!$A:$A,$A1342))</f>
        <v/>
      </c>
      <c r="W1342" s="9">
        <f>IF(OR(U1342="",V1342=""),"",U1342+V1342)</f>
        <v/>
      </c>
      <c r="X1342" s="25">
        <f>IF(W1342="","",U1342/W1342)</f>
        <v/>
      </c>
      <c r="Y1342" s="25">
        <f>IF(W1342="","",V1342/W1342)</f>
        <v/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19">
        <f>IF(G1343="","",E1343/G1343)</f>
        <v/>
      </c>
      <c r="I1343" s="19">
        <f>IF(G1343="","",F1343/G1343)</f>
        <v/>
      </c>
      <c r="J1343" s="26">
        <f>IFERROR(IF(OR(E1343="",INDEX(E:E,MATCH(DATE(YEAR($A1343)-1,MONTH($A1343),DAY($A1343)),$A:$A,0))=""),"",E1343/INDEX(E:E,MATCH(DATE(YEAR($A1343)-1,MONTH($A1343),DAY($A1343)),$A:$A,0))-1),"")</f>
        <v/>
      </c>
      <c r="K1343" s="19">
        <f>IFERROR(IF(OR(F1343="",INDEX(F:F,MATCH(DATE(YEAR($A1343)-1,MONTH($A1343),DAY($A1343)),$A:$A,0))=""),"",F1343/INDEX(F:F,MATCH(DATE(YEAR($A1343)-1,MONTH($A1343),DAY($A1343)),$A:$A,0))-1),"")</f>
        <v/>
      </c>
      <c r="L1343" s="19">
        <f>IFERROR(IF(OR(G1343="",INDEX(G:G,MATCH(DATE(YEAR($A1343)-1,MONTH($A1343),DAY($A1343)),$A:$A,0))=""),"",G1343/INDEX(G:G,MATCH(DATE(YEAR($A1343)-1,MONTH($A1343),DAY($A1343)),$A:$A,0))-1),"")</f>
        <v/>
      </c>
      <c r="M1343" s="19">
        <f>IF(OR(E1343="",E1342=""),"",E1343/E1342-1)</f>
        <v/>
      </c>
      <c r="N1343" s="19">
        <f>IF(OR(F1343="",F1342=""),"",F1343/F1342-1)</f>
        <v/>
      </c>
      <c r="O1343" s="19">
        <f>IF(OR(G1343="",G1342=""),"",G1343/G1342-1)</f>
        <v/>
      </c>
      <c r="P1343" s="22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IF(R1343="","",P1343/R1343)</f>
        <v/>
      </c>
      <c r="T1343" s="23">
        <f>IF(R1343="","",Q1343/R1343)</f>
        <v/>
      </c>
      <c r="U1343" s="24">
        <f>IF(SUMIFS('Daily NSE Equity Options'!$M:$M,'Daily NSE Equity Options'!$A:$A,$A1343)=0,"",SUMIFS('Daily NSE Equity Options'!$M:$M,'Daily NSE Equity Options'!$A:$A,$A1343))</f>
        <v/>
      </c>
      <c r="V1343" s="9">
        <f>IF(SUMIFS('Daily BSE Equity Options'!$M:$M,'Daily BSE Equity Options'!$A:$A,$A1343)=0,"",SUMIFS('Daily BSE Equity Options'!$M:$M,'Daily BSE Equity Options'!$A:$A,$A1343))</f>
        <v/>
      </c>
      <c r="W1343" s="9">
        <f>IF(OR(U1343="",V1343=""),"",U1343+V1343)</f>
        <v/>
      </c>
      <c r="X1343" s="25">
        <f>IF(W1343="","",U1343/W1343)</f>
        <v/>
      </c>
      <c r="Y1343" s="25">
        <f>IF(W1343="","",V1343/W1343)</f>
        <v/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19">
        <f>IF(G1344="","",E1344/G1344)</f>
        <v/>
      </c>
      <c r="I1344" s="19">
        <f>IF(G1344="","",F1344/G1344)</f>
        <v/>
      </c>
      <c r="J1344" s="26">
        <f>IFERROR(IF(OR(E1344="",INDEX(E:E,MATCH(DATE(YEAR($A1344)-1,MONTH($A1344),DAY($A1344)),$A:$A,0))=""),"",E1344/INDEX(E:E,MATCH(DATE(YEAR($A1344)-1,MONTH($A1344),DAY($A1344)),$A:$A,0))-1),"")</f>
        <v/>
      </c>
      <c r="K1344" s="19">
        <f>IFERROR(IF(OR(F1344="",INDEX(F:F,MATCH(DATE(YEAR($A1344)-1,MONTH($A1344),DAY($A1344)),$A:$A,0))=""),"",F1344/INDEX(F:F,MATCH(DATE(YEAR($A1344)-1,MONTH($A1344),DAY($A1344)),$A:$A,0))-1),"")</f>
        <v/>
      </c>
      <c r="L1344" s="19">
        <f>IFERROR(IF(OR(G1344="",INDEX(G:G,MATCH(DATE(YEAR($A1344)-1,MONTH($A1344),DAY($A1344)),$A:$A,0))=""),"",G1344/INDEX(G:G,MATCH(DATE(YEAR($A1344)-1,MONTH($A1344),DAY($A1344)),$A:$A,0))-1),"")</f>
        <v/>
      </c>
      <c r="M1344" s="19">
        <f>IF(OR(E1344="",E1343=""),"",E1344/E1343-1)</f>
        <v/>
      </c>
      <c r="N1344" s="19">
        <f>IF(OR(F1344="",F1343=""),"",F1344/F1343-1)</f>
        <v/>
      </c>
      <c r="O1344" s="19">
        <f>IF(OR(G1344="",G1343=""),"",G1344/G1343-1)</f>
        <v/>
      </c>
      <c r="P1344" s="22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IF(R1344="","",P1344/R1344)</f>
        <v/>
      </c>
      <c r="T1344" s="23">
        <f>IF(R1344="","",Q1344/R1344)</f>
        <v/>
      </c>
      <c r="U1344" s="24">
        <f>IF(SUMIFS('Daily NSE Equity Options'!$M:$M,'Daily NSE Equity Options'!$A:$A,$A1344)=0,"",SUMIFS('Daily NSE Equity Options'!$M:$M,'Daily NSE Equity Options'!$A:$A,$A1344))</f>
        <v/>
      </c>
      <c r="V1344" s="9">
        <f>IF(SUMIFS('Daily BSE Equity Options'!$M:$M,'Daily BSE Equity Options'!$A:$A,$A1344)=0,"",SUMIFS('Daily BSE Equity Options'!$M:$M,'Daily BSE Equity Options'!$A:$A,$A1344))</f>
        <v/>
      </c>
      <c r="W1344" s="9">
        <f>IF(OR(U1344="",V1344=""),"",U1344+V1344)</f>
        <v/>
      </c>
      <c r="X1344" s="25">
        <f>IF(W1344="","",U1344/W1344)</f>
        <v/>
      </c>
      <c r="Y1344" s="25">
        <f>IF(W1344="","",V1344/W1344)</f>
        <v/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19">
        <f>IF(G1345="","",E1345/G1345)</f>
        <v/>
      </c>
      <c r="I1345" s="19">
        <f>IF(G1345="","",F1345/G1345)</f>
        <v/>
      </c>
      <c r="J1345" s="26">
        <f>IFERROR(IF(OR(E1345="",INDEX(E:E,MATCH(DATE(YEAR($A1345)-1,MONTH($A1345),DAY($A1345)),$A:$A,0))=""),"",E1345/INDEX(E:E,MATCH(DATE(YEAR($A1345)-1,MONTH($A1345),DAY($A1345)),$A:$A,0))-1),"")</f>
        <v/>
      </c>
      <c r="K1345" s="19">
        <f>IFERROR(IF(OR(F1345="",INDEX(F:F,MATCH(DATE(YEAR($A1345)-1,MONTH($A1345),DAY($A1345)),$A:$A,0))=""),"",F1345/INDEX(F:F,MATCH(DATE(YEAR($A1345)-1,MONTH($A1345),DAY($A1345)),$A:$A,0))-1),"")</f>
        <v/>
      </c>
      <c r="L1345" s="19">
        <f>IFERROR(IF(OR(G1345="",INDEX(G:G,MATCH(DATE(YEAR($A1345)-1,MONTH($A1345),DAY($A1345)),$A:$A,0))=""),"",G1345/INDEX(G:G,MATCH(DATE(YEAR($A1345)-1,MONTH($A1345),DAY($A1345)),$A:$A,0))-1),"")</f>
        <v/>
      </c>
      <c r="M1345" s="19">
        <f>IF(OR(E1345="",E1344=""),"",E1345/E1344-1)</f>
        <v/>
      </c>
      <c r="N1345" s="19">
        <f>IF(OR(F1345="",F1344=""),"",F1345/F1344-1)</f>
        <v/>
      </c>
      <c r="O1345" s="19">
        <f>IF(OR(G1345="",G1344=""),"",G1345/G1344-1)</f>
        <v/>
      </c>
      <c r="P1345" s="22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IF(R1345="","",P1345/R1345)</f>
        <v/>
      </c>
      <c r="T1345" s="23">
        <f>IF(R1345="","",Q1345/R1345)</f>
        <v/>
      </c>
      <c r="U1345" s="24">
        <f>IF(SUMIFS('Daily NSE Equity Options'!$M:$M,'Daily NSE Equity Options'!$A:$A,$A1345)=0,"",SUMIFS('Daily NSE Equity Options'!$M:$M,'Daily NSE Equity Options'!$A:$A,$A1345))</f>
        <v/>
      </c>
      <c r="V1345" s="9">
        <f>IF(SUMIFS('Daily BSE Equity Options'!$M:$M,'Daily BSE Equity Options'!$A:$A,$A1345)=0,"",SUMIFS('Daily BSE Equity Options'!$M:$M,'Daily BSE Equity Options'!$A:$A,$A1345))</f>
        <v/>
      </c>
      <c r="W1345" s="9">
        <f>IF(OR(U1345="",V1345=""),"",U1345+V1345)</f>
        <v/>
      </c>
      <c r="X1345" s="25">
        <f>IF(W1345="","",U1345/W1345)</f>
        <v/>
      </c>
      <c r="Y1345" s="25">
        <f>IF(W1345="","",V1345/W1345)</f>
        <v/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19">
        <f>IF(G1346="","",E1346/G1346)</f>
        <v/>
      </c>
      <c r="I1346" s="19">
        <f>IF(G1346="","",F1346/G1346)</f>
        <v/>
      </c>
      <c r="J1346" s="26">
        <f>IFERROR(IF(OR(E1346="",INDEX(E:E,MATCH(DATE(YEAR($A1346)-1,MONTH($A1346),DAY($A1346)),$A:$A,0))=""),"",E1346/INDEX(E:E,MATCH(DATE(YEAR($A1346)-1,MONTH($A1346),DAY($A1346)),$A:$A,0))-1),"")</f>
        <v/>
      </c>
      <c r="K1346" s="19">
        <f>IFERROR(IF(OR(F1346="",INDEX(F:F,MATCH(DATE(YEAR($A1346)-1,MONTH($A1346),DAY($A1346)),$A:$A,0))=""),"",F1346/INDEX(F:F,MATCH(DATE(YEAR($A1346)-1,MONTH($A1346),DAY($A1346)),$A:$A,0))-1),"")</f>
        <v/>
      </c>
      <c r="L1346" s="19">
        <f>IFERROR(IF(OR(G1346="",INDEX(G:G,MATCH(DATE(YEAR($A1346)-1,MONTH($A1346),DAY($A1346)),$A:$A,0))=""),"",G1346/INDEX(G:G,MATCH(DATE(YEAR($A1346)-1,MONTH($A1346),DAY($A1346)),$A:$A,0))-1),"")</f>
        <v/>
      </c>
      <c r="M1346" s="19">
        <f>IF(OR(E1346="",E1345=""),"",E1346/E1345-1)</f>
        <v/>
      </c>
      <c r="N1346" s="19">
        <f>IF(OR(F1346="",F1345=""),"",F1346/F1345-1)</f>
        <v/>
      </c>
      <c r="O1346" s="19">
        <f>IF(OR(G1346="",G1345=""),"",G1346/G1345-1)</f>
        <v/>
      </c>
      <c r="P1346" s="22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IF(R1346="","",P1346/R1346)</f>
        <v/>
      </c>
      <c r="T1346" s="23">
        <f>IF(R1346="","",Q1346/R1346)</f>
        <v/>
      </c>
      <c r="U1346" s="24">
        <f>IF(SUMIFS('Daily NSE Equity Options'!$M:$M,'Daily NSE Equity Options'!$A:$A,$A1346)=0,"",SUMIFS('Daily NSE Equity Options'!$M:$M,'Daily NSE Equity Options'!$A:$A,$A1346))</f>
        <v/>
      </c>
      <c r="V1346" s="9">
        <f>IF(SUMIFS('Daily BSE Equity Options'!$M:$M,'Daily BSE Equity Options'!$A:$A,$A1346)=0,"",SUMIFS('Daily BSE Equity Options'!$M:$M,'Daily BSE Equity Options'!$A:$A,$A1346))</f>
        <v/>
      </c>
      <c r="W1346" s="9">
        <f>IF(OR(U1346="",V1346=""),"",U1346+V1346)</f>
        <v/>
      </c>
      <c r="X1346" s="25">
        <f>IF(W1346="","",U1346/W1346)</f>
        <v/>
      </c>
      <c r="Y1346" s="25">
        <f>IF(W1346="","",V1346/W1346)</f>
        <v/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19">
        <f>IF(G1347="","",E1347/G1347)</f>
        <v/>
      </c>
      <c r="I1347" s="19">
        <f>IF(G1347="","",F1347/G1347)</f>
        <v/>
      </c>
      <c r="J1347" s="26">
        <f>IFERROR(IF(OR(E1347="",INDEX(E:E,MATCH(DATE(YEAR($A1347)-1,MONTH($A1347),DAY($A1347)),$A:$A,0))=""),"",E1347/INDEX(E:E,MATCH(DATE(YEAR($A1347)-1,MONTH($A1347),DAY($A1347)),$A:$A,0))-1),"")</f>
        <v/>
      </c>
      <c r="K1347" s="19">
        <f>IFERROR(IF(OR(F1347="",INDEX(F:F,MATCH(DATE(YEAR($A1347)-1,MONTH($A1347),DAY($A1347)),$A:$A,0))=""),"",F1347/INDEX(F:F,MATCH(DATE(YEAR($A1347)-1,MONTH($A1347),DAY($A1347)),$A:$A,0))-1),"")</f>
        <v/>
      </c>
      <c r="L1347" s="19">
        <f>IFERROR(IF(OR(G1347="",INDEX(G:G,MATCH(DATE(YEAR($A1347)-1,MONTH($A1347),DAY($A1347)),$A:$A,0))=""),"",G1347/INDEX(G:G,MATCH(DATE(YEAR($A1347)-1,MONTH($A1347),DAY($A1347)),$A:$A,0))-1),"")</f>
        <v/>
      </c>
      <c r="M1347" s="19">
        <f>IF(OR(E1347="",E1346=""),"",E1347/E1346-1)</f>
        <v/>
      </c>
      <c r="N1347" s="19">
        <f>IF(OR(F1347="",F1346=""),"",F1347/F1346-1)</f>
        <v/>
      </c>
      <c r="O1347" s="19">
        <f>IF(OR(G1347="",G1346=""),"",G1347/G1346-1)</f>
        <v/>
      </c>
      <c r="P1347" s="22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IF(R1347="","",P1347/R1347)</f>
        <v/>
      </c>
      <c r="T1347" s="23">
        <f>IF(R1347="","",Q1347/R1347)</f>
        <v/>
      </c>
      <c r="U1347" s="24">
        <f>IF(SUMIFS('Daily NSE Equity Options'!$M:$M,'Daily NSE Equity Options'!$A:$A,$A1347)=0,"",SUMIFS('Daily NSE Equity Options'!$M:$M,'Daily NSE Equity Options'!$A:$A,$A1347))</f>
        <v/>
      </c>
      <c r="V1347" s="9">
        <f>IF(SUMIFS('Daily BSE Equity Options'!$M:$M,'Daily BSE Equity Options'!$A:$A,$A1347)=0,"",SUMIFS('Daily BSE Equity Options'!$M:$M,'Daily BSE Equity Options'!$A:$A,$A1347))</f>
        <v/>
      </c>
      <c r="W1347" s="9">
        <f>IF(OR(U1347="",V1347=""),"",U1347+V1347)</f>
        <v/>
      </c>
      <c r="X1347" s="25">
        <f>IF(W1347="","",U1347/W1347)</f>
        <v/>
      </c>
      <c r="Y1347" s="25">
        <f>IF(W1347="","",V1347/W1347)</f>
        <v/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19">
        <f>IF(G1348="","",E1348/G1348)</f>
        <v/>
      </c>
      <c r="I1348" s="19">
        <f>IF(G1348="","",F1348/G1348)</f>
        <v/>
      </c>
      <c r="J1348" s="26">
        <f>IFERROR(IF(OR(E1348="",INDEX(E:E,MATCH(DATE(YEAR($A1348)-1,MONTH($A1348),DAY($A1348)),$A:$A,0))=""),"",E1348/INDEX(E:E,MATCH(DATE(YEAR($A1348)-1,MONTH($A1348),DAY($A1348)),$A:$A,0))-1),"")</f>
        <v/>
      </c>
      <c r="K1348" s="19">
        <f>IFERROR(IF(OR(F1348="",INDEX(F:F,MATCH(DATE(YEAR($A1348)-1,MONTH($A1348),DAY($A1348)),$A:$A,0))=""),"",F1348/INDEX(F:F,MATCH(DATE(YEAR($A1348)-1,MONTH($A1348),DAY($A1348)),$A:$A,0))-1),"")</f>
        <v/>
      </c>
      <c r="L1348" s="19">
        <f>IFERROR(IF(OR(G1348="",INDEX(G:G,MATCH(DATE(YEAR($A1348)-1,MONTH($A1348),DAY($A1348)),$A:$A,0))=""),"",G1348/INDEX(G:G,MATCH(DATE(YEAR($A1348)-1,MONTH($A1348),DAY($A1348)),$A:$A,0))-1),"")</f>
        <v/>
      </c>
      <c r="M1348" s="19">
        <f>IF(OR(E1348="",E1347=""),"",E1348/E1347-1)</f>
        <v/>
      </c>
      <c r="N1348" s="19">
        <f>IF(OR(F1348="",F1347=""),"",F1348/F1347-1)</f>
        <v/>
      </c>
      <c r="O1348" s="19">
        <f>IF(OR(G1348="",G1347=""),"",G1348/G1347-1)</f>
        <v/>
      </c>
      <c r="P1348" s="22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IF(R1348="","",P1348/R1348)</f>
        <v/>
      </c>
      <c r="T1348" s="23">
        <f>IF(R1348="","",Q1348/R1348)</f>
        <v/>
      </c>
      <c r="U1348" s="24">
        <f>IF(SUMIFS('Daily NSE Equity Options'!$M:$M,'Daily NSE Equity Options'!$A:$A,$A1348)=0,"",SUMIFS('Daily NSE Equity Options'!$M:$M,'Daily NSE Equity Options'!$A:$A,$A1348))</f>
        <v/>
      </c>
      <c r="V1348" s="9">
        <f>IF(SUMIFS('Daily BSE Equity Options'!$M:$M,'Daily BSE Equity Options'!$A:$A,$A1348)=0,"",SUMIFS('Daily BSE Equity Options'!$M:$M,'Daily BSE Equity Options'!$A:$A,$A1348))</f>
        <v/>
      </c>
      <c r="W1348" s="9">
        <f>IF(OR(U1348="",V1348=""),"",U1348+V1348)</f>
        <v/>
      </c>
      <c r="X1348" s="25">
        <f>IF(W1348="","",U1348/W1348)</f>
        <v/>
      </c>
      <c r="Y1348" s="25">
        <f>IF(W1348="","",V1348/W1348)</f>
        <v/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19">
        <f>IF(G1349="","",E1349/G1349)</f>
        <v/>
      </c>
      <c r="I1349" s="19">
        <f>IF(G1349="","",F1349/G1349)</f>
        <v/>
      </c>
      <c r="J1349" s="26">
        <f>IFERROR(IF(OR(E1349="",INDEX(E:E,MATCH(DATE(YEAR($A1349)-1,MONTH($A1349),DAY($A1349)),$A:$A,0))=""),"",E1349/INDEX(E:E,MATCH(DATE(YEAR($A1349)-1,MONTH($A1349),DAY($A1349)),$A:$A,0))-1),"")</f>
        <v/>
      </c>
      <c r="K1349" s="19">
        <f>IFERROR(IF(OR(F1349="",INDEX(F:F,MATCH(DATE(YEAR($A1349)-1,MONTH($A1349),DAY($A1349)),$A:$A,0))=""),"",F1349/INDEX(F:F,MATCH(DATE(YEAR($A1349)-1,MONTH($A1349),DAY($A1349)),$A:$A,0))-1),"")</f>
        <v/>
      </c>
      <c r="L1349" s="19">
        <f>IFERROR(IF(OR(G1349="",INDEX(G:G,MATCH(DATE(YEAR($A1349)-1,MONTH($A1349),DAY($A1349)),$A:$A,0))=""),"",G1349/INDEX(G:G,MATCH(DATE(YEAR($A1349)-1,MONTH($A1349),DAY($A1349)),$A:$A,0))-1),"")</f>
        <v/>
      </c>
      <c r="M1349" s="19">
        <f>IF(OR(E1349="",E1348=""),"",E1349/E1348-1)</f>
        <v/>
      </c>
      <c r="N1349" s="19">
        <f>IF(OR(F1349="",F1348=""),"",F1349/F1348-1)</f>
        <v/>
      </c>
      <c r="O1349" s="19">
        <f>IF(OR(G1349="",G1348=""),"",G1349/G1348-1)</f>
        <v/>
      </c>
      <c r="P1349" s="22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IF(R1349="","",P1349/R1349)</f>
        <v/>
      </c>
      <c r="T1349" s="23">
        <f>IF(R1349="","",Q1349/R1349)</f>
        <v/>
      </c>
      <c r="U1349" s="24">
        <f>IF(SUMIFS('Daily NSE Equity Options'!$M:$M,'Daily NSE Equity Options'!$A:$A,$A1349)=0,"",SUMIFS('Daily NSE Equity Options'!$M:$M,'Daily NSE Equity Options'!$A:$A,$A1349))</f>
        <v/>
      </c>
      <c r="V1349" s="9">
        <f>IF(SUMIFS('Daily BSE Equity Options'!$M:$M,'Daily BSE Equity Options'!$A:$A,$A1349)=0,"",SUMIFS('Daily BSE Equity Options'!$M:$M,'Daily BSE Equity Options'!$A:$A,$A1349))</f>
        <v/>
      </c>
      <c r="W1349" s="9">
        <f>IF(OR(U1349="",V1349=""),"",U1349+V1349)</f>
        <v/>
      </c>
      <c r="X1349" s="25">
        <f>IF(W1349="","",U1349/W1349)</f>
        <v/>
      </c>
      <c r="Y1349" s="25">
        <f>IF(W1349="","",V1349/W1349)</f>
        <v/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19">
        <f>IF(G1350="","",E1350/G1350)</f>
        <v/>
      </c>
      <c r="I1350" s="19">
        <f>IF(G1350="","",F1350/G1350)</f>
        <v/>
      </c>
      <c r="J1350" s="26">
        <f>IFERROR(IF(OR(E1350="",INDEX(E:E,MATCH(DATE(YEAR($A1350)-1,MONTH($A1350),DAY($A1350)),$A:$A,0))=""),"",E1350/INDEX(E:E,MATCH(DATE(YEAR($A1350)-1,MONTH($A1350),DAY($A1350)),$A:$A,0))-1),"")</f>
        <v/>
      </c>
      <c r="K1350" s="19">
        <f>IFERROR(IF(OR(F1350="",INDEX(F:F,MATCH(DATE(YEAR($A1350)-1,MONTH($A1350),DAY($A1350)),$A:$A,0))=""),"",F1350/INDEX(F:F,MATCH(DATE(YEAR($A1350)-1,MONTH($A1350),DAY($A1350)),$A:$A,0))-1),"")</f>
        <v/>
      </c>
      <c r="L1350" s="19">
        <f>IFERROR(IF(OR(G1350="",INDEX(G:G,MATCH(DATE(YEAR($A1350)-1,MONTH($A1350),DAY($A1350)),$A:$A,0))=""),"",G1350/INDEX(G:G,MATCH(DATE(YEAR($A1350)-1,MONTH($A1350),DAY($A1350)),$A:$A,0))-1),"")</f>
        <v/>
      </c>
      <c r="M1350" s="19">
        <f>IF(OR(E1350="",E1349=""),"",E1350/E1349-1)</f>
        <v/>
      </c>
      <c r="N1350" s="19">
        <f>IF(OR(F1350="",F1349=""),"",F1350/F1349-1)</f>
        <v/>
      </c>
      <c r="O1350" s="19">
        <f>IF(OR(G1350="",G1349=""),"",G1350/G1349-1)</f>
        <v/>
      </c>
      <c r="P1350" s="22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IF(R1350="","",P1350/R1350)</f>
        <v/>
      </c>
      <c r="T1350" s="23">
        <f>IF(R1350="","",Q1350/R1350)</f>
        <v/>
      </c>
      <c r="U1350" s="24">
        <f>IF(SUMIFS('Daily NSE Equity Options'!$M:$M,'Daily NSE Equity Options'!$A:$A,$A1350)=0,"",SUMIFS('Daily NSE Equity Options'!$M:$M,'Daily NSE Equity Options'!$A:$A,$A1350))</f>
        <v/>
      </c>
      <c r="V1350" s="9">
        <f>IF(SUMIFS('Daily BSE Equity Options'!$M:$M,'Daily BSE Equity Options'!$A:$A,$A1350)=0,"",SUMIFS('Daily BSE Equity Options'!$M:$M,'Daily BSE Equity Options'!$A:$A,$A1350))</f>
        <v/>
      </c>
      <c r="W1350" s="9">
        <f>IF(OR(U1350="",V1350=""),"",U1350+V1350)</f>
        <v/>
      </c>
      <c r="X1350" s="25">
        <f>IF(W1350="","",U1350/W1350)</f>
        <v/>
      </c>
      <c r="Y1350" s="25">
        <f>IF(W1350="","",V1350/W1350)</f>
        <v/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19">
        <f>IF(G1351="","",E1351/G1351)</f>
        <v/>
      </c>
      <c r="I1351" s="19">
        <f>IF(G1351="","",F1351/G1351)</f>
        <v/>
      </c>
      <c r="J1351" s="26">
        <f>IFERROR(IF(OR(E1351="",INDEX(E:E,MATCH(DATE(YEAR($A1351)-1,MONTH($A1351),DAY($A1351)),$A:$A,0))=""),"",E1351/INDEX(E:E,MATCH(DATE(YEAR($A1351)-1,MONTH($A1351),DAY($A1351)),$A:$A,0))-1),"")</f>
        <v/>
      </c>
      <c r="K1351" s="19">
        <f>IFERROR(IF(OR(F1351="",INDEX(F:F,MATCH(DATE(YEAR($A1351)-1,MONTH($A1351),DAY($A1351)),$A:$A,0))=""),"",F1351/INDEX(F:F,MATCH(DATE(YEAR($A1351)-1,MONTH($A1351),DAY($A1351)),$A:$A,0))-1),"")</f>
        <v/>
      </c>
      <c r="L1351" s="19">
        <f>IFERROR(IF(OR(G1351="",INDEX(G:G,MATCH(DATE(YEAR($A1351)-1,MONTH($A1351),DAY($A1351)),$A:$A,0))=""),"",G1351/INDEX(G:G,MATCH(DATE(YEAR($A1351)-1,MONTH($A1351),DAY($A1351)),$A:$A,0))-1),"")</f>
        <v/>
      </c>
      <c r="M1351" s="19">
        <f>IF(OR(E1351="",E1350=""),"",E1351/E1350-1)</f>
        <v/>
      </c>
      <c r="N1351" s="19">
        <f>IF(OR(F1351="",F1350=""),"",F1351/F1350-1)</f>
        <v/>
      </c>
      <c r="O1351" s="19">
        <f>IF(OR(G1351="",G1350=""),"",G1351/G1350-1)</f>
        <v/>
      </c>
      <c r="P1351" s="22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IF(R1351="","",P1351/R1351)</f>
        <v/>
      </c>
      <c r="T1351" s="23">
        <f>IF(R1351="","",Q1351/R1351)</f>
        <v/>
      </c>
      <c r="U1351" s="24">
        <f>IF(SUMIFS('Daily NSE Equity Options'!$M:$M,'Daily NSE Equity Options'!$A:$A,$A1351)=0,"",SUMIFS('Daily NSE Equity Options'!$M:$M,'Daily NSE Equity Options'!$A:$A,$A1351))</f>
        <v/>
      </c>
      <c r="V1351" s="9">
        <f>IF(SUMIFS('Daily BSE Equity Options'!$M:$M,'Daily BSE Equity Options'!$A:$A,$A1351)=0,"",SUMIFS('Daily BSE Equity Options'!$M:$M,'Daily BSE Equity Options'!$A:$A,$A1351))</f>
        <v/>
      </c>
      <c r="W1351" s="9">
        <f>IF(OR(U1351="",V1351=""),"",U1351+V1351)</f>
        <v/>
      </c>
      <c r="X1351" s="25">
        <f>IF(W1351="","",U1351/W1351)</f>
        <v/>
      </c>
      <c r="Y1351" s="25">
        <f>IF(W1351="","",V1351/W1351)</f>
        <v/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19">
        <f>IF(G1352="","",E1352/G1352)</f>
        <v/>
      </c>
      <c r="I1352" s="19">
        <f>IF(G1352="","",F1352/G1352)</f>
        <v/>
      </c>
      <c r="J1352" s="26">
        <f>IFERROR(IF(OR(E1352="",INDEX(E:E,MATCH(DATE(YEAR($A1352)-1,MONTH($A1352),DAY($A1352)),$A:$A,0))=""),"",E1352/INDEX(E:E,MATCH(DATE(YEAR($A1352)-1,MONTH($A1352),DAY($A1352)),$A:$A,0))-1),"")</f>
        <v/>
      </c>
      <c r="K1352" s="19">
        <f>IFERROR(IF(OR(F1352="",INDEX(F:F,MATCH(DATE(YEAR($A1352)-1,MONTH($A1352),DAY($A1352)),$A:$A,0))=""),"",F1352/INDEX(F:F,MATCH(DATE(YEAR($A1352)-1,MONTH($A1352),DAY($A1352)),$A:$A,0))-1),"")</f>
        <v/>
      </c>
      <c r="L1352" s="19">
        <f>IFERROR(IF(OR(G1352="",INDEX(G:G,MATCH(DATE(YEAR($A1352)-1,MONTH($A1352),DAY($A1352)),$A:$A,0))=""),"",G1352/INDEX(G:G,MATCH(DATE(YEAR($A1352)-1,MONTH($A1352),DAY($A1352)),$A:$A,0))-1),"")</f>
        <v/>
      </c>
      <c r="M1352" s="19">
        <f>IF(OR(E1352="",E1351=""),"",E1352/E1351-1)</f>
        <v/>
      </c>
      <c r="N1352" s="19">
        <f>IF(OR(F1352="",F1351=""),"",F1352/F1351-1)</f>
        <v/>
      </c>
      <c r="O1352" s="19">
        <f>IF(OR(G1352="",G1351=""),"",G1352/G1351-1)</f>
        <v/>
      </c>
      <c r="P1352" s="22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IF(R1352="","",P1352/R1352)</f>
        <v/>
      </c>
      <c r="T1352" s="23">
        <f>IF(R1352="","",Q1352/R1352)</f>
        <v/>
      </c>
      <c r="U1352" s="24">
        <f>IF(SUMIFS('Daily NSE Equity Options'!$M:$M,'Daily NSE Equity Options'!$A:$A,$A1352)=0,"",SUMIFS('Daily NSE Equity Options'!$M:$M,'Daily NSE Equity Options'!$A:$A,$A1352))</f>
        <v/>
      </c>
      <c r="V1352" s="9">
        <f>IF(SUMIFS('Daily BSE Equity Options'!$M:$M,'Daily BSE Equity Options'!$A:$A,$A1352)=0,"",SUMIFS('Daily BSE Equity Options'!$M:$M,'Daily BSE Equity Options'!$A:$A,$A1352))</f>
        <v/>
      </c>
      <c r="W1352" s="9">
        <f>IF(OR(U1352="",V1352=""),"",U1352+V1352)</f>
        <v/>
      </c>
      <c r="X1352" s="25">
        <f>IF(W1352="","",U1352/W1352)</f>
        <v/>
      </c>
      <c r="Y1352" s="25">
        <f>IF(W1352="","",V1352/W1352)</f>
        <v/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19">
        <f>IF(G1353="","",E1353/G1353)</f>
        <v/>
      </c>
      <c r="I1353" s="19">
        <f>IF(G1353="","",F1353/G1353)</f>
        <v/>
      </c>
      <c r="J1353" s="26">
        <f>IFERROR(IF(OR(E1353="",INDEX(E:E,MATCH(DATE(YEAR($A1353)-1,MONTH($A1353),DAY($A1353)),$A:$A,0))=""),"",E1353/INDEX(E:E,MATCH(DATE(YEAR($A1353)-1,MONTH($A1353),DAY($A1353)),$A:$A,0))-1),"")</f>
        <v/>
      </c>
      <c r="K1353" s="19">
        <f>IFERROR(IF(OR(F1353="",INDEX(F:F,MATCH(DATE(YEAR($A1353)-1,MONTH($A1353),DAY($A1353)),$A:$A,0))=""),"",F1353/INDEX(F:F,MATCH(DATE(YEAR($A1353)-1,MONTH($A1353),DAY($A1353)),$A:$A,0))-1),"")</f>
        <v/>
      </c>
      <c r="L1353" s="19">
        <f>IFERROR(IF(OR(G1353="",INDEX(G:G,MATCH(DATE(YEAR($A1353)-1,MONTH($A1353),DAY($A1353)),$A:$A,0))=""),"",G1353/INDEX(G:G,MATCH(DATE(YEAR($A1353)-1,MONTH($A1353),DAY($A1353)),$A:$A,0))-1),"")</f>
        <v/>
      </c>
      <c r="M1353" s="19">
        <f>IF(OR(E1353="",E1352=""),"",E1353/E1352-1)</f>
        <v/>
      </c>
      <c r="N1353" s="19">
        <f>IF(OR(F1353="",F1352=""),"",F1353/F1352-1)</f>
        <v/>
      </c>
      <c r="O1353" s="19">
        <f>IF(OR(G1353="",G1352=""),"",G1353/G1352-1)</f>
        <v/>
      </c>
      <c r="P1353" s="22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IF(R1353="","",P1353/R1353)</f>
        <v/>
      </c>
      <c r="T1353" s="23">
        <f>IF(R1353="","",Q1353/R1353)</f>
        <v/>
      </c>
      <c r="U1353" s="24">
        <f>IF(SUMIFS('Daily NSE Equity Options'!$M:$M,'Daily NSE Equity Options'!$A:$A,$A1353)=0,"",SUMIFS('Daily NSE Equity Options'!$M:$M,'Daily NSE Equity Options'!$A:$A,$A1353))</f>
        <v/>
      </c>
      <c r="V1353" s="9">
        <f>IF(SUMIFS('Daily BSE Equity Options'!$M:$M,'Daily BSE Equity Options'!$A:$A,$A1353)=0,"",SUMIFS('Daily BSE Equity Options'!$M:$M,'Daily BSE Equity Options'!$A:$A,$A1353))</f>
        <v/>
      </c>
      <c r="W1353" s="9">
        <f>IF(OR(U1353="",V1353=""),"",U1353+V1353)</f>
        <v/>
      </c>
      <c r="X1353" s="25">
        <f>IF(W1353="","",U1353/W1353)</f>
        <v/>
      </c>
      <c r="Y1353" s="25">
        <f>IF(W1353="","",V1353/W1353)</f>
        <v/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19">
        <f>IF(G1354="","",E1354/G1354)</f>
        <v/>
      </c>
      <c r="I1354" s="19">
        <f>IF(G1354="","",F1354/G1354)</f>
        <v/>
      </c>
      <c r="J1354" s="26">
        <f>IFERROR(IF(OR(E1354="",INDEX(E:E,MATCH(DATE(YEAR($A1354)-1,MONTH($A1354),DAY($A1354)),$A:$A,0))=""),"",E1354/INDEX(E:E,MATCH(DATE(YEAR($A1354)-1,MONTH($A1354),DAY($A1354)),$A:$A,0))-1),"")</f>
        <v/>
      </c>
      <c r="K1354" s="19">
        <f>IFERROR(IF(OR(F1354="",INDEX(F:F,MATCH(DATE(YEAR($A1354)-1,MONTH($A1354),DAY($A1354)),$A:$A,0))=""),"",F1354/INDEX(F:F,MATCH(DATE(YEAR($A1354)-1,MONTH($A1354),DAY($A1354)),$A:$A,0))-1),"")</f>
        <v/>
      </c>
      <c r="L1354" s="19">
        <f>IFERROR(IF(OR(G1354="",INDEX(G:G,MATCH(DATE(YEAR($A1354)-1,MONTH($A1354),DAY($A1354)),$A:$A,0))=""),"",G1354/INDEX(G:G,MATCH(DATE(YEAR($A1354)-1,MONTH($A1354),DAY($A1354)),$A:$A,0))-1),"")</f>
        <v/>
      </c>
      <c r="M1354" s="19">
        <f>IF(OR(E1354="",E1353=""),"",E1354/E1353-1)</f>
        <v/>
      </c>
      <c r="N1354" s="19">
        <f>IF(OR(F1354="",F1353=""),"",F1354/F1353-1)</f>
        <v/>
      </c>
      <c r="O1354" s="19">
        <f>IF(OR(G1354="",G1353=""),"",G1354/G1353-1)</f>
        <v/>
      </c>
      <c r="P1354" s="22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IF(R1354="","",P1354/R1354)</f>
        <v/>
      </c>
      <c r="T1354" s="23">
        <f>IF(R1354="","",Q1354/R1354)</f>
        <v/>
      </c>
      <c r="U1354" s="24">
        <f>IF(SUMIFS('Daily NSE Equity Options'!$M:$M,'Daily NSE Equity Options'!$A:$A,$A1354)=0,"",SUMIFS('Daily NSE Equity Options'!$M:$M,'Daily NSE Equity Options'!$A:$A,$A1354))</f>
        <v/>
      </c>
      <c r="V1354" s="9">
        <f>IF(SUMIFS('Daily BSE Equity Options'!$M:$M,'Daily BSE Equity Options'!$A:$A,$A1354)=0,"",SUMIFS('Daily BSE Equity Options'!$M:$M,'Daily BSE Equity Options'!$A:$A,$A1354))</f>
        <v/>
      </c>
      <c r="W1354" s="9">
        <f>IF(OR(U1354="",V1354=""),"",U1354+V1354)</f>
        <v/>
      </c>
      <c r="X1354" s="25">
        <f>IF(W1354="","",U1354/W1354)</f>
        <v/>
      </c>
      <c r="Y1354" s="25">
        <f>IF(W1354="","",V1354/W1354)</f>
        <v/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19">
        <f>IF(G1355="","",E1355/G1355)</f>
        <v/>
      </c>
      <c r="I1355" s="19">
        <f>IF(G1355="","",F1355/G1355)</f>
        <v/>
      </c>
      <c r="J1355" s="26">
        <f>IFERROR(IF(OR(E1355="",INDEX(E:E,MATCH(DATE(YEAR($A1355)-1,MONTH($A1355),DAY($A1355)),$A:$A,0))=""),"",E1355/INDEX(E:E,MATCH(DATE(YEAR($A1355)-1,MONTH($A1355),DAY($A1355)),$A:$A,0))-1),"")</f>
        <v/>
      </c>
      <c r="K1355" s="19">
        <f>IFERROR(IF(OR(F1355="",INDEX(F:F,MATCH(DATE(YEAR($A1355)-1,MONTH($A1355),DAY($A1355)),$A:$A,0))=""),"",F1355/INDEX(F:F,MATCH(DATE(YEAR($A1355)-1,MONTH($A1355),DAY($A1355)),$A:$A,0))-1),"")</f>
        <v/>
      </c>
      <c r="L1355" s="19">
        <f>IFERROR(IF(OR(G1355="",INDEX(G:G,MATCH(DATE(YEAR($A1355)-1,MONTH($A1355),DAY($A1355)),$A:$A,0))=""),"",G1355/INDEX(G:G,MATCH(DATE(YEAR($A1355)-1,MONTH($A1355),DAY($A1355)),$A:$A,0))-1),"")</f>
        <v/>
      </c>
      <c r="M1355" s="19">
        <f>IF(OR(E1355="",E1354=""),"",E1355/E1354-1)</f>
        <v/>
      </c>
      <c r="N1355" s="19">
        <f>IF(OR(F1355="",F1354=""),"",F1355/F1354-1)</f>
        <v/>
      </c>
      <c r="O1355" s="19">
        <f>IF(OR(G1355="",G1354=""),"",G1355/G1354-1)</f>
        <v/>
      </c>
      <c r="P1355" s="22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IF(R1355="","",P1355/R1355)</f>
        <v/>
      </c>
      <c r="T1355" s="23">
        <f>IF(R1355="","",Q1355/R1355)</f>
        <v/>
      </c>
      <c r="U1355" s="24">
        <f>IF(SUMIFS('Daily NSE Equity Options'!$M:$M,'Daily NSE Equity Options'!$A:$A,$A1355)=0,"",SUMIFS('Daily NSE Equity Options'!$M:$M,'Daily NSE Equity Options'!$A:$A,$A1355))</f>
        <v/>
      </c>
      <c r="V1355" s="9">
        <f>IF(SUMIFS('Daily BSE Equity Options'!$M:$M,'Daily BSE Equity Options'!$A:$A,$A1355)=0,"",SUMIFS('Daily BSE Equity Options'!$M:$M,'Daily BSE Equity Options'!$A:$A,$A1355))</f>
        <v/>
      </c>
      <c r="W1355" s="9">
        <f>IF(OR(U1355="",V1355=""),"",U1355+V1355)</f>
        <v/>
      </c>
      <c r="X1355" s="25">
        <f>IF(W1355="","",U1355/W1355)</f>
        <v/>
      </c>
      <c r="Y1355" s="25">
        <f>IF(W1355="","",V1355/W1355)</f>
        <v/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19">
        <f>IF(G1356="","",E1356/G1356)</f>
        <v/>
      </c>
      <c r="I1356" s="19">
        <f>IF(G1356="","",F1356/G1356)</f>
        <v/>
      </c>
      <c r="J1356" s="26">
        <f>IFERROR(IF(OR(E1356="",INDEX(E:E,MATCH(DATE(YEAR($A1356)-1,MONTH($A1356),DAY($A1356)),$A:$A,0))=""),"",E1356/INDEX(E:E,MATCH(DATE(YEAR($A1356)-1,MONTH($A1356),DAY($A1356)),$A:$A,0))-1),"")</f>
        <v/>
      </c>
      <c r="K1356" s="19">
        <f>IFERROR(IF(OR(F1356="",INDEX(F:F,MATCH(DATE(YEAR($A1356)-1,MONTH($A1356),DAY($A1356)),$A:$A,0))=""),"",F1356/INDEX(F:F,MATCH(DATE(YEAR($A1356)-1,MONTH($A1356),DAY($A1356)),$A:$A,0))-1),"")</f>
        <v/>
      </c>
      <c r="L1356" s="19">
        <f>IFERROR(IF(OR(G1356="",INDEX(G:G,MATCH(DATE(YEAR($A1356)-1,MONTH($A1356),DAY($A1356)),$A:$A,0))=""),"",G1356/INDEX(G:G,MATCH(DATE(YEAR($A1356)-1,MONTH($A1356),DAY($A1356)),$A:$A,0))-1),"")</f>
        <v/>
      </c>
      <c r="M1356" s="19">
        <f>IF(OR(E1356="",E1355=""),"",E1356/E1355-1)</f>
        <v/>
      </c>
      <c r="N1356" s="19">
        <f>IF(OR(F1356="",F1355=""),"",F1356/F1355-1)</f>
        <v/>
      </c>
      <c r="O1356" s="19">
        <f>IF(OR(G1356="",G1355=""),"",G1356/G1355-1)</f>
        <v/>
      </c>
      <c r="P1356" s="22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IF(R1356="","",P1356/R1356)</f>
        <v/>
      </c>
      <c r="T1356" s="23">
        <f>IF(R1356="","",Q1356/R1356)</f>
        <v/>
      </c>
      <c r="U1356" s="24">
        <f>IF(SUMIFS('Daily NSE Equity Options'!$M:$M,'Daily NSE Equity Options'!$A:$A,$A1356)=0,"",SUMIFS('Daily NSE Equity Options'!$M:$M,'Daily NSE Equity Options'!$A:$A,$A1356))</f>
        <v/>
      </c>
      <c r="V1356" s="9">
        <f>IF(SUMIFS('Daily BSE Equity Options'!$M:$M,'Daily BSE Equity Options'!$A:$A,$A1356)=0,"",SUMIFS('Daily BSE Equity Options'!$M:$M,'Daily BSE Equity Options'!$A:$A,$A1356))</f>
        <v/>
      </c>
      <c r="W1356" s="9">
        <f>IF(OR(U1356="",V1356=""),"",U1356+V1356)</f>
        <v/>
      </c>
      <c r="X1356" s="25">
        <f>IF(W1356="","",U1356/W1356)</f>
        <v/>
      </c>
      <c r="Y1356" s="25">
        <f>IF(W1356="","",V1356/W1356)</f>
        <v/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19">
        <f>IF(G1357="","",E1357/G1357)</f>
        <v/>
      </c>
      <c r="I1357" s="19">
        <f>IF(G1357="","",F1357/G1357)</f>
        <v/>
      </c>
      <c r="J1357" s="26">
        <f>IFERROR(IF(OR(E1357="",INDEX(E:E,MATCH(DATE(YEAR($A1357)-1,MONTH($A1357),DAY($A1357)),$A:$A,0))=""),"",E1357/INDEX(E:E,MATCH(DATE(YEAR($A1357)-1,MONTH($A1357),DAY($A1357)),$A:$A,0))-1),"")</f>
        <v/>
      </c>
      <c r="K1357" s="19">
        <f>IFERROR(IF(OR(F1357="",INDEX(F:F,MATCH(DATE(YEAR($A1357)-1,MONTH($A1357),DAY($A1357)),$A:$A,0))=""),"",F1357/INDEX(F:F,MATCH(DATE(YEAR($A1357)-1,MONTH($A1357),DAY($A1357)),$A:$A,0))-1),"")</f>
        <v/>
      </c>
      <c r="L1357" s="19">
        <f>IFERROR(IF(OR(G1357="",INDEX(G:G,MATCH(DATE(YEAR($A1357)-1,MONTH($A1357),DAY($A1357)),$A:$A,0))=""),"",G1357/INDEX(G:G,MATCH(DATE(YEAR($A1357)-1,MONTH($A1357),DAY($A1357)),$A:$A,0))-1),"")</f>
        <v/>
      </c>
      <c r="M1357" s="19">
        <f>IF(OR(E1357="",E1356=""),"",E1357/E1356-1)</f>
        <v/>
      </c>
      <c r="N1357" s="19">
        <f>IF(OR(F1357="",F1356=""),"",F1357/F1356-1)</f>
        <v/>
      </c>
      <c r="O1357" s="19">
        <f>IF(OR(G1357="",G1356=""),"",G1357/G1356-1)</f>
        <v/>
      </c>
      <c r="P1357" s="22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IF(R1357="","",P1357/R1357)</f>
        <v/>
      </c>
      <c r="T1357" s="23">
        <f>IF(R1357="","",Q1357/R1357)</f>
        <v/>
      </c>
      <c r="U1357" s="24">
        <f>IF(SUMIFS('Daily NSE Equity Options'!$M:$M,'Daily NSE Equity Options'!$A:$A,$A1357)=0,"",SUMIFS('Daily NSE Equity Options'!$M:$M,'Daily NSE Equity Options'!$A:$A,$A1357))</f>
        <v/>
      </c>
      <c r="V1357" s="9">
        <f>IF(SUMIFS('Daily BSE Equity Options'!$M:$M,'Daily BSE Equity Options'!$A:$A,$A1357)=0,"",SUMIFS('Daily BSE Equity Options'!$M:$M,'Daily BSE Equity Options'!$A:$A,$A1357))</f>
        <v/>
      </c>
      <c r="W1357" s="9">
        <f>IF(OR(U1357="",V1357=""),"",U1357+V1357)</f>
        <v/>
      </c>
      <c r="X1357" s="25">
        <f>IF(W1357="","",U1357/W1357)</f>
        <v/>
      </c>
      <c r="Y1357" s="25">
        <f>IF(W1357="","",V1357/W1357)</f>
        <v/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19">
        <f>IF(G1358="","",E1358/G1358)</f>
        <v/>
      </c>
      <c r="I1358" s="19">
        <f>IF(G1358="","",F1358/G1358)</f>
        <v/>
      </c>
      <c r="J1358" s="26">
        <f>IFERROR(IF(OR(E1358="",INDEX(E:E,MATCH(DATE(YEAR($A1358)-1,MONTH($A1358),DAY($A1358)),$A:$A,0))=""),"",E1358/INDEX(E:E,MATCH(DATE(YEAR($A1358)-1,MONTH($A1358),DAY($A1358)),$A:$A,0))-1),"")</f>
        <v/>
      </c>
      <c r="K1358" s="19">
        <f>IFERROR(IF(OR(F1358="",INDEX(F:F,MATCH(DATE(YEAR($A1358)-1,MONTH($A1358),DAY($A1358)),$A:$A,0))=""),"",F1358/INDEX(F:F,MATCH(DATE(YEAR($A1358)-1,MONTH($A1358),DAY($A1358)),$A:$A,0))-1),"")</f>
        <v/>
      </c>
      <c r="L1358" s="19">
        <f>IFERROR(IF(OR(G1358="",INDEX(G:G,MATCH(DATE(YEAR($A1358)-1,MONTH($A1358),DAY($A1358)),$A:$A,0))=""),"",G1358/INDEX(G:G,MATCH(DATE(YEAR($A1358)-1,MONTH($A1358),DAY($A1358)),$A:$A,0))-1),"")</f>
        <v/>
      </c>
      <c r="M1358" s="19">
        <f>IF(OR(E1358="",E1357=""),"",E1358/E1357-1)</f>
        <v/>
      </c>
      <c r="N1358" s="19">
        <f>IF(OR(F1358="",F1357=""),"",F1358/F1357-1)</f>
        <v/>
      </c>
      <c r="O1358" s="19">
        <f>IF(OR(G1358="",G1357=""),"",G1358/G1357-1)</f>
        <v/>
      </c>
      <c r="P1358" s="22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IF(R1358="","",P1358/R1358)</f>
        <v/>
      </c>
      <c r="T1358" s="23">
        <f>IF(R1358="","",Q1358/R1358)</f>
        <v/>
      </c>
      <c r="U1358" s="24">
        <f>IF(SUMIFS('Daily NSE Equity Options'!$M:$M,'Daily NSE Equity Options'!$A:$A,$A1358)=0,"",SUMIFS('Daily NSE Equity Options'!$M:$M,'Daily NSE Equity Options'!$A:$A,$A1358))</f>
        <v/>
      </c>
      <c r="V1358" s="9">
        <f>IF(SUMIFS('Daily BSE Equity Options'!$M:$M,'Daily BSE Equity Options'!$A:$A,$A1358)=0,"",SUMIFS('Daily BSE Equity Options'!$M:$M,'Daily BSE Equity Options'!$A:$A,$A1358))</f>
        <v/>
      </c>
      <c r="W1358" s="9">
        <f>IF(OR(U1358="",V1358=""),"",U1358+V1358)</f>
        <v/>
      </c>
      <c r="X1358" s="25">
        <f>IF(W1358="","",U1358/W1358)</f>
        <v/>
      </c>
      <c r="Y1358" s="25">
        <f>IF(W1358="","",V1358/W1358)</f>
        <v/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19">
        <f>IF(G1359="","",E1359/G1359)</f>
        <v/>
      </c>
      <c r="I1359" s="19">
        <f>IF(G1359="","",F1359/G1359)</f>
        <v/>
      </c>
      <c r="J1359" s="26">
        <f>IFERROR(IF(OR(E1359="",INDEX(E:E,MATCH(DATE(YEAR($A1359)-1,MONTH($A1359),DAY($A1359)),$A:$A,0))=""),"",E1359/INDEX(E:E,MATCH(DATE(YEAR($A1359)-1,MONTH($A1359),DAY($A1359)),$A:$A,0))-1),"")</f>
        <v/>
      </c>
      <c r="K1359" s="19">
        <f>IFERROR(IF(OR(F1359="",INDEX(F:F,MATCH(DATE(YEAR($A1359)-1,MONTH($A1359),DAY($A1359)),$A:$A,0))=""),"",F1359/INDEX(F:F,MATCH(DATE(YEAR($A1359)-1,MONTH($A1359),DAY($A1359)),$A:$A,0))-1),"")</f>
        <v/>
      </c>
      <c r="L1359" s="19">
        <f>IFERROR(IF(OR(G1359="",INDEX(G:G,MATCH(DATE(YEAR($A1359)-1,MONTH($A1359),DAY($A1359)),$A:$A,0))=""),"",G1359/INDEX(G:G,MATCH(DATE(YEAR($A1359)-1,MONTH($A1359),DAY($A1359)),$A:$A,0))-1),"")</f>
        <v/>
      </c>
      <c r="M1359" s="19">
        <f>IF(OR(E1359="",E1358=""),"",E1359/E1358-1)</f>
        <v/>
      </c>
      <c r="N1359" s="19">
        <f>IF(OR(F1359="",F1358=""),"",F1359/F1358-1)</f>
        <v/>
      </c>
      <c r="O1359" s="19">
        <f>IF(OR(G1359="",G1358=""),"",G1359/G1358-1)</f>
        <v/>
      </c>
      <c r="P1359" s="22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IF(R1359="","",P1359/R1359)</f>
        <v/>
      </c>
      <c r="T1359" s="23">
        <f>IF(R1359="","",Q1359/R1359)</f>
        <v/>
      </c>
      <c r="U1359" s="24">
        <f>IF(SUMIFS('Daily NSE Equity Options'!$M:$M,'Daily NSE Equity Options'!$A:$A,$A1359)=0,"",SUMIFS('Daily NSE Equity Options'!$M:$M,'Daily NSE Equity Options'!$A:$A,$A1359))</f>
        <v/>
      </c>
      <c r="V1359" s="9">
        <f>IF(SUMIFS('Daily BSE Equity Options'!$M:$M,'Daily BSE Equity Options'!$A:$A,$A1359)=0,"",SUMIFS('Daily BSE Equity Options'!$M:$M,'Daily BSE Equity Options'!$A:$A,$A1359))</f>
        <v/>
      </c>
      <c r="W1359" s="9">
        <f>IF(OR(U1359="",V1359=""),"",U1359+V1359)</f>
        <v/>
      </c>
      <c r="X1359" s="25">
        <f>IF(W1359="","",U1359/W1359)</f>
        <v/>
      </c>
      <c r="Y1359" s="25">
        <f>IF(W1359="","",V1359/W1359)</f>
        <v/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19">
        <f>IF(G1360="","",E1360/G1360)</f>
        <v/>
      </c>
      <c r="I1360" s="19">
        <f>IF(G1360="","",F1360/G1360)</f>
        <v/>
      </c>
      <c r="J1360" s="26">
        <f>IFERROR(IF(OR(E1360="",INDEX(E:E,MATCH(DATE(YEAR($A1360)-1,MONTH($A1360),DAY($A1360)),$A:$A,0))=""),"",E1360/INDEX(E:E,MATCH(DATE(YEAR($A1360)-1,MONTH($A1360),DAY($A1360)),$A:$A,0))-1),"")</f>
        <v/>
      </c>
      <c r="K1360" s="19">
        <f>IFERROR(IF(OR(F1360="",INDEX(F:F,MATCH(DATE(YEAR($A1360)-1,MONTH($A1360),DAY($A1360)),$A:$A,0))=""),"",F1360/INDEX(F:F,MATCH(DATE(YEAR($A1360)-1,MONTH($A1360),DAY($A1360)),$A:$A,0))-1),"")</f>
        <v/>
      </c>
      <c r="L1360" s="19">
        <f>IFERROR(IF(OR(G1360="",INDEX(G:G,MATCH(DATE(YEAR($A1360)-1,MONTH($A1360),DAY($A1360)),$A:$A,0))=""),"",G1360/INDEX(G:G,MATCH(DATE(YEAR($A1360)-1,MONTH($A1360),DAY($A1360)),$A:$A,0))-1),"")</f>
        <v/>
      </c>
      <c r="M1360" s="19">
        <f>IF(OR(E1360="",E1359=""),"",E1360/E1359-1)</f>
        <v/>
      </c>
      <c r="N1360" s="19">
        <f>IF(OR(F1360="",F1359=""),"",F1360/F1359-1)</f>
        <v/>
      </c>
      <c r="O1360" s="19">
        <f>IF(OR(G1360="",G1359=""),"",G1360/G1359-1)</f>
        <v/>
      </c>
      <c r="P1360" s="22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IF(R1360="","",P1360/R1360)</f>
        <v/>
      </c>
      <c r="T1360" s="23">
        <f>IF(R1360="","",Q1360/R1360)</f>
        <v/>
      </c>
      <c r="U1360" s="24">
        <f>IF(SUMIFS('Daily NSE Equity Options'!$M:$M,'Daily NSE Equity Options'!$A:$A,$A1360)=0,"",SUMIFS('Daily NSE Equity Options'!$M:$M,'Daily NSE Equity Options'!$A:$A,$A1360))</f>
        <v/>
      </c>
      <c r="V1360" s="9">
        <f>IF(SUMIFS('Daily BSE Equity Options'!$M:$M,'Daily BSE Equity Options'!$A:$A,$A1360)=0,"",SUMIFS('Daily BSE Equity Options'!$M:$M,'Daily BSE Equity Options'!$A:$A,$A1360))</f>
        <v/>
      </c>
      <c r="W1360" s="9">
        <f>IF(OR(U1360="",V1360=""),"",U1360+V1360)</f>
        <v/>
      </c>
      <c r="X1360" s="25">
        <f>IF(W1360="","",U1360/W1360)</f>
        <v/>
      </c>
      <c r="Y1360" s="25">
        <f>IF(W1360="","",V1360/W1360)</f>
        <v/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19">
        <f>IF(G1361="","",E1361/G1361)</f>
        <v/>
      </c>
      <c r="I1361" s="19">
        <f>IF(G1361="","",F1361/G1361)</f>
        <v/>
      </c>
      <c r="J1361" s="26">
        <f>IFERROR(IF(OR(E1361="",INDEX(E:E,MATCH(DATE(YEAR($A1361)-1,MONTH($A1361),DAY($A1361)),$A:$A,0))=""),"",E1361/INDEX(E:E,MATCH(DATE(YEAR($A1361)-1,MONTH($A1361),DAY($A1361)),$A:$A,0))-1),"")</f>
        <v/>
      </c>
      <c r="K1361" s="19">
        <f>IFERROR(IF(OR(F1361="",INDEX(F:F,MATCH(DATE(YEAR($A1361)-1,MONTH($A1361),DAY($A1361)),$A:$A,0))=""),"",F1361/INDEX(F:F,MATCH(DATE(YEAR($A1361)-1,MONTH($A1361),DAY($A1361)),$A:$A,0))-1),"")</f>
        <v/>
      </c>
      <c r="L1361" s="19">
        <f>IFERROR(IF(OR(G1361="",INDEX(G:G,MATCH(DATE(YEAR($A1361)-1,MONTH($A1361),DAY($A1361)),$A:$A,0))=""),"",G1361/INDEX(G:G,MATCH(DATE(YEAR($A1361)-1,MONTH($A1361),DAY($A1361)),$A:$A,0))-1),"")</f>
        <v/>
      </c>
      <c r="M1361" s="19">
        <f>IF(OR(E1361="",E1360=""),"",E1361/E1360-1)</f>
        <v/>
      </c>
      <c r="N1361" s="19">
        <f>IF(OR(F1361="",F1360=""),"",F1361/F1360-1)</f>
        <v/>
      </c>
      <c r="O1361" s="19">
        <f>IF(OR(G1361="",G1360=""),"",G1361/G1360-1)</f>
        <v/>
      </c>
      <c r="P1361" s="22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IF(R1361="","",P1361/R1361)</f>
        <v/>
      </c>
      <c r="T1361" s="23">
        <f>IF(R1361="","",Q1361/R1361)</f>
        <v/>
      </c>
      <c r="U1361" s="24">
        <f>IF(SUMIFS('Daily NSE Equity Options'!$M:$M,'Daily NSE Equity Options'!$A:$A,$A1361)=0,"",SUMIFS('Daily NSE Equity Options'!$M:$M,'Daily NSE Equity Options'!$A:$A,$A1361))</f>
        <v/>
      </c>
      <c r="V1361" s="9">
        <f>IF(SUMIFS('Daily BSE Equity Options'!$M:$M,'Daily BSE Equity Options'!$A:$A,$A1361)=0,"",SUMIFS('Daily BSE Equity Options'!$M:$M,'Daily BSE Equity Options'!$A:$A,$A1361))</f>
        <v/>
      </c>
      <c r="W1361" s="9">
        <f>IF(OR(U1361="",V1361=""),"",U1361+V1361)</f>
        <v/>
      </c>
      <c r="X1361" s="25">
        <f>IF(W1361="","",U1361/W1361)</f>
        <v/>
      </c>
      <c r="Y1361" s="25">
        <f>IF(W1361="","",V1361/W1361)</f>
        <v/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19">
        <f>IF(G1362="","",E1362/G1362)</f>
        <v/>
      </c>
      <c r="I1362" s="19">
        <f>IF(G1362="","",F1362/G1362)</f>
        <v/>
      </c>
      <c r="J1362" s="26">
        <f>IFERROR(IF(OR(E1362="",INDEX(E:E,MATCH(DATE(YEAR($A1362)-1,MONTH($A1362),DAY($A1362)),$A:$A,0))=""),"",E1362/INDEX(E:E,MATCH(DATE(YEAR($A1362)-1,MONTH($A1362),DAY($A1362)),$A:$A,0))-1),"")</f>
        <v/>
      </c>
      <c r="K1362" s="19">
        <f>IFERROR(IF(OR(F1362="",INDEX(F:F,MATCH(DATE(YEAR($A1362)-1,MONTH($A1362),DAY($A1362)),$A:$A,0))=""),"",F1362/INDEX(F:F,MATCH(DATE(YEAR($A1362)-1,MONTH($A1362),DAY($A1362)),$A:$A,0))-1),"")</f>
        <v/>
      </c>
      <c r="L1362" s="19">
        <f>IFERROR(IF(OR(G1362="",INDEX(G:G,MATCH(DATE(YEAR($A1362)-1,MONTH($A1362),DAY($A1362)),$A:$A,0))=""),"",G1362/INDEX(G:G,MATCH(DATE(YEAR($A1362)-1,MONTH($A1362),DAY($A1362)),$A:$A,0))-1),"")</f>
        <v/>
      </c>
      <c r="M1362" s="19">
        <f>IF(OR(E1362="",E1361=""),"",E1362/E1361-1)</f>
        <v/>
      </c>
      <c r="N1362" s="19">
        <f>IF(OR(F1362="",F1361=""),"",F1362/F1361-1)</f>
        <v/>
      </c>
      <c r="O1362" s="19">
        <f>IF(OR(G1362="",G1361=""),"",G1362/G1361-1)</f>
        <v/>
      </c>
      <c r="P1362" s="22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IF(R1362="","",P1362/R1362)</f>
        <v/>
      </c>
      <c r="T1362" s="23">
        <f>IF(R1362="","",Q1362/R1362)</f>
        <v/>
      </c>
      <c r="U1362" s="24">
        <f>IF(SUMIFS('Daily NSE Equity Options'!$M:$M,'Daily NSE Equity Options'!$A:$A,$A1362)=0,"",SUMIFS('Daily NSE Equity Options'!$M:$M,'Daily NSE Equity Options'!$A:$A,$A1362))</f>
        <v/>
      </c>
      <c r="V1362" s="9">
        <f>IF(SUMIFS('Daily BSE Equity Options'!$M:$M,'Daily BSE Equity Options'!$A:$A,$A1362)=0,"",SUMIFS('Daily BSE Equity Options'!$M:$M,'Daily BSE Equity Options'!$A:$A,$A1362))</f>
        <v/>
      </c>
      <c r="W1362" s="9">
        <f>IF(OR(U1362="",V1362=""),"",U1362+V1362)</f>
        <v/>
      </c>
      <c r="X1362" s="25">
        <f>IF(W1362="","",U1362/W1362)</f>
        <v/>
      </c>
      <c r="Y1362" s="25">
        <f>IF(W1362="","",V1362/W1362)</f>
        <v/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19">
        <f>IF(G1363="","",E1363/G1363)</f>
        <v/>
      </c>
      <c r="I1363" s="19">
        <f>IF(G1363="","",F1363/G1363)</f>
        <v/>
      </c>
      <c r="J1363" s="26">
        <f>IFERROR(IF(OR(E1363="",INDEX(E:E,MATCH(DATE(YEAR($A1363)-1,MONTH($A1363),DAY($A1363)),$A:$A,0))=""),"",E1363/INDEX(E:E,MATCH(DATE(YEAR($A1363)-1,MONTH($A1363),DAY($A1363)),$A:$A,0))-1),"")</f>
        <v/>
      </c>
      <c r="K1363" s="19">
        <f>IFERROR(IF(OR(F1363="",INDEX(F:F,MATCH(DATE(YEAR($A1363)-1,MONTH($A1363),DAY($A1363)),$A:$A,0))=""),"",F1363/INDEX(F:F,MATCH(DATE(YEAR($A1363)-1,MONTH($A1363),DAY($A1363)),$A:$A,0))-1),"")</f>
        <v/>
      </c>
      <c r="L1363" s="19">
        <f>IFERROR(IF(OR(G1363="",INDEX(G:G,MATCH(DATE(YEAR($A1363)-1,MONTH($A1363),DAY($A1363)),$A:$A,0))=""),"",G1363/INDEX(G:G,MATCH(DATE(YEAR($A1363)-1,MONTH($A1363),DAY($A1363)),$A:$A,0))-1),"")</f>
        <v/>
      </c>
      <c r="M1363" s="19">
        <f>IF(OR(E1363="",E1362=""),"",E1363/E1362-1)</f>
        <v/>
      </c>
      <c r="N1363" s="19">
        <f>IF(OR(F1363="",F1362=""),"",F1363/F1362-1)</f>
        <v/>
      </c>
      <c r="O1363" s="19">
        <f>IF(OR(G1363="",G1362=""),"",G1363/G1362-1)</f>
        <v/>
      </c>
      <c r="P1363" s="22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IF(R1363="","",P1363/R1363)</f>
        <v/>
      </c>
      <c r="T1363" s="23">
        <f>IF(R1363="","",Q1363/R1363)</f>
        <v/>
      </c>
      <c r="U1363" s="24">
        <f>IF(SUMIFS('Daily NSE Equity Options'!$M:$M,'Daily NSE Equity Options'!$A:$A,$A1363)=0,"",SUMIFS('Daily NSE Equity Options'!$M:$M,'Daily NSE Equity Options'!$A:$A,$A1363))</f>
        <v/>
      </c>
      <c r="V1363" s="9">
        <f>IF(SUMIFS('Daily BSE Equity Options'!$M:$M,'Daily BSE Equity Options'!$A:$A,$A1363)=0,"",SUMIFS('Daily BSE Equity Options'!$M:$M,'Daily BSE Equity Options'!$A:$A,$A1363))</f>
        <v/>
      </c>
      <c r="W1363" s="9">
        <f>IF(OR(U1363="",V1363=""),"",U1363+V1363)</f>
        <v/>
      </c>
      <c r="X1363" s="25">
        <f>IF(W1363="","",U1363/W1363)</f>
        <v/>
      </c>
      <c r="Y1363" s="25">
        <f>IF(W1363="","",V1363/W1363)</f>
        <v/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19">
        <f>IF(G1364="","",E1364/G1364)</f>
        <v/>
      </c>
      <c r="I1364" s="19">
        <f>IF(G1364="","",F1364/G1364)</f>
        <v/>
      </c>
      <c r="J1364" s="26">
        <f>IFERROR(IF(OR(E1364="",INDEX(E:E,MATCH(DATE(YEAR($A1364)-1,MONTH($A1364),DAY($A1364)),$A:$A,0))=""),"",E1364/INDEX(E:E,MATCH(DATE(YEAR($A1364)-1,MONTH($A1364),DAY($A1364)),$A:$A,0))-1),"")</f>
        <v/>
      </c>
      <c r="K1364" s="19">
        <f>IFERROR(IF(OR(F1364="",INDEX(F:F,MATCH(DATE(YEAR($A1364)-1,MONTH($A1364),DAY($A1364)),$A:$A,0))=""),"",F1364/INDEX(F:F,MATCH(DATE(YEAR($A1364)-1,MONTH($A1364),DAY($A1364)),$A:$A,0))-1),"")</f>
        <v/>
      </c>
      <c r="L1364" s="19">
        <f>IFERROR(IF(OR(G1364="",INDEX(G:G,MATCH(DATE(YEAR($A1364)-1,MONTH($A1364),DAY($A1364)),$A:$A,0))=""),"",G1364/INDEX(G:G,MATCH(DATE(YEAR($A1364)-1,MONTH($A1364),DAY($A1364)),$A:$A,0))-1),"")</f>
        <v/>
      </c>
      <c r="M1364" s="19">
        <f>IF(OR(E1364="",E1363=""),"",E1364/E1363-1)</f>
        <v/>
      </c>
      <c r="N1364" s="19">
        <f>IF(OR(F1364="",F1363=""),"",F1364/F1363-1)</f>
        <v/>
      </c>
      <c r="O1364" s="19">
        <f>IF(OR(G1364="",G1363=""),"",G1364/G1363-1)</f>
        <v/>
      </c>
      <c r="P1364" s="22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IF(R1364="","",P1364/R1364)</f>
        <v/>
      </c>
      <c r="T1364" s="23">
        <f>IF(R1364="","",Q1364/R1364)</f>
        <v/>
      </c>
      <c r="U1364" s="24">
        <f>IF(SUMIFS('Daily NSE Equity Options'!$M:$M,'Daily NSE Equity Options'!$A:$A,$A1364)=0,"",SUMIFS('Daily NSE Equity Options'!$M:$M,'Daily NSE Equity Options'!$A:$A,$A1364))</f>
        <v/>
      </c>
      <c r="V1364" s="9">
        <f>IF(SUMIFS('Daily BSE Equity Options'!$M:$M,'Daily BSE Equity Options'!$A:$A,$A1364)=0,"",SUMIFS('Daily BSE Equity Options'!$M:$M,'Daily BSE Equity Options'!$A:$A,$A1364))</f>
        <v/>
      </c>
      <c r="W1364" s="9">
        <f>IF(OR(U1364="",V1364=""),"",U1364+V1364)</f>
        <v/>
      </c>
      <c r="X1364" s="25">
        <f>IF(W1364="","",U1364/W1364)</f>
        <v/>
      </c>
      <c r="Y1364" s="25">
        <f>IF(W1364="","",V1364/W1364)</f>
        <v/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19">
        <f>IF(G1365="","",E1365/G1365)</f>
        <v/>
      </c>
      <c r="I1365" s="19">
        <f>IF(G1365="","",F1365/G1365)</f>
        <v/>
      </c>
      <c r="J1365" s="26">
        <f>IFERROR(IF(OR(E1365="",INDEX(E:E,MATCH(DATE(YEAR($A1365)-1,MONTH($A1365),DAY($A1365)),$A:$A,0))=""),"",E1365/INDEX(E:E,MATCH(DATE(YEAR($A1365)-1,MONTH($A1365),DAY($A1365)),$A:$A,0))-1),"")</f>
        <v/>
      </c>
      <c r="K1365" s="19">
        <f>IFERROR(IF(OR(F1365="",INDEX(F:F,MATCH(DATE(YEAR($A1365)-1,MONTH($A1365),DAY($A1365)),$A:$A,0))=""),"",F1365/INDEX(F:F,MATCH(DATE(YEAR($A1365)-1,MONTH($A1365),DAY($A1365)),$A:$A,0))-1),"")</f>
        <v/>
      </c>
      <c r="L1365" s="19">
        <f>IFERROR(IF(OR(G1365="",INDEX(G:G,MATCH(DATE(YEAR($A1365)-1,MONTH($A1365),DAY($A1365)),$A:$A,0))=""),"",G1365/INDEX(G:G,MATCH(DATE(YEAR($A1365)-1,MONTH($A1365),DAY($A1365)),$A:$A,0))-1),"")</f>
        <v/>
      </c>
      <c r="M1365" s="19">
        <f>IF(OR(E1365="",E1364=""),"",E1365/E1364-1)</f>
        <v/>
      </c>
      <c r="N1365" s="19">
        <f>IF(OR(F1365="",F1364=""),"",F1365/F1364-1)</f>
        <v/>
      </c>
      <c r="O1365" s="19">
        <f>IF(OR(G1365="",G1364=""),"",G1365/G1364-1)</f>
        <v/>
      </c>
      <c r="P1365" s="22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IF(R1365="","",P1365/R1365)</f>
        <v/>
      </c>
      <c r="T1365" s="23">
        <f>IF(R1365="","",Q1365/R1365)</f>
        <v/>
      </c>
      <c r="U1365" s="24">
        <f>IF(SUMIFS('Daily NSE Equity Options'!$M:$M,'Daily NSE Equity Options'!$A:$A,$A1365)=0,"",SUMIFS('Daily NSE Equity Options'!$M:$M,'Daily NSE Equity Options'!$A:$A,$A1365))</f>
        <v/>
      </c>
      <c r="V1365" s="9">
        <f>IF(SUMIFS('Daily BSE Equity Options'!$M:$M,'Daily BSE Equity Options'!$A:$A,$A1365)=0,"",SUMIFS('Daily BSE Equity Options'!$M:$M,'Daily BSE Equity Options'!$A:$A,$A1365))</f>
        <v/>
      </c>
      <c r="W1365" s="9">
        <f>IF(OR(U1365="",V1365=""),"",U1365+V1365)</f>
        <v/>
      </c>
      <c r="X1365" s="25">
        <f>IF(W1365="","",U1365/W1365)</f>
        <v/>
      </c>
      <c r="Y1365" s="25">
        <f>IF(W1365="","",V1365/W1365)</f>
        <v/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19">
        <f>IF(G1366="","",E1366/G1366)</f>
        <v/>
      </c>
      <c r="I1366" s="19">
        <f>IF(G1366="","",F1366/G1366)</f>
        <v/>
      </c>
      <c r="J1366" s="26">
        <f>IFERROR(IF(OR(E1366="",INDEX(E:E,MATCH(DATE(YEAR($A1366)-1,MONTH($A1366),DAY($A1366)),$A:$A,0))=""),"",E1366/INDEX(E:E,MATCH(DATE(YEAR($A1366)-1,MONTH($A1366),DAY($A1366)),$A:$A,0))-1),"")</f>
        <v/>
      </c>
      <c r="K1366" s="19">
        <f>IFERROR(IF(OR(F1366="",INDEX(F:F,MATCH(DATE(YEAR($A1366)-1,MONTH($A1366),DAY($A1366)),$A:$A,0))=""),"",F1366/INDEX(F:F,MATCH(DATE(YEAR($A1366)-1,MONTH($A1366),DAY($A1366)),$A:$A,0))-1),"")</f>
        <v/>
      </c>
      <c r="L1366" s="19">
        <f>IFERROR(IF(OR(G1366="",INDEX(G:G,MATCH(DATE(YEAR($A1366)-1,MONTH($A1366),DAY($A1366)),$A:$A,0))=""),"",G1366/INDEX(G:G,MATCH(DATE(YEAR($A1366)-1,MONTH($A1366),DAY($A1366)),$A:$A,0))-1),"")</f>
        <v/>
      </c>
      <c r="M1366" s="19">
        <f>IF(OR(E1366="",E1365=""),"",E1366/E1365-1)</f>
        <v/>
      </c>
      <c r="N1366" s="19">
        <f>IF(OR(F1366="",F1365=""),"",F1366/F1365-1)</f>
        <v/>
      </c>
      <c r="O1366" s="19">
        <f>IF(OR(G1366="",G1365=""),"",G1366/G1365-1)</f>
        <v/>
      </c>
      <c r="P1366" s="22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IF(R1366="","",P1366/R1366)</f>
        <v/>
      </c>
      <c r="T1366" s="23">
        <f>IF(R1366="","",Q1366/R1366)</f>
        <v/>
      </c>
      <c r="U1366" s="24">
        <f>IF(SUMIFS('Daily NSE Equity Options'!$M:$M,'Daily NSE Equity Options'!$A:$A,$A1366)=0,"",SUMIFS('Daily NSE Equity Options'!$M:$M,'Daily NSE Equity Options'!$A:$A,$A1366))</f>
        <v/>
      </c>
      <c r="V1366" s="9">
        <f>IF(SUMIFS('Daily BSE Equity Options'!$M:$M,'Daily BSE Equity Options'!$A:$A,$A1366)=0,"",SUMIFS('Daily BSE Equity Options'!$M:$M,'Daily BSE Equity Options'!$A:$A,$A1366))</f>
        <v/>
      </c>
      <c r="W1366" s="9">
        <f>IF(OR(U1366="",V1366=""),"",U1366+V1366)</f>
        <v/>
      </c>
      <c r="X1366" s="25">
        <f>IF(W1366="","",U1366/W1366)</f>
        <v/>
      </c>
      <c r="Y1366" s="25">
        <f>IF(W1366="","",V1366/W1366)</f>
        <v/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19">
        <f>IF(G1367="","",E1367/G1367)</f>
        <v/>
      </c>
      <c r="I1367" s="19">
        <f>IF(G1367="","",F1367/G1367)</f>
        <v/>
      </c>
      <c r="J1367" s="26">
        <f>IFERROR(IF(OR(E1367="",INDEX(E:E,MATCH(DATE(YEAR($A1367)-1,MONTH($A1367),DAY($A1367)),$A:$A,0))=""),"",E1367/INDEX(E:E,MATCH(DATE(YEAR($A1367)-1,MONTH($A1367),DAY($A1367)),$A:$A,0))-1),"")</f>
        <v/>
      </c>
      <c r="K1367" s="19">
        <f>IFERROR(IF(OR(F1367="",INDEX(F:F,MATCH(DATE(YEAR($A1367)-1,MONTH($A1367),DAY($A1367)),$A:$A,0))=""),"",F1367/INDEX(F:F,MATCH(DATE(YEAR($A1367)-1,MONTH($A1367),DAY($A1367)),$A:$A,0))-1),"")</f>
        <v/>
      </c>
      <c r="L1367" s="19">
        <f>IFERROR(IF(OR(G1367="",INDEX(G:G,MATCH(DATE(YEAR($A1367)-1,MONTH($A1367),DAY($A1367)),$A:$A,0))=""),"",G1367/INDEX(G:G,MATCH(DATE(YEAR($A1367)-1,MONTH($A1367),DAY($A1367)),$A:$A,0))-1),"")</f>
        <v/>
      </c>
      <c r="M1367" s="19">
        <f>IF(OR(E1367="",E1366=""),"",E1367/E1366-1)</f>
        <v/>
      </c>
      <c r="N1367" s="19">
        <f>IF(OR(F1367="",F1366=""),"",F1367/F1366-1)</f>
        <v/>
      </c>
      <c r="O1367" s="19">
        <f>IF(OR(G1367="",G1366=""),"",G1367/G1366-1)</f>
        <v/>
      </c>
      <c r="P1367" s="22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IF(R1367="","",P1367/R1367)</f>
        <v/>
      </c>
      <c r="T1367" s="23">
        <f>IF(R1367="","",Q1367/R1367)</f>
        <v/>
      </c>
      <c r="U1367" s="24">
        <f>IF(SUMIFS('Daily NSE Equity Options'!$M:$M,'Daily NSE Equity Options'!$A:$A,$A1367)=0,"",SUMIFS('Daily NSE Equity Options'!$M:$M,'Daily NSE Equity Options'!$A:$A,$A1367))</f>
        <v/>
      </c>
      <c r="V1367" s="9">
        <f>IF(SUMIFS('Daily BSE Equity Options'!$M:$M,'Daily BSE Equity Options'!$A:$A,$A1367)=0,"",SUMIFS('Daily BSE Equity Options'!$M:$M,'Daily BSE Equity Options'!$A:$A,$A1367))</f>
        <v/>
      </c>
      <c r="W1367" s="9">
        <f>IF(OR(U1367="",V1367=""),"",U1367+V1367)</f>
        <v/>
      </c>
      <c r="X1367" s="25">
        <f>IF(W1367="","",U1367/W1367)</f>
        <v/>
      </c>
      <c r="Y1367" s="25">
        <f>IF(W1367="","",V1367/W1367)</f>
        <v/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19">
        <f>IF(G1368="","",E1368/G1368)</f>
        <v/>
      </c>
      <c r="I1368" s="19">
        <f>IF(G1368="","",F1368/G1368)</f>
        <v/>
      </c>
      <c r="J1368" s="26">
        <f>IFERROR(IF(OR(E1368="",INDEX(E:E,MATCH(DATE(YEAR($A1368)-1,MONTH($A1368),DAY($A1368)),$A:$A,0))=""),"",E1368/INDEX(E:E,MATCH(DATE(YEAR($A1368)-1,MONTH($A1368),DAY($A1368)),$A:$A,0))-1),"")</f>
        <v/>
      </c>
      <c r="K1368" s="19">
        <f>IFERROR(IF(OR(F1368="",INDEX(F:F,MATCH(DATE(YEAR($A1368)-1,MONTH($A1368),DAY($A1368)),$A:$A,0))=""),"",F1368/INDEX(F:F,MATCH(DATE(YEAR($A1368)-1,MONTH($A1368),DAY($A1368)),$A:$A,0))-1),"")</f>
        <v/>
      </c>
      <c r="L1368" s="19">
        <f>IFERROR(IF(OR(G1368="",INDEX(G:G,MATCH(DATE(YEAR($A1368)-1,MONTH($A1368),DAY($A1368)),$A:$A,0))=""),"",G1368/INDEX(G:G,MATCH(DATE(YEAR($A1368)-1,MONTH($A1368),DAY($A1368)),$A:$A,0))-1),"")</f>
        <v/>
      </c>
      <c r="M1368" s="19">
        <f>IF(OR(E1368="",E1367=""),"",E1368/E1367-1)</f>
        <v/>
      </c>
      <c r="N1368" s="19">
        <f>IF(OR(F1368="",F1367=""),"",F1368/F1367-1)</f>
        <v/>
      </c>
      <c r="O1368" s="19">
        <f>IF(OR(G1368="",G1367=""),"",G1368/G1367-1)</f>
        <v/>
      </c>
      <c r="P1368" s="22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IF(R1368="","",P1368/R1368)</f>
        <v/>
      </c>
      <c r="T1368" s="23">
        <f>IF(R1368="","",Q1368/R1368)</f>
        <v/>
      </c>
      <c r="U1368" s="24">
        <f>IF(SUMIFS('Daily NSE Equity Options'!$M:$M,'Daily NSE Equity Options'!$A:$A,$A1368)=0,"",SUMIFS('Daily NSE Equity Options'!$M:$M,'Daily NSE Equity Options'!$A:$A,$A1368))</f>
        <v/>
      </c>
      <c r="V1368" s="9">
        <f>IF(SUMIFS('Daily BSE Equity Options'!$M:$M,'Daily BSE Equity Options'!$A:$A,$A1368)=0,"",SUMIFS('Daily BSE Equity Options'!$M:$M,'Daily BSE Equity Options'!$A:$A,$A1368))</f>
        <v/>
      </c>
      <c r="W1368" s="9">
        <f>IF(OR(U1368="",V1368=""),"",U1368+V1368)</f>
        <v/>
      </c>
      <c r="X1368" s="25">
        <f>IF(W1368="","",U1368/W1368)</f>
        <v/>
      </c>
      <c r="Y1368" s="25">
        <f>IF(W1368="","",V1368/W1368)</f>
        <v/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19">
        <f>IF(G1369="","",E1369/G1369)</f>
        <v/>
      </c>
      <c r="I1369" s="19">
        <f>IF(G1369="","",F1369/G1369)</f>
        <v/>
      </c>
      <c r="J1369" s="26">
        <f>IFERROR(IF(OR(E1369="",INDEX(E:E,MATCH(DATE(YEAR($A1369)-1,MONTH($A1369),DAY($A1369)),$A:$A,0))=""),"",E1369/INDEX(E:E,MATCH(DATE(YEAR($A1369)-1,MONTH($A1369),DAY($A1369)),$A:$A,0))-1),"")</f>
        <v/>
      </c>
      <c r="K1369" s="19">
        <f>IFERROR(IF(OR(F1369="",INDEX(F:F,MATCH(DATE(YEAR($A1369)-1,MONTH($A1369),DAY($A1369)),$A:$A,0))=""),"",F1369/INDEX(F:F,MATCH(DATE(YEAR($A1369)-1,MONTH($A1369),DAY($A1369)),$A:$A,0))-1),"")</f>
        <v/>
      </c>
      <c r="L1369" s="19">
        <f>IFERROR(IF(OR(G1369="",INDEX(G:G,MATCH(DATE(YEAR($A1369)-1,MONTH($A1369),DAY($A1369)),$A:$A,0))=""),"",G1369/INDEX(G:G,MATCH(DATE(YEAR($A1369)-1,MONTH($A1369),DAY($A1369)),$A:$A,0))-1),"")</f>
        <v/>
      </c>
      <c r="M1369" s="19">
        <f>IF(OR(E1369="",E1368=""),"",E1369/E1368-1)</f>
        <v/>
      </c>
      <c r="N1369" s="19">
        <f>IF(OR(F1369="",F1368=""),"",F1369/F1368-1)</f>
        <v/>
      </c>
      <c r="O1369" s="19">
        <f>IF(OR(G1369="",G1368=""),"",G1369/G1368-1)</f>
        <v/>
      </c>
      <c r="P1369" s="22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IF(R1369="","",P1369/R1369)</f>
        <v/>
      </c>
      <c r="T1369" s="23">
        <f>IF(R1369="","",Q1369/R1369)</f>
        <v/>
      </c>
      <c r="U1369" s="24">
        <f>IF(SUMIFS('Daily NSE Equity Options'!$M:$M,'Daily NSE Equity Options'!$A:$A,$A1369)=0,"",SUMIFS('Daily NSE Equity Options'!$M:$M,'Daily NSE Equity Options'!$A:$A,$A1369))</f>
        <v/>
      </c>
      <c r="V1369" s="9">
        <f>IF(SUMIFS('Daily BSE Equity Options'!$M:$M,'Daily BSE Equity Options'!$A:$A,$A1369)=0,"",SUMIFS('Daily BSE Equity Options'!$M:$M,'Daily BSE Equity Options'!$A:$A,$A1369))</f>
        <v/>
      </c>
      <c r="W1369" s="9">
        <f>IF(OR(U1369="",V1369=""),"",U1369+V1369)</f>
        <v/>
      </c>
      <c r="X1369" s="25">
        <f>IF(W1369="","",U1369/W1369)</f>
        <v/>
      </c>
      <c r="Y1369" s="25">
        <f>IF(W1369="","",V1369/W1369)</f>
        <v/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19">
        <f>IF(G1370="","",E1370/G1370)</f>
        <v/>
      </c>
      <c r="I1370" s="19">
        <f>IF(G1370="","",F1370/G1370)</f>
        <v/>
      </c>
      <c r="J1370" s="26">
        <f>IFERROR(IF(OR(E1370="",INDEX(E:E,MATCH(DATE(YEAR($A1370)-1,MONTH($A1370),DAY($A1370)),$A:$A,0))=""),"",E1370/INDEX(E:E,MATCH(DATE(YEAR($A1370)-1,MONTH($A1370),DAY($A1370)),$A:$A,0))-1),"")</f>
        <v/>
      </c>
      <c r="K1370" s="19">
        <f>IFERROR(IF(OR(F1370="",INDEX(F:F,MATCH(DATE(YEAR($A1370)-1,MONTH($A1370),DAY($A1370)),$A:$A,0))=""),"",F1370/INDEX(F:F,MATCH(DATE(YEAR($A1370)-1,MONTH($A1370),DAY($A1370)),$A:$A,0))-1),"")</f>
        <v/>
      </c>
      <c r="L1370" s="19">
        <f>IFERROR(IF(OR(G1370="",INDEX(G:G,MATCH(DATE(YEAR($A1370)-1,MONTH($A1370),DAY($A1370)),$A:$A,0))=""),"",G1370/INDEX(G:G,MATCH(DATE(YEAR($A1370)-1,MONTH($A1370),DAY($A1370)),$A:$A,0))-1),"")</f>
        <v/>
      </c>
      <c r="M1370" s="19">
        <f>IF(OR(E1370="",E1369=""),"",E1370/E1369-1)</f>
        <v/>
      </c>
      <c r="N1370" s="19">
        <f>IF(OR(F1370="",F1369=""),"",F1370/F1369-1)</f>
        <v/>
      </c>
      <c r="O1370" s="19">
        <f>IF(OR(G1370="",G1369=""),"",G1370/G1369-1)</f>
        <v/>
      </c>
      <c r="P1370" s="22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IF(R1370="","",P1370/R1370)</f>
        <v/>
      </c>
      <c r="T1370" s="23">
        <f>IF(R1370="","",Q1370/R1370)</f>
        <v/>
      </c>
      <c r="U1370" s="24">
        <f>IF(SUMIFS('Daily NSE Equity Options'!$M:$M,'Daily NSE Equity Options'!$A:$A,$A1370)=0,"",SUMIFS('Daily NSE Equity Options'!$M:$M,'Daily NSE Equity Options'!$A:$A,$A1370))</f>
        <v/>
      </c>
      <c r="V1370" s="9">
        <f>IF(SUMIFS('Daily BSE Equity Options'!$M:$M,'Daily BSE Equity Options'!$A:$A,$A1370)=0,"",SUMIFS('Daily BSE Equity Options'!$M:$M,'Daily BSE Equity Options'!$A:$A,$A1370))</f>
        <v/>
      </c>
      <c r="W1370" s="9">
        <f>IF(OR(U1370="",V1370=""),"",U1370+V1370)</f>
        <v/>
      </c>
      <c r="X1370" s="25">
        <f>IF(W1370="","",U1370/W1370)</f>
        <v/>
      </c>
      <c r="Y1370" s="25">
        <f>IF(W1370="","",V1370/W1370)</f>
        <v/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19">
        <f>IF(G1371="","",E1371/G1371)</f>
        <v/>
      </c>
      <c r="I1371" s="19">
        <f>IF(G1371="","",F1371/G1371)</f>
        <v/>
      </c>
      <c r="J1371" s="26">
        <f>IFERROR(IF(OR(E1371="",INDEX(E:E,MATCH(DATE(YEAR($A1371)-1,MONTH($A1371),DAY($A1371)),$A:$A,0))=""),"",E1371/INDEX(E:E,MATCH(DATE(YEAR($A1371)-1,MONTH($A1371),DAY($A1371)),$A:$A,0))-1),"")</f>
        <v/>
      </c>
      <c r="K1371" s="19">
        <f>IFERROR(IF(OR(F1371="",INDEX(F:F,MATCH(DATE(YEAR($A1371)-1,MONTH($A1371),DAY($A1371)),$A:$A,0))=""),"",F1371/INDEX(F:F,MATCH(DATE(YEAR($A1371)-1,MONTH($A1371),DAY($A1371)),$A:$A,0))-1),"")</f>
        <v/>
      </c>
      <c r="L1371" s="19">
        <f>IFERROR(IF(OR(G1371="",INDEX(G:G,MATCH(DATE(YEAR($A1371)-1,MONTH($A1371),DAY($A1371)),$A:$A,0))=""),"",G1371/INDEX(G:G,MATCH(DATE(YEAR($A1371)-1,MONTH($A1371),DAY($A1371)),$A:$A,0))-1),"")</f>
        <v/>
      </c>
      <c r="M1371" s="19">
        <f>IF(OR(E1371="",E1370=""),"",E1371/E1370-1)</f>
        <v/>
      </c>
      <c r="N1371" s="19">
        <f>IF(OR(F1371="",F1370=""),"",F1371/F1370-1)</f>
        <v/>
      </c>
      <c r="O1371" s="19">
        <f>IF(OR(G1371="",G1370=""),"",G1371/G1370-1)</f>
        <v/>
      </c>
      <c r="P1371" s="22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IF(R1371="","",P1371/R1371)</f>
        <v/>
      </c>
      <c r="T1371" s="23">
        <f>IF(R1371="","",Q1371/R1371)</f>
        <v/>
      </c>
      <c r="U1371" s="24">
        <f>IF(SUMIFS('Daily NSE Equity Options'!$M:$M,'Daily NSE Equity Options'!$A:$A,$A1371)=0,"",SUMIFS('Daily NSE Equity Options'!$M:$M,'Daily NSE Equity Options'!$A:$A,$A1371))</f>
        <v/>
      </c>
      <c r="V1371" s="9">
        <f>IF(SUMIFS('Daily BSE Equity Options'!$M:$M,'Daily BSE Equity Options'!$A:$A,$A1371)=0,"",SUMIFS('Daily BSE Equity Options'!$M:$M,'Daily BSE Equity Options'!$A:$A,$A1371))</f>
        <v/>
      </c>
      <c r="W1371" s="9">
        <f>IF(OR(U1371="",V1371=""),"",U1371+V1371)</f>
        <v/>
      </c>
      <c r="X1371" s="25">
        <f>IF(W1371="","",U1371/W1371)</f>
        <v/>
      </c>
      <c r="Y1371" s="25">
        <f>IF(W1371="","",V1371/W1371)</f>
        <v/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19">
        <f>IF(G1372="","",E1372/G1372)</f>
        <v/>
      </c>
      <c r="I1372" s="19">
        <f>IF(G1372="","",F1372/G1372)</f>
        <v/>
      </c>
      <c r="J1372" s="26">
        <f>IFERROR(IF(OR(E1372="",INDEX(E:E,MATCH(DATE(YEAR($A1372)-1,MONTH($A1372),DAY($A1372)),$A:$A,0))=""),"",E1372/INDEX(E:E,MATCH(DATE(YEAR($A1372)-1,MONTH($A1372),DAY($A1372)),$A:$A,0))-1),"")</f>
        <v/>
      </c>
      <c r="K1372" s="19">
        <f>IFERROR(IF(OR(F1372="",INDEX(F:F,MATCH(DATE(YEAR($A1372)-1,MONTH($A1372),DAY($A1372)),$A:$A,0))=""),"",F1372/INDEX(F:F,MATCH(DATE(YEAR($A1372)-1,MONTH($A1372),DAY($A1372)),$A:$A,0))-1),"")</f>
        <v/>
      </c>
      <c r="L1372" s="19">
        <f>IFERROR(IF(OR(G1372="",INDEX(G:G,MATCH(DATE(YEAR($A1372)-1,MONTH($A1372),DAY($A1372)),$A:$A,0))=""),"",G1372/INDEX(G:G,MATCH(DATE(YEAR($A1372)-1,MONTH($A1372),DAY($A1372)),$A:$A,0))-1),"")</f>
        <v/>
      </c>
      <c r="M1372" s="19">
        <f>IF(OR(E1372="",E1371=""),"",E1372/E1371-1)</f>
        <v/>
      </c>
      <c r="N1372" s="19">
        <f>IF(OR(F1372="",F1371=""),"",F1372/F1371-1)</f>
        <v/>
      </c>
      <c r="O1372" s="19">
        <f>IF(OR(G1372="",G1371=""),"",G1372/G1371-1)</f>
        <v/>
      </c>
      <c r="P1372" s="22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IF(R1372="","",P1372/R1372)</f>
        <v/>
      </c>
      <c r="T1372" s="23">
        <f>IF(R1372="","",Q1372/R1372)</f>
        <v/>
      </c>
      <c r="U1372" s="24">
        <f>IF(SUMIFS('Daily NSE Equity Options'!$M:$M,'Daily NSE Equity Options'!$A:$A,$A1372)=0,"",SUMIFS('Daily NSE Equity Options'!$M:$M,'Daily NSE Equity Options'!$A:$A,$A1372))</f>
        <v/>
      </c>
      <c r="V1372" s="9">
        <f>IF(SUMIFS('Daily BSE Equity Options'!$M:$M,'Daily BSE Equity Options'!$A:$A,$A1372)=0,"",SUMIFS('Daily BSE Equity Options'!$M:$M,'Daily BSE Equity Options'!$A:$A,$A1372))</f>
        <v/>
      </c>
      <c r="W1372" s="9">
        <f>IF(OR(U1372="",V1372=""),"",U1372+V1372)</f>
        <v/>
      </c>
      <c r="X1372" s="25">
        <f>IF(W1372="","",U1372/W1372)</f>
        <v/>
      </c>
      <c r="Y1372" s="25">
        <f>IF(W1372="","",V1372/W1372)</f>
        <v/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19">
        <f>IF(G1373="","",E1373/G1373)</f>
        <v/>
      </c>
      <c r="I1373" s="19">
        <f>IF(G1373="","",F1373/G1373)</f>
        <v/>
      </c>
      <c r="J1373" s="26">
        <f>IFERROR(IF(OR(E1373="",INDEX(E:E,MATCH(DATE(YEAR($A1373)-1,MONTH($A1373),DAY($A1373)),$A:$A,0))=""),"",E1373/INDEX(E:E,MATCH(DATE(YEAR($A1373)-1,MONTH($A1373),DAY($A1373)),$A:$A,0))-1),"")</f>
        <v/>
      </c>
      <c r="K1373" s="19">
        <f>IFERROR(IF(OR(F1373="",INDEX(F:F,MATCH(DATE(YEAR($A1373)-1,MONTH($A1373),DAY($A1373)),$A:$A,0))=""),"",F1373/INDEX(F:F,MATCH(DATE(YEAR($A1373)-1,MONTH($A1373),DAY($A1373)),$A:$A,0))-1),"")</f>
        <v/>
      </c>
      <c r="L1373" s="19">
        <f>IFERROR(IF(OR(G1373="",INDEX(G:G,MATCH(DATE(YEAR($A1373)-1,MONTH($A1373),DAY($A1373)),$A:$A,0))=""),"",G1373/INDEX(G:G,MATCH(DATE(YEAR($A1373)-1,MONTH($A1373),DAY($A1373)),$A:$A,0))-1),"")</f>
        <v/>
      </c>
      <c r="M1373" s="19">
        <f>IF(OR(E1373="",E1372=""),"",E1373/E1372-1)</f>
        <v/>
      </c>
      <c r="N1373" s="19">
        <f>IF(OR(F1373="",F1372=""),"",F1373/F1372-1)</f>
        <v/>
      </c>
      <c r="O1373" s="19">
        <f>IF(OR(G1373="",G1372=""),"",G1373/G1372-1)</f>
        <v/>
      </c>
      <c r="P1373" s="22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IF(R1373="","",P1373/R1373)</f>
        <v/>
      </c>
      <c r="T1373" s="23">
        <f>IF(R1373="","",Q1373/R1373)</f>
        <v/>
      </c>
      <c r="U1373" s="24">
        <f>IF(SUMIFS('Daily NSE Equity Options'!$M:$M,'Daily NSE Equity Options'!$A:$A,$A1373)=0,"",SUMIFS('Daily NSE Equity Options'!$M:$M,'Daily NSE Equity Options'!$A:$A,$A1373))</f>
        <v/>
      </c>
      <c r="V1373" s="9">
        <f>IF(SUMIFS('Daily BSE Equity Options'!$M:$M,'Daily BSE Equity Options'!$A:$A,$A1373)=0,"",SUMIFS('Daily BSE Equity Options'!$M:$M,'Daily BSE Equity Options'!$A:$A,$A1373))</f>
        <v/>
      </c>
      <c r="W1373" s="9">
        <f>IF(OR(U1373="",V1373=""),"",U1373+V1373)</f>
        <v/>
      </c>
      <c r="X1373" s="25">
        <f>IF(W1373="","",U1373/W1373)</f>
        <v/>
      </c>
      <c r="Y1373" s="25">
        <f>IF(W1373="","",V1373/W1373)</f>
        <v/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19">
        <f>IF(G1374="","",E1374/G1374)</f>
        <v/>
      </c>
      <c r="I1374" s="19">
        <f>IF(G1374="","",F1374/G1374)</f>
        <v/>
      </c>
      <c r="J1374" s="26">
        <f>IFERROR(IF(OR(E1374="",INDEX(E:E,MATCH(DATE(YEAR($A1374)-1,MONTH($A1374),DAY($A1374)),$A:$A,0))=""),"",E1374/INDEX(E:E,MATCH(DATE(YEAR($A1374)-1,MONTH($A1374),DAY($A1374)),$A:$A,0))-1),"")</f>
        <v/>
      </c>
      <c r="K1374" s="19">
        <f>IFERROR(IF(OR(F1374="",INDEX(F:F,MATCH(DATE(YEAR($A1374)-1,MONTH($A1374),DAY($A1374)),$A:$A,0))=""),"",F1374/INDEX(F:F,MATCH(DATE(YEAR($A1374)-1,MONTH($A1374),DAY($A1374)),$A:$A,0))-1),"")</f>
        <v/>
      </c>
      <c r="L1374" s="19">
        <f>IFERROR(IF(OR(G1374="",INDEX(G:G,MATCH(DATE(YEAR($A1374)-1,MONTH($A1374),DAY($A1374)),$A:$A,0))=""),"",G1374/INDEX(G:G,MATCH(DATE(YEAR($A1374)-1,MONTH($A1374),DAY($A1374)),$A:$A,0))-1),"")</f>
        <v/>
      </c>
      <c r="M1374" s="19">
        <f>IF(OR(E1374="",E1373=""),"",E1374/E1373-1)</f>
        <v/>
      </c>
      <c r="N1374" s="19">
        <f>IF(OR(F1374="",F1373=""),"",F1374/F1373-1)</f>
        <v/>
      </c>
      <c r="O1374" s="19">
        <f>IF(OR(G1374="",G1373=""),"",G1374/G1373-1)</f>
        <v/>
      </c>
      <c r="P1374" s="22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IF(R1374="","",P1374/R1374)</f>
        <v/>
      </c>
      <c r="T1374" s="23">
        <f>IF(R1374="","",Q1374/R1374)</f>
        <v/>
      </c>
      <c r="U1374" s="24">
        <f>IF(SUMIFS('Daily NSE Equity Options'!$M:$M,'Daily NSE Equity Options'!$A:$A,$A1374)=0,"",SUMIFS('Daily NSE Equity Options'!$M:$M,'Daily NSE Equity Options'!$A:$A,$A1374))</f>
        <v/>
      </c>
      <c r="V1374" s="9">
        <f>IF(SUMIFS('Daily BSE Equity Options'!$M:$M,'Daily BSE Equity Options'!$A:$A,$A1374)=0,"",SUMIFS('Daily BSE Equity Options'!$M:$M,'Daily BSE Equity Options'!$A:$A,$A1374))</f>
        <v/>
      </c>
      <c r="W1374" s="9">
        <f>IF(OR(U1374="",V1374=""),"",U1374+V1374)</f>
        <v/>
      </c>
      <c r="X1374" s="25">
        <f>IF(W1374="","",U1374/W1374)</f>
        <v/>
      </c>
      <c r="Y1374" s="25">
        <f>IF(W1374="","",V1374/W1374)</f>
        <v/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19">
        <f>IF(G1375="","",E1375/G1375)</f>
        <v/>
      </c>
      <c r="I1375" s="19">
        <f>IF(G1375="","",F1375/G1375)</f>
        <v/>
      </c>
      <c r="J1375" s="26">
        <f>IFERROR(IF(OR(E1375="",INDEX(E:E,MATCH(DATE(YEAR($A1375)-1,MONTH($A1375),DAY($A1375)),$A:$A,0))=""),"",E1375/INDEX(E:E,MATCH(DATE(YEAR($A1375)-1,MONTH($A1375),DAY($A1375)),$A:$A,0))-1),"")</f>
        <v/>
      </c>
      <c r="K1375" s="19">
        <f>IFERROR(IF(OR(F1375="",INDEX(F:F,MATCH(DATE(YEAR($A1375)-1,MONTH($A1375),DAY($A1375)),$A:$A,0))=""),"",F1375/INDEX(F:F,MATCH(DATE(YEAR($A1375)-1,MONTH($A1375),DAY($A1375)),$A:$A,0))-1),"")</f>
        <v/>
      </c>
      <c r="L1375" s="19">
        <f>IFERROR(IF(OR(G1375="",INDEX(G:G,MATCH(DATE(YEAR($A1375)-1,MONTH($A1375),DAY($A1375)),$A:$A,0))=""),"",G1375/INDEX(G:G,MATCH(DATE(YEAR($A1375)-1,MONTH($A1375),DAY($A1375)),$A:$A,0))-1),"")</f>
        <v/>
      </c>
      <c r="M1375" s="19">
        <f>IF(OR(E1375="",E1374=""),"",E1375/E1374-1)</f>
        <v/>
      </c>
      <c r="N1375" s="19">
        <f>IF(OR(F1375="",F1374=""),"",F1375/F1374-1)</f>
        <v/>
      </c>
      <c r="O1375" s="19">
        <f>IF(OR(G1375="",G1374=""),"",G1375/G1374-1)</f>
        <v/>
      </c>
      <c r="P1375" s="22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IF(R1375="","",P1375/R1375)</f>
        <v/>
      </c>
      <c r="T1375" s="23">
        <f>IF(R1375="","",Q1375/R1375)</f>
        <v/>
      </c>
      <c r="U1375" s="24">
        <f>IF(SUMIFS('Daily NSE Equity Options'!$M:$M,'Daily NSE Equity Options'!$A:$A,$A1375)=0,"",SUMIFS('Daily NSE Equity Options'!$M:$M,'Daily NSE Equity Options'!$A:$A,$A1375))</f>
        <v/>
      </c>
      <c r="V1375" s="9">
        <f>IF(SUMIFS('Daily BSE Equity Options'!$M:$M,'Daily BSE Equity Options'!$A:$A,$A1375)=0,"",SUMIFS('Daily BSE Equity Options'!$M:$M,'Daily BSE Equity Options'!$A:$A,$A1375))</f>
        <v/>
      </c>
      <c r="W1375" s="9">
        <f>IF(OR(U1375="",V1375=""),"",U1375+V1375)</f>
        <v/>
      </c>
      <c r="X1375" s="25">
        <f>IF(W1375="","",U1375/W1375)</f>
        <v/>
      </c>
      <c r="Y1375" s="25">
        <f>IF(W1375="","",V1375/W1375)</f>
        <v/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19">
        <f>IF(G1376="","",E1376/G1376)</f>
        <v/>
      </c>
      <c r="I1376" s="19">
        <f>IF(G1376="","",F1376/G1376)</f>
        <v/>
      </c>
      <c r="J1376" s="26">
        <f>IFERROR(IF(OR(E1376="",INDEX(E:E,MATCH(DATE(YEAR($A1376)-1,MONTH($A1376),DAY($A1376)),$A:$A,0))=""),"",E1376/INDEX(E:E,MATCH(DATE(YEAR($A1376)-1,MONTH($A1376),DAY($A1376)),$A:$A,0))-1),"")</f>
        <v/>
      </c>
      <c r="K1376" s="19">
        <f>IFERROR(IF(OR(F1376="",INDEX(F:F,MATCH(DATE(YEAR($A1376)-1,MONTH($A1376),DAY($A1376)),$A:$A,0))=""),"",F1376/INDEX(F:F,MATCH(DATE(YEAR($A1376)-1,MONTH($A1376),DAY($A1376)),$A:$A,0))-1),"")</f>
        <v/>
      </c>
      <c r="L1376" s="19">
        <f>IFERROR(IF(OR(G1376="",INDEX(G:G,MATCH(DATE(YEAR($A1376)-1,MONTH($A1376),DAY($A1376)),$A:$A,0))=""),"",G1376/INDEX(G:G,MATCH(DATE(YEAR($A1376)-1,MONTH($A1376),DAY($A1376)),$A:$A,0))-1),"")</f>
        <v/>
      </c>
      <c r="M1376" s="19">
        <f>IF(OR(E1376="",E1375=""),"",E1376/E1375-1)</f>
        <v/>
      </c>
      <c r="N1376" s="19">
        <f>IF(OR(F1376="",F1375=""),"",F1376/F1375-1)</f>
        <v/>
      </c>
      <c r="O1376" s="19">
        <f>IF(OR(G1376="",G1375=""),"",G1376/G1375-1)</f>
        <v/>
      </c>
      <c r="P1376" s="22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IF(R1376="","",P1376/R1376)</f>
        <v/>
      </c>
      <c r="T1376" s="23">
        <f>IF(R1376="","",Q1376/R1376)</f>
        <v/>
      </c>
      <c r="U1376" s="24">
        <f>IF(SUMIFS('Daily NSE Equity Options'!$M:$M,'Daily NSE Equity Options'!$A:$A,$A1376)=0,"",SUMIFS('Daily NSE Equity Options'!$M:$M,'Daily NSE Equity Options'!$A:$A,$A1376))</f>
        <v/>
      </c>
      <c r="V1376" s="9">
        <f>IF(SUMIFS('Daily BSE Equity Options'!$M:$M,'Daily BSE Equity Options'!$A:$A,$A1376)=0,"",SUMIFS('Daily BSE Equity Options'!$M:$M,'Daily BSE Equity Options'!$A:$A,$A1376))</f>
        <v/>
      </c>
      <c r="W1376" s="9">
        <f>IF(OR(U1376="",V1376=""),"",U1376+V1376)</f>
        <v/>
      </c>
      <c r="X1376" s="25">
        <f>IF(W1376="","",U1376/W1376)</f>
        <v/>
      </c>
      <c r="Y1376" s="25">
        <f>IF(W1376="","",V1376/W1376)</f>
        <v/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19">
        <f>IF(G1377="","",E1377/G1377)</f>
        <v/>
      </c>
      <c r="I1377" s="19">
        <f>IF(G1377="","",F1377/G1377)</f>
        <v/>
      </c>
      <c r="J1377" s="26">
        <f>IFERROR(IF(OR(E1377="",INDEX(E:E,MATCH(DATE(YEAR($A1377)-1,MONTH($A1377),DAY($A1377)),$A:$A,0))=""),"",E1377/INDEX(E:E,MATCH(DATE(YEAR($A1377)-1,MONTH($A1377),DAY($A1377)),$A:$A,0))-1),"")</f>
        <v/>
      </c>
      <c r="K1377" s="19">
        <f>IFERROR(IF(OR(F1377="",INDEX(F:F,MATCH(DATE(YEAR($A1377)-1,MONTH($A1377),DAY($A1377)),$A:$A,0))=""),"",F1377/INDEX(F:F,MATCH(DATE(YEAR($A1377)-1,MONTH($A1377),DAY($A1377)),$A:$A,0))-1),"")</f>
        <v/>
      </c>
      <c r="L1377" s="19">
        <f>IFERROR(IF(OR(G1377="",INDEX(G:G,MATCH(DATE(YEAR($A1377)-1,MONTH($A1377),DAY($A1377)),$A:$A,0))=""),"",G1377/INDEX(G:G,MATCH(DATE(YEAR($A1377)-1,MONTH($A1377),DAY($A1377)),$A:$A,0))-1),"")</f>
        <v/>
      </c>
      <c r="M1377" s="19">
        <f>IF(OR(E1377="",E1376=""),"",E1377/E1376-1)</f>
        <v/>
      </c>
      <c r="N1377" s="19">
        <f>IF(OR(F1377="",F1376=""),"",F1377/F1376-1)</f>
        <v/>
      </c>
      <c r="O1377" s="19">
        <f>IF(OR(G1377="",G1376=""),"",G1377/G1376-1)</f>
        <v/>
      </c>
      <c r="P1377" s="22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IF(R1377="","",P1377/R1377)</f>
        <v/>
      </c>
      <c r="T1377" s="23">
        <f>IF(R1377="","",Q1377/R1377)</f>
        <v/>
      </c>
      <c r="U1377" s="24">
        <f>IF(SUMIFS('Daily NSE Equity Options'!$M:$M,'Daily NSE Equity Options'!$A:$A,$A1377)=0,"",SUMIFS('Daily NSE Equity Options'!$M:$M,'Daily NSE Equity Options'!$A:$A,$A1377))</f>
        <v/>
      </c>
      <c r="V1377" s="9">
        <f>IF(SUMIFS('Daily BSE Equity Options'!$M:$M,'Daily BSE Equity Options'!$A:$A,$A1377)=0,"",SUMIFS('Daily BSE Equity Options'!$M:$M,'Daily BSE Equity Options'!$A:$A,$A1377))</f>
        <v/>
      </c>
      <c r="W1377" s="9">
        <f>IF(OR(U1377="",V1377=""),"",U1377+V1377)</f>
        <v/>
      </c>
      <c r="X1377" s="25">
        <f>IF(W1377="","",U1377/W1377)</f>
        <v/>
      </c>
      <c r="Y1377" s="25">
        <f>IF(W1377="","",V1377/W1377)</f>
        <v/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19">
        <f>IF(G1378="","",E1378/G1378)</f>
        <v/>
      </c>
      <c r="I1378" s="19">
        <f>IF(G1378="","",F1378/G1378)</f>
        <v/>
      </c>
      <c r="J1378" s="26">
        <f>IFERROR(IF(OR(E1378="",INDEX(E:E,MATCH(DATE(YEAR($A1378)-1,MONTH($A1378),DAY($A1378)),$A:$A,0))=""),"",E1378/INDEX(E:E,MATCH(DATE(YEAR($A1378)-1,MONTH($A1378),DAY($A1378)),$A:$A,0))-1),"")</f>
        <v/>
      </c>
      <c r="K1378" s="19">
        <f>IFERROR(IF(OR(F1378="",INDEX(F:F,MATCH(DATE(YEAR($A1378)-1,MONTH($A1378),DAY($A1378)),$A:$A,0))=""),"",F1378/INDEX(F:F,MATCH(DATE(YEAR($A1378)-1,MONTH($A1378),DAY($A1378)),$A:$A,0))-1),"")</f>
        <v/>
      </c>
      <c r="L1378" s="19">
        <f>IFERROR(IF(OR(G1378="",INDEX(G:G,MATCH(DATE(YEAR($A1378)-1,MONTH($A1378),DAY($A1378)),$A:$A,0))=""),"",G1378/INDEX(G:G,MATCH(DATE(YEAR($A1378)-1,MONTH($A1378),DAY($A1378)),$A:$A,0))-1),"")</f>
        <v/>
      </c>
      <c r="M1378" s="19">
        <f>IF(OR(E1378="",E1377=""),"",E1378/E1377-1)</f>
        <v/>
      </c>
      <c r="N1378" s="19">
        <f>IF(OR(F1378="",F1377=""),"",F1378/F1377-1)</f>
        <v/>
      </c>
      <c r="O1378" s="19">
        <f>IF(OR(G1378="",G1377=""),"",G1378/G1377-1)</f>
        <v/>
      </c>
      <c r="P1378" s="22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IF(R1378="","",P1378/R1378)</f>
        <v/>
      </c>
      <c r="T1378" s="23">
        <f>IF(R1378="","",Q1378/R1378)</f>
        <v/>
      </c>
      <c r="U1378" s="24">
        <f>IF(SUMIFS('Daily NSE Equity Options'!$M:$M,'Daily NSE Equity Options'!$A:$A,$A1378)=0,"",SUMIFS('Daily NSE Equity Options'!$M:$M,'Daily NSE Equity Options'!$A:$A,$A1378))</f>
        <v/>
      </c>
      <c r="V1378" s="9">
        <f>IF(SUMIFS('Daily BSE Equity Options'!$M:$M,'Daily BSE Equity Options'!$A:$A,$A1378)=0,"",SUMIFS('Daily BSE Equity Options'!$M:$M,'Daily BSE Equity Options'!$A:$A,$A1378))</f>
        <v/>
      </c>
      <c r="W1378" s="9">
        <f>IF(OR(U1378="",V1378=""),"",U1378+V1378)</f>
        <v/>
      </c>
      <c r="X1378" s="25">
        <f>IF(W1378="","",U1378/W1378)</f>
        <v/>
      </c>
      <c r="Y1378" s="25">
        <f>IF(W1378="","",V1378/W1378)</f>
        <v/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19">
        <f>IF(G1379="","",E1379/G1379)</f>
        <v/>
      </c>
      <c r="I1379" s="19">
        <f>IF(G1379="","",F1379/G1379)</f>
        <v/>
      </c>
      <c r="J1379" s="26">
        <f>IFERROR(IF(OR(E1379="",INDEX(E:E,MATCH(DATE(YEAR($A1379)-1,MONTH($A1379),DAY($A1379)),$A:$A,0))=""),"",E1379/INDEX(E:E,MATCH(DATE(YEAR($A1379)-1,MONTH($A1379),DAY($A1379)),$A:$A,0))-1),"")</f>
        <v/>
      </c>
      <c r="K1379" s="19">
        <f>IFERROR(IF(OR(F1379="",INDEX(F:F,MATCH(DATE(YEAR($A1379)-1,MONTH($A1379),DAY($A1379)),$A:$A,0))=""),"",F1379/INDEX(F:F,MATCH(DATE(YEAR($A1379)-1,MONTH($A1379),DAY($A1379)),$A:$A,0))-1),"")</f>
        <v/>
      </c>
      <c r="L1379" s="19">
        <f>IFERROR(IF(OR(G1379="",INDEX(G:G,MATCH(DATE(YEAR($A1379)-1,MONTH($A1379),DAY($A1379)),$A:$A,0))=""),"",G1379/INDEX(G:G,MATCH(DATE(YEAR($A1379)-1,MONTH($A1379),DAY($A1379)),$A:$A,0))-1),"")</f>
        <v/>
      </c>
      <c r="M1379" s="19">
        <f>IF(OR(E1379="",E1378=""),"",E1379/E1378-1)</f>
        <v/>
      </c>
      <c r="N1379" s="19">
        <f>IF(OR(F1379="",F1378=""),"",F1379/F1378-1)</f>
        <v/>
      </c>
      <c r="O1379" s="19">
        <f>IF(OR(G1379="",G1378=""),"",G1379/G1378-1)</f>
        <v/>
      </c>
      <c r="P1379" s="22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IF(R1379="","",P1379/R1379)</f>
        <v/>
      </c>
      <c r="T1379" s="23">
        <f>IF(R1379="","",Q1379/R1379)</f>
        <v/>
      </c>
      <c r="U1379" s="24">
        <f>IF(SUMIFS('Daily NSE Equity Options'!$M:$M,'Daily NSE Equity Options'!$A:$A,$A1379)=0,"",SUMIFS('Daily NSE Equity Options'!$M:$M,'Daily NSE Equity Options'!$A:$A,$A1379))</f>
        <v/>
      </c>
      <c r="V1379" s="9">
        <f>IF(SUMIFS('Daily BSE Equity Options'!$M:$M,'Daily BSE Equity Options'!$A:$A,$A1379)=0,"",SUMIFS('Daily BSE Equity Options'!$M:$M,'Daily BSE Equity Options'!$A:$A,$A1379))</f>
        <v/>
      </c>
      <c r="W1379" s="9">
        <f>IF(OR(U1379="",V1379=""),"",U1379+V1379)</f>
        <v/>
      </c>
      <c r="X1379" s="25">
        <f>IF(W1379="","",U1379/W1379)</f>
        <v/>
      </c>
      <c r="Y1379" s="25">
        <f>IF(W1379="","",V1379/W1379)</f>
        <v/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19">
        <f>IF(G1380="","",E1380/G1380)</f>
        <v/>
      </c>
      <c r="I1380" s="19">
        <f>IF(G1380="","",F1380/G1380)</f>
        <v/>
      </c>
      <c r="J1380" s="26">
        <f>IFERROR(IF(OR(E1380="",INDEX(E:E,MATCH(DATE(YEAR($A1380)-1,MONTH($A1380),DAY($A1380)),$A:$A,0))=""),"",E1380/INDEX(E:E,MATCH(DATE(YEAR($A1380)-1,MONTH($A1380),DAY($A1380)),$A:$A,0))-1),"")</f>
        <v/>
      </c>
      <c r="K1380" s="19">
        <f>IFERROR(IF(OR(F1380="",INDEX(F:F,MATCH(DATE(YEAR($A1380)-1,MONTH($A1380),DAY($A1380)),$A:$A,0))=""),"",F1380/INDEX(F:F,MATCH(DATE(YEAR($A1380)-1,MONTH($A1380),DAY($A1380)),$A:$A,0))-1),"")</f>
        <v/>
      </c>
      <c r="L1380" s="19">
        <f>IFERROR(IF(OR(G1380="",INDEX(G:G,MATCH(DATE(YEAR($A1380)-1,MONTH($A1380),DAY($A1380)),$A:$A,0))=""),"",G1380/INDEX(G:G,MATCH(DATE(YEAR($A1380)-1,MONTH($A1380),DAY($A1380)),$A:$A,0))-1),"")</f>
        <v/>
      </c>
      <c r="M1380" s="19">
        <f>IF(OR(E1380="",E1379=""),"",E1380/E1379-1)</f>
        <v/>
      </c>
      <c r="N1380" s="19">
        <f>IF(OR(F1380="",F1379=""),"",F1380/F1379-1)</f>
        <v/>
      </c>
      <c r="O1380" s="19">
        <f>IF(OR(G1380="",G1379=""),"",G1380/G1379-1)</f>
        <v/>
      </c>
      <c r="P1380" s="22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IF(R1380="","",P1380/R1380)</f>
        <v/>
      </c>
      <c r="T1380" s="23">
        <f>IF(R1380="","",Q1380/R1380)</f>
        <v/>
      </c>
      <c r="U1380" s="24">
        <f>IF(SUMIFS('Daily NSE Equity Options'!$M:$M,'Daily NSE Equity Options'!$A:$A,$A1380)=0,"",SUMIFS('Daily NSE Equity Options'!$M:$M,'Daily NSE Equity Options'!$A:$A,$A1380))</f>
        <v/>
      </c>
      <c r="V1380" s="9">
        <f>IF(SUMIFS('Daily BSE Equity Options'!$M:$M,'Daily BSE Equity Options'!$A:$A,$A1380)=0,"",SUMIFS('Daily BSE Equity Options'!$M:$M,'Daily BSE Equity Options'!$A:$A,$A1380))</f>
        <v/>
      </c>
      <c r="W1380" s="9">
        <f>IF(OR(U1380="",V1380=""),"",U1380+V1380)</f>
        <v/>
      </c>
      <c r="X1380" s="25">
        <f>IF(W1380="","",U1380/W1380)</f>
        <v/>
      </c>
      <c r="Y1380" s="25">
        <f>IF(W1380="","",V1380/W1380)</f>
        <v/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19">
        <f>IF(G1381="","",E1381/G1381)</f>
        <v/>
      </c>
      <c r="I1381" s="19">
        <f>IF(G1381="","",F1381/G1381)</f>
        <v/>
      </c>
      <c r="J1381" s="26">
        <f>IFERROR(IF(OR(E1381="",INDEX(E:E,MATCH(DATE(YEAR($A1381)-1,MONTH($A1381),DAY($A1381)),$A:$A,0))=""),"",E1381/INDEX(E:E,MATCH(DATE(YEAR($A1381)-1,MONTH($A1381),DAY($A1381)),$A:$A,0))-1),"")</f>
        <v/>
      </c>
      <c r="K1381" s="19">
        <f>IFERROR(IF(OR(F1381="",INDEX(F:F,MATCH(DATE(YEAR($A1381)-1,MONTH($A1381),DAY($A1381)),$A:$A,0))=""),"",F1381/INDEX(F:F,MATCH(DATE(YEAR($A1381)-1,MONTH($A1381),DAY($A1381)),$A:$A,0))-1),"")</f>
        <v/>
      </c>
      <c r="L1381" s="19">
        <f>IFERROR(IF(OR(G1381="",INDEX(G:G,MATCH(DATE(YEAR($A1381)-1,MONTH($A1381),DAY($A1381)),$A:$A,0))=""),"",G1381/INDEX(G:G,MATCH(DATE(YEAR($A1381)-1,MONTH($A1381),DAY($A1381)),$A:$A,0))-1),"")</f>
        <v/>
      </c>
      <c r="M1381" s="19">
        <f>IF(OR(E1381="",E1380=""),"",E1381/E1380-1)</f>
        <v/>
      </c>
      <c r="N1381" s="19">
        <f>IF(OR(F1381="",F1380=""),"",F1381/F1380-1)</f>
        <v/>
      </c>
      <c r="O1381" s="19">
        <f>IF(OR(G1381="",G1380=""),"",G1381/G1380-1)</f>
        <v/>
      </c>
      <c r="P1381" s="22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IF(R1381="","",P1381/R1381)</f>
        <v/>
      </c>
      <c r="T1381" s="23">
        <f>IF(R1381="","",Q1381/R1381)</f>
        <v/>
      </c>
      <c r="U1381" s="24">
        <f>IF(SUMIFS('Daily NSE Equity Options'!$M:$M,'Daily NSE Equity Options'!$A:$A,$A1381)=0,"",SUMIFS('Daily NSE Equity Options'!$M:$M,'Daily NSE Equity Options'!$A:$A,$A1381))</f>
        <v/>
      </c>
      <c r="V1381" s="9">
        <f>IF(SUMIFS('Daily BSE Equity Options'!$M:$M,'Daily BSE Equity Options'!$A:$A,$A1381)=0,"",SUMIFS('Daily BSE Equity Options'!$M:$M,'Daily BSE Equity Options'!$A:$A,$A1381))</f>
        <v/>
      </c>
      <c r="W1381" s="9">
        <f>IF(OR(U1381="",V1381=""),"",U1381+V1381)</f>
        <v/>
      </c>
      <c r="X1381" s="25">
        <f>IF(W1381="","",U1381/W1381)</f>
        <v/>
      </c>
      <c r="Y1381" s="25">
        <f>IF(W1381="","",V1381/W1381)</f>
        <v/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19">
        <f>IF(G1382="","",E1382/G1382)</f>
        <v/>
      </c>
      <c r="I1382" s="19">
        <f>IF(G1382="","",F1382/G1382)</f>
        <v/>
      </c>
      <c r="J1382" s="26">
        <f>IFERROR(IF(OR(E1382="",INDEX(E:E,MATCH(DATE(YEAR($A1382)-1,MONTH($A1382),DAY($A1382)),$A:$A,0))=""),"",E1382/INDEX(E:E,MATCH(DATE(YEAR($A1382)-1,MONTH($A1382),DAY($A1382)),$A:$A,0))-1),"")</f>
        <v/>
      </c>
      <c r="K1382" s="19">
        <f>IFERROR(IF(OR(F1382="",INDEX(F:F,MATCH(DATE(YEAR($A1382)-1,MONTH($A1382),DAY($A1382)),$A:$A,0))=""),"",F1382/INDEX(F:F,MATCH(DATE(YEAR($A1382)-1,MONTH($A1382),DAY($A1382)),$A:$A,0))-1),"")</f>
        <v/>
      </c>
      <c r="L1382" s="19">
        <f>IFERROR(IF(OR(G1382="",INDEX(G:G,MATCH(DATE(YEAR($A1382)-1,MONTH($A1382),DAY($A1382)),$A:$A,0))=""),"",G1382/INDEX(G:G,MATCH(DATE(YEAR($A1382)-1,MONTH($A1382),DAY($A1382)),$A:$A,0))-1),"")</f>
        <v/>
      </c>
      <c r="M1382" s="19">
        <f>IF(OR(E1382="",E1381=""),"",E1382/E1381-1)</f>
        <v/>
      </c>
      <c r="N1382" s="19">
        <f>IF(OR(F1382="",F1381=""),"",F1382/F1381-1)</f>
        <v/>
      </c>
      <c r="O1382" s="19">
        <f>IF(OR(G1382="",G1381=""),"",G1382/G1381-1)</f>
        <v/>
      </c>
      <c r="P1382" s="22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IF(R1382="","",P1382/R1382)</f>
        <v/>
      </c>
      <c r="T1382" s="23">
        <f>IF(R1382="","",Q1382/R1382)</f>
        <v/>
      </c>
      <c r="U1382" s="24">
        <f>IF(SUMIFS('Daily NSE Equity Options'!$M:$M,'Daily NSE Equity Options'!$A:$A,$A1382)=0,"",SUMIFS('Daily NSE Equity Options'!$M:$M,'Daily NSE Equity Options'!$A:$A,$A1382))</f>
        <v/>
      </c>
      <c r="V1382" s="9">
        <f>IF(SUMIFS('Daily BSE Equity Options'!$M:$M,'Daily BSE Equity Options'!$A:$A,$A1382)=0,"",SUMIFS('Daily BSE Equity Options'!$M:$M,'Daily BSE Equity Options'!$A:$A,$A1382))</f>
        <v/>
      </c>
      <c r="W1382" s="9">
        <f>IF(OR(U1382="",V1382=""),"",U1382+V1382)</f>
        <v/>
      </c>
      <c r="X1382" s="25">
        <f>IF(W1382="","",U1382/W1382)</f>
        <v/>
      </c>
      <c r="Y1382" s="25">
        <f>IF(W1382="","",V1382/W1382)</f>
        <v/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19">
        <f>IF(G1383="","",E1383/G1383)</f>
        <v/>
      </c>
      <c r="I1383" s="19">
        <f>IF(G1383="","",F1383/G1383)</f>
        <v/>
      </c>
      <c r="J1383" s="26">
        <f>IFERROR(IF(OR(E1383="",INDEX(E:E,MATCH(DATE(YEAR($A1383)-1,MONTH($A1383),DAY($A1383)),$A:$A,0))=""),"",E1383/INDEX(E:E,MATCH(DATE(YEAR($A1383)-1,MONTH($A1383),DAY($A1383)),$A:$A,0))-1),"")</f>
        <v/>
      </c>
      <c r="K1383" s="19">
        <f>IFERROR(IF(OR(F1383="",INDEX(F:F,MATCH(DATE(YEAR($A1383)-1,MONTH($A1383),DAY($A1383)),$A:$A,0))=""),"",F1383/INDEX(F:F,MATCH(DATE(YEAR($A1383)-1,MONTH($A1383),DAY($A1383)),$A:$A,0))-1),"")</f>
        <v/>
      </c>
      <c r="L1383" s="19">
        <f>IFERROR(IF(OR(G1383="",INDEX(G:G,MATCH(DATE(YEAR($A1383)-1,MONTH($A1383),DAY($A1383)),$A:$A,0))=""),"",G1383/INDEX(G:G,MATCH(DATE(YEAR($A1383)-1,MONTH($A1383),DAY($A1383)),$A:$A,0))-1),"")</f>
        <v/>
      </c>
      <c r="M1383" s="19">
        <f>IF(OR(E1383="",E1382=""),"",E1383/E1382-1)</f>
        <v/>
      </c>
      <c r="N1383" s="19">
        <f>IF(OR(F1383="",F1382=""),"",F1383/F1382-1)</f>
        <v/>
      </c>
      <c r="O1383" s="19">
        <f>IF(OR(G1383="",G1382=""),"",G1383/G1382-1)</f>
        <v/>
      </c>
      <c r="P1383" s="22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IF(R1383="","",P1383/R1383)</f>
        <v/>
      </c>
      <c r="T1383" s="23">
        <f>IF(R1383="","",Q1383/R1383)</f>
        <v/>
      </c>
      <c r="U1383" s="24">
        <f>IF(SUMIFS('Daily NSE Equity Options'!$M:$M,'Daily NSE Equity Options'!$A:$A,$A1383)=0,"",SUMIFS('Daily NSE Equity Options'!$M:$M,'Daily NSE Equity Options'!$A:$A,$A1383))</f>
        <v/>
      </c>
      <c r="V1383" s="9">
        <f>IF(SUMIFS('Daily BSE Equity Options'!$M:$M,'Daily BSE Equity Options'!$A:$A,$A1383)=0,"",SUMIFS('Daily BSE Equity Options'!$M:$M,'Daily BSE Equity Options'!$A:$A,$A1383))</f>
        <v/>
      </c>
      <c r="W1383" s="9">
        <f>IF(OR(U1383="",V1383=""),"",U1383+V1383)</f>
        <v/>
      </c>
      <c r="X1383" s="25">
        <f>IF(W1383="","",U1383/W1383)</f>
        <v/>
      </c>
      <c r="Y1383" s="25">
        <f>IF(W1383="","",V1383/W1383)</f>
        <v/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19">
        <f>IF(G1384="","",E1384/G1384)</f>
        <v/>
      </c>
      <c r="I1384" s="19">
        <f>IF(G1384="","",F1384/G1384)</f>
        <v/>
      </c>
      <c r="J1384" s="26">
        <f>IFERROR(IF(OR(E1384="",INDEX(E:E,MATCH(DATE(YEAR($A1384)-1,MONTH($A1384),DAY($A1384)),$A:$A,0))=""),"",E1384/INDEX(E:E,MATCH(DATE(YEAR($A1384)-1,MONTH($A1384),DAY($A1384)),$A:$A,0))-1),"")</f>
        <v/>
      </c>
      <c r="K1384" s="19">
        <f>IFERROR(IF(OR(F1384="",INDEX(F:F,MATCH(DATE(YEAR($A1384)-1,MONTH($A1384),DAY($A1384)),$A:$A,0))=""),"",F1384/INDEX(F:F,MATCH(DATE(YEAR($A1384)-1,MONTH($A1384),DAY($A1384)),$A:$A,0))-1),"")</f>
        <v/>
      </c>
      <c r="L1384" s="19">
        <f>IFERROR(IF(OR(G1384="",INDEX(G:G,MATCH(DATE(YEAR($A1384)-1,MONTH($A1384),DAY($A1384)),$A:$A,0))=""),"",G1384/INDEX(G:G,MATCH(DATE(YEAR($A1384)-1,MONTH($A1384),DAY($A1384)),$A:$A,0))-1),"")</f>
        <v/>
      </c>
      <c r="M1384" s="19">
        <f>IF(OR(E1384="",E1383=""),"",E1384/E1383-1)</f>
        <v/>
      </c>
      <c r="N1384" s="19">
        <f>IF(OR(F1384="",F1383=""),"",F1384/F1383-1)</f>
        <v/>
      </c>
      <c r="O1384" s="19">
        <f>IF(OR(G1384="",G1383=""),"",G1384/G1383-1)</f>
        <v/>
      </c>
      <c r="P1384" s="22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IF(R1384="","",P1384/R1384)</f>
        <v/>
      </c>
      <c r="T1384" s="23">
        <f>IF(R1384="","",Q1384/R1384)</f>
        <v/>
      </c>
      <c r="U1384" s="24">
        <f>IF(SUMIFS('Daily NSE Equity Options'!$M:$M,'Daily NSE Equity Options'!$A:$A,$A1384)=0,"",SUMIFS('Daily NSE Equity Options'!$M:$M,'Daily NSE Equity Options'!$A:$A,$A1384))</f>
        <v/>
      </c>
      <c r="V1384" s="9">
        <f>IF(SUMIFS('Daily BSE Equity Options'!$M:$M,'Daily BSE Equity Options'!$A:$A,$A1384)=0,"",SUMIFS('Daily BSE Equity Options'!$M:$M,'Daily BSE Equity Options'!$A:$A,$A1384))</f>
        <v/>
      </c>
      <c r="W1384" s="9">
        <f>IF(OR(U1384="",V1384=""),"",U1384+V1384)</f>
        <v/>
      </c>
      <c r="X1384" s="25">
        <f>IF(W1384="","",U1384/W1384)</f>
        <v/>
      </c>
      <c r="Y1384" s="25">
        <f>IF(W1384="","",V1384/W1384)</f>
        <v/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19">
        <f>IF(G1385="","",E1385/G1385)</f>
        <v/>
      </c>
      <c r="I1385" s="19">
        <f>IF(G1385="","",F1385/G1385)</f>
        <v/>
      </c>
      <c r="J1385" s="26">
        <f>IFERROR(IF(OR(E1385="",INDEX(E:E,MATCH(DATE(YEAR($A1385)-1,MONTH($A1385),DAY($A1385)),$A:$A,0))=""),"",E1385/INDEX(E:E,MATCH(DATE(YEAR($A1385)-1,MONTH($A1385),DAY($A1385)),$A:$A,0))-1),"")</f>
        <v/>
      </c>
      <c r="K1385" s="19">
        <f>IFERROR(IF(OR(F1385="",INDEX(F:F,MATCH(DATE(YEAR($A1385)-1,MONTH($A1385),DAY($A1385)),$A:$A,0))=""),"",F1385/INDEX(F:F,MATCH(DATE(YEAR($A1385)-1,MONTH($A1385),DAY($A1385)),$A:$A,0))-1),"")</f>
        <v/>
      </c>
      <c r="L1385" s="19">
        <f>IFERROR(IF(OR(G1385="",INDEX(G:G,MATCH(DATE(YEAR($A1385)-1,MONTH($A1385),DAY($A1385)),$A:$A,0))=""),"",G1385/INDEX(G:G,MATCH(DATE(YEAR($A1385)-1,MONTH($A1385),DAY($A1385)),$A:$A,0))-1),"")</f>
        <v/>
      </c>
      <c r="M1385" s="19">
        <f>IF(OR(E1385="",E1384=""),"",E1385/E1384-1)</f>
        <v/>
      </c>
      <c r="N1385" s="19">
        <f>IF(OR(F1385="",F1384=""),"",F1385/F1384-1)</f>
        <v/>
      </c>
      <c r="O1385" s="19">
        <f>IF(OR(G1385="",G1384=""),"",G1385/G1384-1)</f>
        <v/>
      </c>
      <c r="P1385" s="22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IF(R1385="","",P1385/R1385)</f>
        <v/>
      </c>
      <c r="T1385" s="23">
        <f>IF(R1385="","",Q1385/R1385)</f>
        <v/>
      </c>
      <c r="U1385" s="24">
        <f>IF(SUMIFS('Daily NSE Equity Options'!$M:$M,'Daily NSE Equity Options'!$A:$A,$A1385)=0,"",SUMIFS('Daily NSE Equity Options'!$M:$M,'Daily NSE Equity Options'!$A:$A,$A1385))</f>
        <v/>
      </c>
      <c r="V1385" s="9">
        <f>IF(SUMIFS('Daily BSE Equity Options'!$M:$M,'Daily BSE Equity Options'!$A:$A,$A1385)=0,"",SUMIFS('Daily BSE Equity Options'!$M:$M,'Daily BSE Equity Options'!$A:$A,$A1385))</f>
        <v/>
      </c>
      <c r="W1385" s="9">
        <f>IF(OR(U1385="",V1385=""),"",U1385+V1385)</f>
        <v/>
      </c>
      <c r="X1385" s="25">
        <f>IF(W1385="","",U1385/W1385)</f>
        <v/>
      </c>
      <c r="Y1385" s="25">
        <f>IF(W1385="","",V1385/W1385)</f>
        <v/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19">
        <f>IF(G1386="","",E1386/G1386)</f>
        <v/>
      </c>
      <c r="I1386" s="19">
        <f>IF(G1386="","",F1386/G1386)</f>
        <v/>
      </c>
      <c r="J1386" s="26">
        <f>IFERROR(IF(OR(E1386="",INDEX(E:E,MATCH(DATE(YEAR($A1386)-1,MONTH($A1386),DAY($A1386)),$A:$A,0))=""),"",E1386/INDEX(E:E,MATCH(DATE(YEAR($A1386)-1,MONTH($A1386),DAY($A1386)),$A:$A,0))-1),"")</f>
        <v/>
      </c>
      <c r="K1386" s="19">
        <f>IFERROR(IF(OR(F1386="",INDEX(F:F,MATCH(DATE(YEAR($A1386)-1,MONTH($A1386),DAY($A1386)),$A:$A,0))=""),"",F1386/INDEX(F:F,MATCH(DATE(YEAR($A1386)-1,MONTH($A1386),DAY($A1386)),$A:$A,0))-1),"")</f>
        <v/>
      </c>
      <c r="L1386" s="19">
        <f>IFERROR(IF(OR(G1386="",INDEX(G:G,MATCH(DATE(YEAR($A1386)-1,MONTH($A1386),DAY($A1386)),$A:$A,0))=""),"",G1386/INDEX(G:G,MATCH(DATE(YEAR($A1386)-1,MONTH($A1386),DAY($A1386)),$A:$A,0))-1),"")</f>
        <v/>
      </c>
      <c r="M1386" s="19">
        <f>IF(OR(E1386="",E1385=""),"",E1386/E1385-1)</f>
        <v/>
      </c>
      <c r="N1386" s="19">
        <f>IF(OR(F1386="",F1385=""),"",F1386/F1385-1)</f>
        <v/>
      </c>
      <c r="O1386" s="19">
        <f>IF(OR(G1386="",G1385=""),"",G1386/G1385-1)</f>
        <v/>
      </c>
      <c r="P1386" s="22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IF(R1386="","",P1386/R1386)</f>
        <v/>
      </c>
      <c r="T1386" s="23">
        <f>IF(R1386="","",Q1386/R1386)</f>
        <v/>
      </c>
      <c r="U1386" s="24">
        <f>IF(SUMIFS('Daily NSE Equity Options'!$M:$M,'Daily NSE Equity Options'!$A:$A,$A1386)=0,"",SUMIFS('Daily NSE Equity Options'!$M:$M,'Daily NSE Equity Options'!$A:$A,$A1386))</f>
        <v/>
      </c>
      <c r="V1386" s="9">
        <f>IF(SUMIFS('Daily BSE Equity Options'!$M:$M,'Daily BSE Equity Options'!$A:$A,$A1386)=0,"",SUMIFS('Daily BSE Equity Options'!$M:$M,'Daily BSE Equity Options'!$A:$A,$A1386))</f>
        <v/>
      </c>
      <c r="W1386" s="9">
        <f>IF(OR(U1386="",V1386=""),"",U1386+V1386)</f>
        <v/>
      </c>
      <c r="X1386" s="25">
        <f>IF(W1386="","",U1386/W1386)</f>
        <v/>
      </c>
      <c r="Y1386" s="25">
        <f>IF(W1386="","",V1386/W1386)</f>
        <v/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19">
        <f>IF(G1387="","",E1387/G1387)</f>
        <v/>
      </c>
      <c r="I1387" s="19">
        <f>IF(G1387="","",F1387/G1387)</f>
        <v/>
      </c>
      <c r="J1387" s="26">
        <f>IFERROR(IF(OR(E1387="",INDEX(E:E,MATCH(DATE(YEAR($A1387)-1,MONTH($A1387),DAY($A1387)),$A:$A,0))=""),"",E1387/INDEX(E:E,MATCH(DATE(YEAR($A1387)-1,MONTH($A1387),DAY($A1387)),$A:$A,0))-1),"")</f>
        <v/>
      </c>
      <c r="K1387" s="19">
        <f>IFERROR(IF(OR(F1387="",INDEX(F:F,MATCH(DATE(YEAR($A1387)-1,MONTH($A1387),DAY($A1387)),$A:$A,0))=""),"",F1387/INDEX(F:F,MATCH(DATE(YEAR($A1387)-1,MONTH($A1387),DAY($A1387)),$A:$A,0))-1),"")</f>
        <v/>
      </c>
      <c r="L1387" s="19">
        <f>IFERROR(IF(OR(G1387="",INDEX(G:G,MATCH(DATE(YEAR($A1387)-1,MONTH($A1387),DAY($A1387)),$A:$A,0))=""),"",G1387/INDEX(G:G,MATCH(DATE(YEAR($A1387)-1,MONTH($A1387),DAY($A1387)),$A:$A,0))-1),"")</f>
        <v/>
      </c>
      <c r="M1387" s="19">
        <f>IF(OR(E1387="",E1386=""),"",E1387/E1386-1)</f>
        <v/>
      </c>
      <c r="N1387" s="19">
        <f>IF(OR(F1387="",F1386=""),"",F1387/F1386-1)</f>
        <v/>
      </c>
      <c r="O1387" s="19">
        <f>IF(OR(G1387="",G1386=""),"",G1387/G1386-1)</f>
        <v/>
      </c>
      <c r="P1387" s="22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IF(R1387="","",P1387/R1387)</f>
        <v/>
      </c>
      <c r="T1387" s="23">
        <f>IF(R1387="","",Q1387/R1387)</f>
        <v/>
      </c>
      <c r="U1387" s="24">
        <f>IF(SUMIFS('Daily NSE Equity Options'!$M:$M,'Daily NSE Equity Options'!$A:$A,$A1387)=0,"",SUMIFS('Daily NSE Equity Options'!$M:$M,'Daily NSE Equity Options'!$A:$A,$A1387))</f>
        <v/>
      </c>
      <c r="V1387" s="9">
        <f>IF(SUMIFS('Daily BSE Equity Options'!$M:$M,'Daily BSE Equity Options'!$A:$A,$A1387)=0,"",SUMIFS('Daily BSE Equity Options'!$M:$M,'Daily BSE Equity Options'!$A:$A,$A1387))</f>
        <v/>
      </c>
      <c r="W1387" s="9">
        <f>IF(OR(U1387="",V1387=""),"",U1387+V1387)</f>
        <v/>
      </c>
      <c r="X1387" s="25">
        <f>IF(W1387="","",U1387/W1387)</f>
        <v/>
      </c>
      <c r="Y1387" s="25">
        <f>IF(W1387="","",V1387/W1387)</f>
        <v/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19">
        <f>IF(G1388="","",E1388/G1388)</f>
        <v/>
      </c>
      <c r="I1388" s="19">
        <f>IF(G1388="","",F1388/G1388)</f>
        <v/>
      </c>
      <c r="J1388" s="26">
        <f>IFERROR(IF(OR(E1388="",INDEX(E:E,MATCH(DATE(YEAR($A1388)-1,MONTH($A1388),DAY($A1388)),$A:$A,0))=""),"",E1388/INDEX(E:E,MATCH(DATE(YEAR($A1388)-1,MONTH($A1388),DAY($A1388)),$A:$A,0))-1),"")</f>
        <v/>
      </c>
      <c r="K1388" s="19">
        <f>IFERROR(IF(OR(F1388="",INDEX(F:F,MATCH(DATE(YEAR($A1388)-1,MONTH($A1388),DAY($A1388)),$A:$A,0))=""),"",F1388/INDEX(F:F,MATCH(DATE(YEAR($A1388)-1,MONTH($A1388),DAY($A1388)),$A:$A,0))-1),"")</f>
        <v/>
      </c>
      <c r="L1388" s="19">
        <f>IFERROR(IF(OR(G1388="",INDEX(G:G,MATCH(DATE(YEAR($A1388)-1,MONTH($A1388),DAY($A1388)),$A:$A,0))=""),"",G1388/INDEX(G:G,MATCH(DATE(YEAR($A1388)-1,MONTH($A1388),DAY($A1388)),$A:$A,0))-1),"")</f>
        <v/>
      </c>
      <c r="M1388" s="19">
        <f>IF(OR(E1388="",E1387=""),"",E1388/E1387-1)</f>
        <v/>
      </c>
      <c r="N1388" s="19">
        <f>IF(OR(F1388="",F1387=""),"",F1388/F1387-1)</f>
        <v/>
      </c>
      <c r="O1388" s="19">
        <f>IF(OR(G1388="",G1387=""),"",G1388/G1387-1)</f>
        <v/>
      </c>
      <c r="P1388" s="22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IF(R1388="","",P1388/R1388)</f>
        <v/>
      </c>
      <c r="T1388" s="23">
        <f>IF(R1388="","",Q1388/R1388)</f>
        <v/>
      </c>
      <c r="U1388" s="24">
        <f>IF(SUMIFS('Daily NSE Equity Options'!$M:$M,'Daily NSE Equity Options'!$A:$A,$A1388)=0,"",SUMIFS('Daily NSE Equity Options'!$M:$M,'Daily NSE Equity Options'!$A:$A,$A1388))</f>
        <v/>
      </c>
      <c r="V1388" s="9">
        <f>IF(SUMIFS('Daily BSE Equity Options'!$M:$M,'Daily BSE Equity Options'!$A:$A,$A1388)=0,"",SUMIFS('Daily BSE Equity Options'!$M:$M,'Daily BSE Equity Options'!$A:$A,$A1388))</f>
        <v/>
      </c>
      <c r="W1388" s="9">
        <f>IF(OR(U1388="",V1388=""),"",U1388+V1388)</f>
        <v/>
      </c>
      <c r="X1388" s="25">
        <f>IF(W1388="","",U1388/W1388)</f>
        <v/>
      </c>
      <c r="Y1388" s="25">
        <f>IF(W1388="","",V1388/W1388)</f>
        <v/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19">
        <f>IF(G1389="","",E1389/G1389)</f>
        <v/>
      </c>
      <c r="I1389" s="19">
        <f>IF(G1389="","",F1389/G1389)</f>
        <v/>
      </c>
      <c r="J1389" s="26">
        <f>IFERROR(IF(OR(E1389="",INDEX(E:E,MATCH(DATE(YEAR($A1389)-1,MONTH($A1389),DAY($A1389)),$A:$A,0))=""),"",E1389/INDEX(E:E,MATCH(DATE(YEAR($A1389)-1,MONTH($A1389),DAY($A1389)),$A:$A,0))-1),"")</f>
        <v/>
      </c>
      <c r="K1389" s="19">
        <f>IFERROR(IF(OR(F1389="",INDEX(F:F,MATCH(DATE(YEAR($A1389)-1,MONTH($A1389),DAY($A1389)),$A:$A,0))=""),"",F1389/INDEX(F:F,MATCH(DATE(YEAR($A1389)-1,MONTH($A1389),DAY($A1389)),$A:$A,0))-1),"")</f>
        <v/>
      </c>
      <c r="L1389" s="19">
        <f>IFERROR(IF(OR(G1389="",INDEX(G:G,MATCH(DATE(YEAR($A1389)-1,MONTH($A1389),DAY($A1389)),$A:$A,0))=""),"",G1389/INDEX(G:G,MATCH(DATE(YEAR($A1389)-1,MONTH($A1389),DAY($A1389)),$A:$A,0))-1),"")</f>
        <v/>
      </c>
      <c r="M1389" s="19">
        <f>IF(OR(E1389="",E1388=""),"",E1389/E1388-1)</f>
        <v/>
      </c>
      <c r="N1389" s="19">
        <f>IF(OR(F1389="",F1388=""),"",F1389/F1388-1)</f>
        <v/>
      </c>
      <c r="O1389" s="19">
        <f>IF(OR(G1389="",G1388=""),"",G1389/G1388-1)</f>
        <v/>
      </c>
      <c r="P1389" s="22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IF(R1389="","",P1389/R1389)</f>
        <v/>
      </c>
      <c r="T1389" s="23">
        <f>IF(R1389="","",Q1389/R1389)</f>
        <v/>
      </c>
      <c r="U1389" s="24">
        <f>IF(SUMIFS('Daily NSE Equity Options'!$M:$M,'Daily NSE Equity Options'!$A:$A,$A1389)=0,"",SUMIFS('Daily NSE Equity Options'!$M:$M,'Daily NSE Equity Options'!$A:$A,$A1389))</f>
        <v/>
      </c>
      <c r="V1389" s="9">
        <f>IF(SUMIFS('Daily BSE Equity Options'!$M:$M,'Daily BSE Equity Options'!$A:$A,$A1389)=0,"",SUMIFS('Daily BSE Equity Options'!$M:$M,'Daily BSE Equity Options'!$A:$A,$A1389))</f>
        <v/>
      </c>
      <c r="W1389" s="9">
        <f>IF(OR(U1389="",V1389=""),"",U1389+V1389)</f>
        <v/>
      </c>
      <c r="X1389" s="25">
        <f>IF(W1389="","",U1389/W1389)</f>
        <v/>
      </c>
      <c r="Y1389" s="25">
        <f>IF(W1389="","",V1389/W1389)</f>
        <v/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19">
        <f>IF(G1390="","",E1390/G1390)</f>
        <v/>
      </c>
      <c r="I1390" s="19">
        <f>IF(G1390="","",F1390/G1390)</f>
        <v/>
      </c>
      <c r="J1390" s="26">
        <f>IFERROR(IF(OR(E1390="",INDEX(E:E,MATCH(DATE(YEAR($A1390)-1,MONTH($A1390),DAY($A1390)),$A:$A,0))=""),"",E1390/INDEX(E:E,MATCH(DATE(YEAR($A1390)-1,MONTH($A1390),DAY($A1390)),$A:$A,0))-1),"")</f>
        <v/>
      </c>
      <c r="K1390" s="19">
        <f>IFERROR(IF(OR(F1390="",INDEX(F:F,MATCH(DATE(YEAR($A1390)-1,MONTH($A1390),DAY($A1390)),$A:$A,0))=""),"",F1390/INDEX(F:F,MATCH(DATE(YEAR($A1390)-1,MONTH($A1390),DAY($A1390)),$A:$A,0))-1),"")</f>
        <v/>
      </c>
      <c r="L1390" s="19">
        <f>IFERROR(IF(OR(G1390="",INDEX(G:G,MATCH(DATE(YEAR($A1390)-1,MONTH($A1390),DAY($A1390)),$A:$A,0))=""),"",G1390/INDEX(G:G,MATCH(DATE(YEAR($A1390)-1,MONTH($A1390),DAY($A1390)),$A:$A,0))-1),"")</f>
        <v/>
      </c>
      <c r="M1390" s="19">
        <f>IF(OR(E1390="",E1389=""),"",E1390/E1389-1)</f>
        <v/>
      </c>
      <c r="N1390" s="19">
        <f>IF(OR(F1390="",F1389=""),"",F1390/F1389-1)</f>
        <v/>
      </c>
      <c r="O1390" s="19">
        <f>IF(OR(G1390="",G1389=""),"",G1390/G1389-1)</f>
        <v/>
      </c>
      <c r="P1390" s="22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IF(R1390="","",P1390/R1390)</f>
        <v/>
      </c>
      <c r="T1390" s="23">
        <f>IF(R1390="","",Q1390/R1390)</f>
        <v/>
      </c>
      <c r="U1390" s="24">
        <f>IF(SUMIFS('Daily NSE Equity Options'!$M:$M,'Daily NSE Equity Options'!$A:$A,$A1390)=0,"",SUMIFS('Daily NSE Equity Options'!$M:$M,'Daily NSE Equity Options'!$A:$A,$A1390))</f>
        <v/>
      </c>
      <c r="V1390" s="9">
        <f>IF(SUMIFS('Daily BSE Equity Options'!$M:$M,'Daily BSE Equity Options'!$A:$A,$A1390)=0,"",SUMIFS('Daily BSE Equity Options'!$M:$M,'Daily BSE Equity Options'!$A:$A,$A1390))</f>
        <v/>
      </c>
      <c r="W1390" s="9">
        <f>IF(OR(U1390="",V1390=""),"",U1390+V1390)</f>
        <v/>
      </c>
      <c r="X1390" s="25">
        <f>IF(W1390="","",U1390/W1390)</f>
        <v/>
      </c>
      <c r="Y1390" s="25">
        <f>IF(W1390="","",V1390/W1390)</f>
        <v/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19">
        <f>IF(G1391="","",E1391/G1391)</f>
        <v/>
      </c>
      <c r="I1391" s="19">
        <f>IF(G1391="","",F1391/G1391)</f>
        <v/>
      </c>
      <c r="J1391" s="26">
        <f>IFERROR(IF(OR(E1391="",INDEX(E:E,MATCH(DATE(YEAR($A1391)-1,MONTH($A1391),DAY($A1391)),$A:$A,0))=""),"",E1391/INDEX(E:E,MATCH(DATE(YEAR($A1391)-1,MONTH($A1391),DAY($A1391)),$A:$A,0))-1),"")</f>
        <v/>
      </c>
      <c r="K1391" s="19">
        <f>IFERROR(IF(OR(F1391="",INDEX(F:F,MATCH(DATE(YEAR($A1391)-1,MONTH($A1391),DAY($A1391)),$A:$A,0))=""),"",F1391/INDEX(F:F,MATCH(DATE(YEAR($A1391)-1,MONTH($A1391),DAY($A1391)),$A:$A,0))-1),"")</f>
        <v/>
      </c>
      <c r="L1391" s="19">
        <f>IFERROR(IF(OR(G1391="",INDEX(G:G,MATCH(DATE(YEAR($A1391)-1,MONTH($A1391),DAY($A1391)),$A:$A,0))=""),"",G1391/INDEX(G:G,MATCH(DATE(YEAR($A1391)-1,MONTH($A1391),DAY($A1391)),$A:$A,0))-1),"")</f>
        <v/>
      </c>
      <c r="M1391" s="19">
        <f>IF(OR(E1391="",E1390=""),"",E1391/E1390-1)</f>
        <v/>
      </c>
      <c r="N1391" s="19">
        <f>IF(OR(F1391="",F1390=""),"",F1391/F1390-1)</f>
        <v/>
      </c>
      <c r="O1391" s="19">
        <f>IF(OR(G1391="",G1390=""),"",G1391/G1390-1)</f>
        <v/>
      </c>
      <c r="P1391" s="22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IF(R1391="","",P1391/R1391)</f>
        <v/>
      </c>
      <c r="T1391" s="23">
        <f>IF(R1391="","",Q1391/R1391)</f>
        <v/>
      </c>
      <c r="U1391" s="24">
        <f>IF(SUMIFS('Daily NSE Equity Options'!$M:$M,'Daily NSE Equity Options'!$A:$A,$A1391)=0,"",SUMIFS('Daily NSE Equity Options'!$M:$M,'Daily NSE Equity Options'!$A:$A,$A1391))</f>
        <v/>
      </c>
      <c r="V1391" s="9">
        <f>IF(SUMIFS('Daily BSE Equity Options'!$M:$M,'Daily BSE Equity Options'!$A:$A,$A1391)=0,"",SUMIFS('Daily BSE Equity Options'!$M:$M,'Daily BSE Equity Options'!$A:$A,$A1391))</f>
        <v/>
      </c>
      <c r="W1391" s="9">
        <f>IF(OR(U1391="",V1391=""),"",U1391+V1391)</f>
        <v/>
      </c>
      <c r="X1391" s="25">
        <f>IF(W1391="","",U1391/W1391)</f>
        <v/>
      </c>
      <c r="Y1391" s="25">
        <f>IF(W1391="","",V1391/W1391)</f>
        <v/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19">
        <f>IF(G1392="","",E1392/G1392)</f>
        <v/>
      </c>
      <c r="I1392" s="19">
        <f>IF(G1392="","",F1392/G1392)</f>
        <v/>
      </c>
      <c r="J1392" s="26">
        <f>IFERROR(IF(OR(E1392="",INDEX(E:E,MATCH(DATE(YEAR($A1392)-1,MONTH($A1392),DAY($A1392)),$A:$A,0))=""),"",E1392/INDEX(E:E,MATCH(DATE(YEAR($A1392)-1,MONTH($A1392),DAY($A1392)),$A:$A,0))-1),"")</f>
        <v/>
      </c>
      <c r="K1392" s="19">
        <f>IFERROR(IF(OR(F1392="",INDEX(F:F,MATCH(DATE(YEAR($A1392)-1,MONTH($A1392),DAY($A1392)),$A:$A,0))=""),"",F1392/INDEX(F:F,MATCH(DATE(YEAR($A1392)-1,MONTH($A1392),DAY($A1392)),$A:$A,0))-1),"")</f>
        <v/>
      </c>
      <c r="L1392" s="19">
        <f>IFERROR(IF(OR(G1392="",INDEX(G:G,MATCH(DATE(YEAR($A1392)-1,MONTH($A1392),DAY($A1392)),$A:$A,0))=""),"",G1392/INDEX(G:G,MATCH(DATE(YEAR($A1392)-1,MONTH($A1392),DAY($A1392)),$A:$A,0))-1),"")</f>
        <v/>
      </c>
      <c r="M1392" s="19">
        <f>IF(OR(E1392="",E1391=""),"",E1392/E1391-1)</f>
        <v/>
      </c>
      <c r="N1392" s="19">
        <f>IF(OR(F1392="",F1391=""),"",F1392/F1391-1)</f>
        <v/>
      </c>
      <c r="O1392" s="19">
        <f>IF(OR(G1392="",G1391=""),"",G1392/G1391-1)</f>
        <v/>
      </c>
      <c r="P1392" s="22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IF(R1392="","",P1392/R1392)</f>
        <v/>
      </c>
      <c r="T1392" s="23">
        <f>IF(R1392="","",Q1392/R1392)</f>
        <v/>
      </c>
      <c r="U1392" s="24">
        <f>IF(SUMIFS('Daily NSE Equity Options'!$M:$M,'Daily NSE Equity Options'!$A:$A,$A1392)=0,"",SUMIFS('Daily NSE Equity Options'!$M:$M,'Daily NSE Equity Options'!$A:$A,$A1392))</f>
        <v/>
      </c>
      <c r="V1392" s="9">
        <f>IF(SUMIFS('Daily BSE Equity Options'!$M:$M,'Daily BSE Equity Options'!$A:$A,$A1392)=0,"",SUMIFS('Daily BSE Equity Options'!$M:$M,'Daily BSE Equity Options'!$A:$A,$A1392))</f>
        <v/>
      </c>
      <c r="W1392" s="9">
        <f>IF(OR(U1392="",V1392=""),"",U1392+V1392)</f>
        <v/>
      </c>
      <c r="X1392" s="25">
        <f>IF(W1392="","",U1392/W1392)</f>
        <v/>
      </c>
      <c r="Y1392" s="25">
        <f>IF(W1392="","",V1392/W1392)</f>
        <v/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19">
        <f>IF(G1393="","",E1393/G1393)</f>
        <v/>
      </c>
      <c r="I1393" s="19">
        <f>IF(G1393="","",F1393/G1393)</f>
        <v/>
      </c>
      <c r="J1393" s="26">
        <f>IFERROR(IF(OR(E1393="",INDEX(E:E,MATCH(DATE(YEAR($A1393)-1,MONTH($A1393),DAY($A1393)),$A:$A,0))=""),"",E1393/INDEX(E:E,MATCH(DATE(YEAR($A1393)-1,MONTH($A1393),DAY($A1393)),$A:$A,0))-1),"")</f>
        <v/>
      </c>
      <c r="K1393" s="19">
        <f>IFERROR(IF(OR(F1393="",INDEX(F:F,MATCH(DATE(YEAR($A1393)-1,MONTH($A1393),DAY($A1393)),$A:$A,0))=""),"",F1393/INDEX(F:F,MATCH(DATE(YEAR($A1393)-1,MONTH($A1393),DAY($A1393)),$A:$A,0))-1),"")</f>
        <v/>
      </c>
      <c r="L1393" s="19">
        <f>IFERROR(IF(OR(G1393="",INDEX(G:G,MATCH(DATE(YEAR($A1393)-1,MONTH($A1393),DAY($A1393)),$A:$A,0))=""),"",G1393/INDEX(G:G,MATCH(DATE(YEAR($A1393)-1,MONTH($A1393),DAY($A1393)),$A:$A,0))-1),"")</f>
        <v/>
      </c>
      <c r="M1393" s="19">
        <f>IF(OR(E1393="",E1392=""),"",E1393/E1392-1)</f>
        <v/>
      </c>
      <c r="N1393" s="19">
        <f>IF(OR(F1393="",F1392=""),"",F1393/F1392-1)</f>
        <v/>
      </c>
      <c r="O1393" s="19">
        <f>IF(OR(G1393="",G1392=""),"",G1393/G1392-1)</f>
        <v/>
      </c>
      <c r="P1393" s="22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IF(R1393="","",P1393/R1393)</f>
        <v/>
      </c>
      <c r="T1393" s="23">
        <f>IF(R1393="","",Q1393/R1393)</f>
        <v/>
      </c>
      <c r="U1393" s="24">
        <f>IF(SUMIFS('Daily NSE Equity Options'!$M:$M,'Daily NSE Equity Options'!$A:$A,$A1393)=0,"",SUMIFS('Daily NSE Equity Options'!$M:$M,'Daily NSE Equity Options'!$A:$A,$A1393))</f>
        <v/>
      </c>
      <c r="V1393" s="9">
        <f>IF(SUMIFS('Daily BSE Equity Options'!$M:$M,'Daily BSE Equity Options'!$A:$A,$A1393)=0,"",SUMIFS('Daily BSE Equity Options'!$M:$M,'Daily BSE Equity Options'!$A:$A,$A1393))</f>
        <v/>
      </c>
      <c r="W1393" s="9">
        <f>IF(OR(U1393="",V1393=""),"",U1393+V1393)</f>
        <v/>
      </c>
      <c r="X1393" s="25">
        <f>IF(W1393="","",U1393/W1393)</f>
        <v/>
      </c>
      <c r="Y1393" s="25">
        <f>IF(W1393="","",V1393/W1393)</f>
        <v/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19">
        <f>IF(G1394="","",E1394/G1394)</f>
        <v/>
      </c>
      <c r="I1394" s="19">
        <f>IF(G1394="","",F1394/G1394)</f>
        <v/>
      </c>
      <c r="J1394" s="26">
        <f>IFERROR(IF(OR(E1394="",INDEX(E:E,MATCH(DATE(YEAR($A1394)-1,MONTH($A1394),DAY($A1394)),$A:$A,0))=""),"",E1394/INDEX(E:E,MATCH(DATE(YEAR($A1394)-1,MONTH($A1394),DAY($A1394)),$A:$A,0))-1),"")</f>
        <v/>
      </c>
      <c r="K1394" s="19">
        <f>IFERROR(IF(OR(F1394="",INDEX(F:F,MATCH(DATE(YEAR($A1394)-1,MONTH($A1394),DAY($A1394)),$A:$A,0))=""),"",F1394/INDEX(F:F,MATCH(DATE(YEAR($A1394)-1,MONTH($A1394),DAY($A1394)),$A:$A,0))-1),"")</f>
        <v/>
      </c>
      <c r="L1394" s="19">
        <f>IFERROR(IF(OR(G1394="",INDEX(G:G,MATCH(DATE(YEAR($A1394)-1,MONTH($A1394),DAY($A1394)),$A:$A,0))=""),"",G1394/INDEX(G:G,MATCH(DATE(YEAR($A1394)-1,MONTH($A1394),DAY($A1394)),$A:$A,0))-1),"")</f>
        <v/>
      </c>
      <c r="M1394" s="19">
        <f>IF(OR(E1394="",E1393=""),"",E1394/E1393-1)</f>
        <v/>
      </c>
      <c r="N1394" s="19">
        <f>IF(OR(F1394="",F1393=""),"",F1394/F1393-1)</f>
        <v/>
      </c>
      <c r="O1394" s="19">
        <f>IF(OR(G1394="",G1393=""),"",G1394/G1393-1)</f>
        <v/>
      </c>
      <c r="P1394" s="22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IF(R1394="","",P1394/R1394)</f>
        <v/>
      </c>
      <c r="T1394" s="23">
        <f>IF(R1394="","",Q1394/R1394)</f>
        <v/>
      </c>
      <c r="U1394" s="24">
        <f>IF(SUMIFS('Daily NSE Equity Options'!$M:$M,'Daily NSE Equity Options'!$A:$A,$A1394)=0,"",SUMIFS('Daily NSE Equity Options'!$M:$M,'Daily NSE Equity Options'!$A:$A,$A1394))</f>
        <v/>
      </c>
      <c r="V1394" s="9">
        <f>IF(SUMIFS('Daily BSE Equity Options'!$M:$M,'Daily BSE Equity Options'!$A:$A,$A1394)=0,"",SUMIFS('Daily BSE Equity Options'!$M:$M,'Daily BSE Equity Options'!$A:$A,$A1394))</f>
        <v/>
      </c>
      <c r="W1394" s="9">
        <f>IF(OR(U1394="",V1394=""),"",U1394+V1394)</f>
        <v/>
      </c>
      <c r="X1394" s="25">
        <f>IF(W1394="","",U1394/W1394)</f>
        <v/>
      </c>
      <c r="Y1394" s="25">
        <f>IF(W1394="","",V1394/W1394)</f>
        <v/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19">
        <f>IF(G1395="","",E1395/G1395)</f>
        <v/>
      </c>
      <c r="I1395" s="19">
        <f>IF(G1395="","",F1395/G1395)</f>
        <v/>
      </c>
      <c r="J1395" s="26">
        <f>IFERROR(IF(OR(E1395="",INDEX(E:E,MATCH(DATE(YEAR($A1395)-1,MONTH($A1395),DAY($A1395)),$A:$A,0))=""),"",E1395/INDEX(E:E,MATCH(DATE(YEAR($A1395)-1,MONTH($A1395),DAY($A1395)),$A:$A,0))-1),"")</f>
        <v/>
      </c>
      <c r="K1395" s="19">
        <f>IFERROR(IF(OR(F1395="",INDEX(F:F,MATCH(DATE(YEAR($A1395)-1,MONTH($A1395),DAY($A1395)),$A:$A,0))=""),"",F1395/INDEX(F:F,MATCH(DATE(YEAR($A1395)-1,MONTH($A1395),DAY($A1395)),$A:$A,0))-1),"")</f>
        <v/>
      </c>
      <c r="L1395" s="19">
        <f>IFERROR(IF(OR(G1395="",INDEX(G:G,MATCH(DATE(YEAR($A1395)-1,MONTH($A1395),DAY($A1395)),$A:$A,0))=""),"",G1395/INDEX(G:G,MATCH(DATE(YEAR($A1395)-1,MONTH($A1395),DAY($A1395)),$A:$A,0))-1),"")</f>
        <v/>
      </c>
      <c r="M1395" s="19">
        <f>IF(OR(E1395="",E1394=""),"",E1395/E1394-1)</f>
        <v/>
      </c>
      <c r="N1395" s="19">
        <f>IF(OR(F1395="",F1394=""),"",F1395/F1394-1)</f>
        <v/>
      </c>
      <c r="O1395" s="19">
        <f>IF(OR(G1395="",G1394=""),"",G1395/G1394-1)</f>
        <v/>
      </c>
      <c r="P1395" s="22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IF(R1395="","",P1395/R1395)</f>
        <v/>
      </c>
      <c r="T1395" s="23">
        <f>IF(R1395="","",Q1395/R1395)</f>
        <v/>
      </c>
      <c r="U1395" s="24">
        <f>IF(SUMIFS('Daily NSE Equity Options'!$M:$M,'Daily NSE Equity Options'!$A:$A,$A1395)=0,"",SUMIFS('Daily NSE Equity Options'!$M:$M,'Daily NSE Equity Options'!$A:$A,$A1395))</f>
        <v/>
      </c>
      <c r="V1395" s="9">
        <f>IF(SUMIFS('Daily BSE Equity Options'!$M:$M,'Daily BSE Equity Options'!$A:$A,$A1395)=0,"",SUMIFS('Daily BSE Equity Options'!$M:$M,'Daily BSE Equity Options'!$A:$A,$A1395))</f>
        <v/>
      </c>
      <c r="W1395" s="9">
        <f>IF(OR(U1395="",V1395=""),"",U1395+V1395)</f>
        <v/>
      </c>
      <c r="X1395" s="25">
        <f>IF(W1395="","",U1395/W1395)</f>
        <v/>
      </c>
      <c r="Y1395" s="25">
        <f>IF(W1395="","",V1395/W1395)</f>
        <v/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19">
        <f>IF(G1396="","",E1396/G1396)</f>
        <v/>
      </c>
      <c r="I1396" s="19">
        <f>IF(G1396="","",F1396/G1396)</f>
        <v/>
      </c>
      <c r="J1396" s="26">
        <f>IFERROR(IF(OR(E1396="",INDEX(E:E,MATCH(DATE(YEAR($A1396)-1,MONTH($A1396),DAY($A1396)),$A:$A,0))=""),"",E1396/INDEX(E:E,MATCH(DATE(YEAR($A1396)-1,MONTH($A1396),DAY($A1396)),$A:$A,0))-1),"")</f>
        <v/>
      </c>
      <c r="K1396" s="19">
        <f>IFERROR(IF(OR(F1396="",INDEX(F:F,MATCH(DATE(YEAR($A1396)-1,MONTH($A1396),DAY($A1396)),$A:$A,0))=""),"",F1396/INDEX(F:F,MATCH(DATE(YEAR($A1396)-1,MONTH($A1396),DAY($A1396)),$A:$A,0))-1),"")</f>
        <v/>
      </c>
      <c r="L1396" s="19">
        <f>IFERROR(IF(OR(G1396="",INDEX(G:G,MATCH(DATE(YEAR($A1396)-1,MONTH($A1396),DAY($A1396)),$A:$A,0))=""),"",G1396/INDEX(G:G,MATCH(DATE(YEAR($A1396)-1,MONTH($A1396),DAY($A1396)),$A:$A,0))-1),"")</f>
        <v/>
      </c>
      <c r="M1396" s="19">
        <f>IF(OR(E1396="",E1395=""),"",E1396/E1395-1)</f>
        <v/>
      </c>
      <c r="N1396" s="19">
        <f>IF(OR(F1396="",F1395=""),"",F1396/F1395-1)</f>
        <v/>
      </c>
      <c r="O1396" s="19">
        <f>IF(OR(G1396="",G1395=""),"",G1396/G1395-1)</f>
        <v/>
      </c>
      <c r="P1396" s="22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IF(R1396="","",P1396/R1396)</f>
        <v/>
      </c>
      <c r="T1396" s="23">
        <f>IF(R1396="","",Q1396/R1396)</f>
        <v/>
      </c>
      <c r="U1396" s="24">
        <f>IF(SUMIFS('Daily NSE Equity Options'!$M:$M,'Daily NSE Equity Options'!$A:$A,$A1396)=0,"",SUMIFS('Daily NSE Equity Options'!$M:$M,'Daily NSE Equity Options'!$A:$A,$A1396))</f>
        <v/>
      </c>
      <c r="V1396" s="9">
        <f>IF(SUMIFS('Daily BSE Equity Options'!$M:$M,'Daily BSE Equity Options'!$A:$A,$A1396)=0,"",SUMIFS('Daily BSE Equity Options'!$M:$M,'Daily BSE Equity Options'!$A:$A,$A1396))</f>
        <v/>
      </c>
      <c r="W1396" s="9">
        <f>IF(OR(U1396="",V1396=""),"",U1396+V1396)</f>
        <v/>
      </c>
      <c r="X1396" s="25">
        <f>IF(W1396="","",U1396/W1396)</f>
        <v/>
      </c>
      <c r="Y1396" s="25">
        <f>IF(W1396="","",V1396/W1396)</f>
        <v/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19">
        <f>IF(G1397="","",E1397/G1397)</f>
        <v/>
      </c>
      <c r="I1397" s="19">
        <f>IF(G1397="","",F1397/G1397)</f>
        <v/>
      </c>
      <c r="J1397" s="26">
        <f>IFERROR(IF(OR(E1397="",INDEX(E:E,MATCH(DATE(YEAR($A1397)-1,MONTH($A1397),DAY($A1397)),$A:$A,0))=""),"",E1397/INDEX(E:E,MATCH(DATE(YEAR($A1397)-1,MONTH($A1397),DAY($A1397)),$A:$A,0))-1),"")</f>
        <v/>
      </c>
      <c r="K1397" s="19">
        <f>IFERROR(IF(OR(F1397="",INDEX(F:F,MATCH(DATE(YEAR($A1397)-1,MONTH($A1397),DAY($A1397)),$A:$A,0))=""),"",F1397/INDEX(F:F,MATCH(DATE(YEAR($A1397)-1,MONTH($A1397),DAY($A1397)),$A:$A,0))-1),"")</f>
        <v/>
      </c>
      <c r="L1397" s="19">
        <f>IFERROR(IF(OR(G1397="",INDEX(G:G,MATCH(DATE(YEAR($A1397)-1,MONTH($A1397),DAY($A1397)),$A:$A,0))=""),"",G1397/INDEX(G:G,MATCH(DATE(YEAR($A1397)-1,MONTH($A1397),DAY($A1397)),$A:$A,0))-1),"")</f>
        <v/>
      </c>
      <c r="M1397" s="19">
        <f>IF(OR(E1397="",E1396=""),"",E1397/E1396-1)</f>
        <v/>
      </c>
      <c r="N1397" s="19">
        <f>IF(OR(F1397="",F1396=""),"",F1397/F1396-1)</f>
        <v/>
      </c>
      <c r="O1397" s="19">
        <f>IF(OR(G1397="",G1396=""),"",G1397/G1396-1)</f>
        <v/>
      </c>
      <c r="P1397" s="22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IF(R1397="","",P1397/R1397)</f>
        <v/>
      </c>
      <c r="T1397" s="23">
        <f>IF(R1397="","",Q1397/R1397)</f>
        <v/>
      </c>
      <c r="U1397" s="24">
        <f>IF(SUMIFS('Daily NSE Equity Options'!$M:$M,'Daily NSE Equity Options'!$A:$A,$A1397)=0,"",SUMIFS('Daily NSE Equity Options'!$M:$M,'Daily NSE Equity Options'!$A:$A,$A1397))</f>
        <v/>
      </c>
      <c r="V1397" s="9">
        <f>IF(SUMIFS('Daily BSE Equity Options'!$M:$M,'Daily BSE Equity Options'!$A:$A,$A1397)=0,"",SUMIFS('Daily BSE Equity Options'!$M:$M,'Daily BSE Equity Options'!$A:$A,$A1397))</f>
        <v/>
      </c>
      <c r="W1397" s="9">
        <f>IF(OR(U1397="",V1397=""),"",U1397+V1397)</f>
        <v/>
      </c>
      <c r="X1397" s="25">
        <f>IF(W1397="","",U1397/W1397)</f>
        <v/>
      </c>
      <c r="Y1397" s="25">
        <f>IF(W1397="","",V1397/W1397)</f>
        <v/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19">
        <f>IF(G1398="","",E1398/G1398)</f>
        <v/>
      </c>
      <c r="I1398" s="19">
        <f>IF(G1398="","",F1398/G1398)</f>
        <v/>
      </c>
      <c r="J1398" s="26">
        <f>IFERROR(IF(OR(E1398="",INDEX(E:E,MATCH(DATE(YEAR($A1398)-1,MONTH($A1398),DAY($A1398)),$A:$A,0))=""),"",E1398/INDEX(E:E,MATCH(DATE(YEAR($A1398)-1,MONTH($A1398),DAY($A1398)),$A:$A,0))-1),"")</f>
        <v/>
      </c>
      <c r="K1398" s="19">
        <f>IFERROR(IF(OR(F1398="",INDEX(F:F,MATCH(DATE(YEAR($A1398)-1,MONTH($A1398),DAY($A1398)),$A:$A,0))=""),"",F1398/INDEX(F:F,MATCH(DATE(YEAR($A1398)-1,MONTH($A1398),DAY($A1398)),$A:$A,0))-1),"")</f>
        <v/>
      </c>
      <c r="L1398" s="19">
        <f>IFERROR(IF(OR(G1398="",INDEX(G:G,MATCH(DATE(YEAR($A1398)-1,MONTH($A1398),DAY($A1398)),$A:$A,0))=""),"",G1398/INDEX(G:G,MATCH(DATE(YEAR($A1398)-1,MONTH($A1398),DAY($A1398)),$A:$A,0))-1),"")</f>
        <v/>
      </c>
      <c r="M1398" s="19">
        <f>IF(OR(E1398="",E1397=""),"",E1398/E1397-1)</f>
        <v/>
      </c>
      <c r="N1398" s="19">
        <f>IF(OR(F1398="",F1397=""),"",F1398/F1397-1)</f>
        <v/>
      </c>
      <c r="O1398" s="19">
        <f>IF(OR(G1398="",G1397=""),"",G1398/G1397-1)</f>
        <v/>
      </c>
      <c r="P1398" s="22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IF(R1398="","",P1398/R1398)</f>
        <v/>
      </c>
      <c r="T1398" s="23">
        <f>IF(R1398="","",Q1398/R1398)</f>
        <v/>
      </c>
      <c r="U1398" s="24">
        <f>IF(SUMIFS('Daily NSE Equity Options'!$M:$M,'Daily NSE Equity Options'!$A:$A,$A1398)=0,"",SUMIFS('Daily NSE Equity Options'!$M:$M,'Daily NSE Equity Options'!$A:$A,$A1398))</f>
        <v/>
      </c>
      <c r="V1398" s="9">
        <f>IF(SUMIFS('Daily BSE Equity Options'!$M:$M,'Daily BSE Equity Options'!$A:$A,$A1398)=0,"",SUMIFS('Daily BSE Equity Options'!$M:$M,'Daily BSE Equity Options'!$A:$A,$A1398))</f>
        <v/>
      </c>
      <c r="W1398" s="9">
        <f>IF(OR(U1398="",V1398=""),"",U1398+V1398)</f>
        <v/>
      </c>
      <c r="X1398" s="25">
        <f>IF(W1398="","",U1398/W1398)</f>
        <v/>
      </c>
      <c r="Y1398" s="25">
        <f>IF(W1398="","",V1398/W1398)</f>
        <v/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19">
        <f>IF(G1399="","",E1399/G1399)</f>
        <v/>
      </c>
      <c r="I1399" s="19">
        <f>IF(G1399="","",F1399/G1399)</f>
        <v/>
      </c>
      <c r="J1399" s="26">
        <f>IFERROR(IF(OR(E1399="",INDEX(E:E,MATCH(DATE(YEAR($A1399)-1,MONTH($A1399),DAY($A1399)),$A:$A,0))=""),"",E1399/INDEX(E:E,MATCH(DATE(YEAR($A1399)-1,MONTH($A1399),DAY($A1399)),$A:$A,0))-1),"")</f>
        <v/>
      </c>
      <c r="K1399" s="19">
        <f>IFERROR(IF(OR(F1399="",INDEX(F:F,MATCH(DATE(YEAR($A1399)-1,MONTH($A1399),DAY($A1399)),$A:$A,0))=""),"",F1399/INDEX(F:F,MATCH(DATE(YEAR($A1399)-1,MONTH($A1399),DAY($A1399)),$A:$A,0))-1),"")</f>
        <v/>
      </c>
      <c r="L1399" s="19">
        <f>IFERROR(IF(OR(G1399="",INDEX(G:G,MATCH(DATE(YEAR($A1399)-1,MONTH($A1399),DAY($A1399)),$A:$A,0))=""),"",G1399/INDEX(G:G,MATCH(DATE(YEAR($A1399)-1,MONTH($A1399),DAY($A1399)),$A:$A,0))-1),"")</f>
        <v/>
      </c>
      <c r="M1399" s="19">
        <f>IF(OR(E1399="",E1398=""),"",E1399/E1398-1)</f>
        <v/>
      </c>
      <c r="N1399" s="19">
        <f>IF(OR(F1399="",F1398=""),"",F1399/F1398-1)</f>
        <v/>
      </c>
      <c r="O1399" s="19">
        <f>IF(OR(G1399="",G1398=""),"",G1399/G1398-1)</f>
        <v/>
      </c>
      <c r="P1399" s="22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IF(R1399="","",P1399/R1399)</f>
        <v/>
      </c>
      <c r="T1399" s="23">
        <f>IF(R1399="","",Q1399/R1399)</f>
        <v/>
      </c>
      <c r="U1399" s="24">
        <f>IF(SUMIFS('Daily NSE Equity Options'!$M:$M,'Daily NSE Equity Options'!$A:$A,$A1399)=0,"",SUMIFS('Daily NSE Equity Options'!$M:$M,'Daily NSE Equity Options'!$A:$A,$A1399))</f>
        <v/>
      </c>
      <c r="V1399" s="9">
        <f>IF(SUMIFS('Daily BSE Equity Options'!$M:$M,'Daily BSE Equity Options'!$A:$A,$A1399)=0,"",SUMIFS('Daily BSE Equity Options'!$M:$M,'Daily BSE Equity Options'!$A:$A,$A1399))</f>
        <v/>
      </c>
      <c r="W1399" s="9">
        <f>IF(OR(U1399="",V1399=""),"",U1399+V1399)</f>
        <v/>
      </c>
      <c r="X1399" s="25">
        <f>IF(W1399="","",U1399/W1399)</f>
        <v/>
      </c>
      <c r="Y1399" s="25">
        <f>IF(W1399="","",V1399/W1399)</f>
        <v/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19">
        <f>IF(G1400="","",E1400/G1400)</f>
        <v/>
      </c>
      <c r="I1400" s="19">
        <f>IF(G1400="","",F1400/G1400)</f>
        <v/>
      </c>
      <c r="J1400" s="26">
        <f>IFERROR(IF(OR(E1400="",INDEX(E:E,MATCH(DATE(YEAR($A1400)-1,MONTH($A1400),DAY($A1400)),$A:$A,0))=""),"",E1400/INDEX(E:E,MATCH(DATE(YEAR($A1400)-1,MONTH($A1400),DAY($A1400)),$A:$A,0))-1),"")</f>
        <v/>
      </c>
      <c r="K1400" s="19">
        <f>IFERROR(IF(OR(F1400="",INDEX(F:F,MATCH(DATE(YEAR($A1400)-1,MONTH($A1400),DAY($A1400)),$A:$A,0))=""),"",F1400/INDEX(F:F,MATCH(DATE(YEAR($A1400)-1,MONTH($A1400),DAY($A1400)),$A:$A,0))-1),"")</f>
        <v/>
      </c>
      <c r="L1400" s="19">
        <f>IFERROR(IF(OR(G1400="",INDEX(G:G,MATCH(DATE(YEAR($A1400)-1,MONTH($A1400),DAY($A1400)),$A:$A,0))=""),"",G1400/INDEX(G:G,MATCH(DATE(YEAR($A1400)-1,MONTH($A1400),DAY($A1400)),$A:$A,0))-1),"")</f>
        <v/>
      </c>
      <c r="M1400" s="19">
        <f>IF(OR(E1400="",E1399=""),"",E1400/E1399-1)</f>
        <v/>
      </c>
      <c r="N1400" s="19">
        <f>IF(OR(F1400="",F1399=""),"",F1400/F1399-1)</f>
        <v/>
      </c>
      <c r="O1400" s="19">
        <f>IF(OR(G1400="",G1399=""),"",G1400/G1399-1)</f>
        <v/>
      </c>
      <c r="P1400" s="22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IF(R1400="","",P1400/R1400)</f>
        <v/>
      </c>
      <c r="T1400" s="23">
        <f>IF(R1400="","",Q1400/R1400)</f>
        <v/>
      </c>
      <c r="U1400" s="24">
        <f>IF(SUMIFS('Daily NSE Equity Options'!$M:$M,'Daily NSE Equity Options'!$A:$A,$A1400)=0,"",SUMIFS('Daily NSE Equity Options'!$M:$M,'Daily NSE Equity Options'!$A:$A,$A1400))</f>
        <v/>
      </c>
      <c r="V1400" s="9">
        <f>IF(SUMIFS('Daily BSE Equity Options'!$M:$M,'Daily BSE Equity Options'!$A:$A,$A1400)=0,"",SUMIFS('Daily BSE Equity Options'!$M:$M,'Daily BSE Equity Options'!$A:$A,$A1400))</f>
        <v/>
      </c>
      <c r="W1400" s="9">
        <f>IF(OR(U1400="",V1400=""),"",U1400+V1400)</f>
        <v/>
      </c>
      <c r="X1400" s="25">
        <f>IF(W1400="","",U1400/W1400)</f>
        <v/>
      </c>
      <c r="Y1400" s="25">
        <f>IF(W1400="","",V1400/W1400)</f>
        <v/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19">
        <f>IF(G1401="","",E1401/G1401)</f>
        <v/>
      </c>
      <c r="I1401" s="19">
        <f>IF(G1401="","",F1401/G1401)</f>
        <v/>
      </c>
      <c r="J1401" s="26">
        <f>IFERROR(IF(OR(E1401="",INDEX(E:E,MATCH(DATE(YEAR($A1401)-1,MONTH($A1401),DAY($A1401)),$A:$A,0))=""),"",E1401/INDEX(E:E,MATCH(DATE(YEAR($A1401)-1,MONTH($A1401),DAY($A1401)),$A:$A,0))-1),"")</f>
        <v/>
      </c>
      <c r="K1401" s="19">
        <f>IFERROR(IF(OR(F1401="",INDEX(F:F,MATCH(DATE(YEAR($A1401)-1,MONTH($A1401),DAY($A1401)),$A:$A,0))=""),"",F1401/INDEX(F:F,MATCH(DATE(YEAR($A1401)-1,MONTH($A1401),DAY($A1401)),$A:$A,0))-1),"")</f>
        <v/>
      </c>
      <c r="L1401" s="19">
        <f>IFERROR(IF(OR(G1401="",INDEX(G:G,MATCH(DATE(YEAR($A1401)-1,MONTH($A1401),DAY($A1401)),$A:$A,0))=""),"",G1401/INDEX(G:G,MATCH(DATE(YEAR($A1401)-1,MONTH($A1401),DAY($A1401)),$A:$A,0))-1),"")</f>
        <v/>
      </c>
      <c r="M1401" s="19">
        <f>IF(OR(E1401="",E1400=""),"",E1401/E1400-1)</f>
        <v/>
      </c>
      <c r="N1401" s="19">
        <f>IF(OR(F1401="",F1400=""),"",F1401/F1400-1)</f>
        <v/>
      </c>
      <c r="O1401" s="19">
        <f>IF(OR(G1401="",G1400=""),"",G1401/G1400-1)</f>
        <v/>
      </c>
      <c r="P1401" s="22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IF(R1401="","",P1401/R1401)</f>
        <v/>
      </c>
      <c r="T1401" s="23">
        <f>IF(R1401="","",Q1401/R1401)</f>
        <v/>
      </c>
      <c r="U1401" s="24">
        <f>IF(SUMIFS('Daily NSE Equity Options'!$M:$M,'Daily NSE Equity Options'!$A:$A,$A1401)=0,"",SUMIFS('Daily NSE Equity Options'!$M:$M,'Daily NSE Equity Options'!$A:$A,$A1401))</f>
        <v/>
      </c>
      <c r="V1401" s="9">
        <f>IF(SUMIFS('Daily BSE Equity Options'!$M:$M,'Daily BSE Equity Options'!$A:$A,$A1401)=0,"",SUMIFS('Daily BSE Equity Options'!$M:$M,'Daily BSE Equity Options'!$A:$A,$A1401))</f>
        <v/>
      </c>
      <c r="W1401" s="9">
        <f>IF(OR(U1401="",V1401=""),"",U1401+V1401)</f>
        <v/>
      </c>
      <c r="X1401" s="25">
        <f>IF(W1401="","",U1401/W1401)</f>
        <v/>
      </c>
      <c r="Y1401" s="25">
        <f>IF(W1401="","",V1401/W1401)</f>
        <v/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19">
        <f>IF(G1402="","",E1402/G1402)</f>
        <v/>
      </c>
      <c r="I1402" s="19">
        <f>IF(G1402="","",F1402/G1402)</f>
        <v/>
      </c>
      <c r="J1402" s="26">
        <f>IFERROR(IF(OR(E1402="",INDEX(E:E,MATCH(DATE(YEAR($A1402)-1,MONTH($A1402),DAY($A1402)),$A:$A,0))=""),"",E1402/INDEX(E:E,MATCH(DATE(YEAR($A1402)-1,MONTH($A1402),DAY($A1402)),$A:$A,0))-1),"")</f>
        <v/>
      </c>
      <c r="K1402" s="19">
        <f>IFERROR(IF(OR(F1402="",INDEX(F:F,MATCH(DATE(YEAR($A1402)-1,MONTH($A1402),DAY($A1402)),$A:$A,0))=""),"",F1402/INDEX(F:F,MATCH(DATE(YEAR($A1402)-1,MONTH($A1402),DAY($A1402)),$A:$A,0))-1),"")</f>
        <v/>
      </c>
      <c r="L1402" s="19">
        <f>IFERROR(IF(OR(G1402="",INDEX(G:G,MATCH(DATE(YEAR($A1402)-1,MONTH($A1402),DAY($A1402)),$A:$A,0))=""),"",G1402/INDEX(G:G,MATCH(DATE(YEAR($A1402)-1,MONTH($A1402),DAY($A1402)),$A:$A,0))-1),"")</f>
        <v/>
      </c>
      <c r="M1402" s="19">
        <f>IF(OR(E1402="",E1401=""),"",E1402/E1401-1)</f>
        <v/>
      </c>
      <c r="N1402" s="19">
        <f>IF(OR(F1402="",F1401=""),"",F1402/F1401-1)</f>
        <v/>
      </c>
      <c r="O1402" s="19">
        <f>IF(OR(G1402="",G1401=""),"",G1402/G1401-1)</f>
        <v/>
      </c>
      <c r="P1402" s="22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IF(R1402="","",P1402/R1402)</f>
        <v/>
      </c>
      <c r="T1402" s="23">
        <f>IF(R1402="","",Q1402/R1402)</f>
        <v/>
      </c>
      <c r="U1402" s="24">
        <f>IF(SUMIFS('Daily NSE Equity Options'!$M:$M,'Daily NSE Equity Options'!$A:$A,$A1402)=0,"",SUMIFS('Daily NSE Equity Options'!$M:$M,'Daily NSE Equity Options'!$A:$A,$A1402))</f>
        <v/>
      </c>
      <c r="V1402" s="9">
        <f>IF(SUMIFS('Daily BSE Equity Options'!$M:$M,'Daily BSE Equity Options'!$A:$A,$A1402)=0,"",SUMIFS('Daily BSE Equity Options'!$M:$M,'Daily BSE Equity Options'!$A:$A,$A1402))</f>
        <v/>
      </c>
      <c r="W1402" s="9">
        <f>IF(OR(U1402="",V1402=""),"",U1402+V1402)</f>
        <v/>
      </c>
      <c r="X1402" s="25">
        <f>IF(W1402="","",U1402/W1402)</f>
        <v/>
      </c>
      <c r="Y1402" s="25">
        <f>IF(W1402="","",V1402/W1402)</f>
        <v/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19">
        <f>IF(G1403="","",E1403/G1403)</f>
        <v/>
      </c>
      <c r="I1403" s="19">
        <f>IF(G1403="","",F1403/G1403)</f>
        <v/>
      </c>
      <c r="J1403" s="26">
        <f>IFERROR(IF(OR(E1403="",INDEX(E:E,MATCH(DATE(YEAR($A1403)-1,MONTH($A1403),DAY($A1403)),$A:$A,0))=""),"",E1403/INDEX(E:E,MATCH(DATE(YEAR($A1403)-1,MONTH($A1403),DAY($A1403)),$A:$A,0))-1),"")</f>
        <v/>
      </c>
      <c r="K1403" s="19">
        <f>IFERROR(IF(OR(F1403="",INDEX(F:F,MATCH(DATE(YEAR($A1403)-1,MONTH($A1403),DAY($A1403)),$A:$A,0))=""),"",F1403/INDEX(F:F,MATCH(DATE(YEAR($A1403)-1,MONTH($A1403),DAY($A1403)),$A:$A,0))-1),"")</f>
        <v/>
      </c>
      <c r="L1403" s="19">
        <f>IFERROR(IF(OR(G1403="",INDEX(G:G,MATCH(DATE(YEAR($A1403)-1,MONTH($A1403),DAY($A1403)),$A:$A,0))=""),"",G1403/INDEX(G:G,MATCH(DATE(YEAR($A1403)-1,MONTH($A1403),DAY($A1403)),$A:$A,0))-1),"")</f>
        <v/>
      </c>
      <c r="M1403" s="19">
        <f>IF(OR(E1403="",E1402=""),"",E1403/E1402-1)</f>
        <v/>
      </c>
      <c r="N1403" s="19">
        <f>IF(OR(F1403="",F1402=""),"",F1403/F1402-1)</f>
        <v/>
      </c>
      <c r="O1403" s="19">
        <f>IF(OR(G1403="",G1402=""),"",G1403/G1402-1)</f>
        <v/>
      </c>
      <c r="P1403" s="22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IF(R1403="","",P1403/R1403)</f>
        <v/>
      </c>
      <c r="T1403" s="23">
        <f>IF(R1403="","",Q1403/R1403)</f>
        <v/>
      </c>
      <c r="U1403" s="24">
        <f>IF(SUMIFS('Daily NSE Equity Options'!$M:$M,'Daily NSE Equity Options'!$A:$A,$A1403)=0,"",SUMIFS('Daily NSE Equity Options'!$M:$M,'Daily NSE Equity Options'!$A:$A,$A1403))</f>
        <v/>
      </c>
      <c r="V1403" s="9">
        <f>IF(SUMIFS('Daily BSE Equity Options'!$M:$M,'Daily BSE Equity Options'!$A:$A,$A1403)=0,"",SUMIFS('Daily BSE Equity Options'!$M:$M,'Daily BSE Equity Options'!$A:$A,$A1403))</f>
        <v/>
      </c>
      <c r="W1403" s="9">
        <f>IF(OR(U1403="",V1403=""),"",U1403+V1403)</f>
        <v/>
      </c>
      <c r="X1403" s="25">
        <f>IF(W1403="","",U1403/W1403)</f>
        <v/>
      </c>
      <c r="Y1403" s="25">
        <f>IF(W1403="","",V1403/W1403)</f>
        <v/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19">
        <f>IF(G1404="","",E1404/G1404)</f>
        <v/>
      </c>
      <c r="I1404" s="19">
        <f>IF(G1404="","",F1404/G1404)</f>
        <v/>
      </c>
      <c r="J1404" s="26">
        <f>IFERROR(IF(OR(E1404="",INDEX(E:E,MATCH(DATE(YEAR($A1404)-1,MONTH($A1404),DAY($A1404)),$A:$A,0))=""),"",E1404/INDEX(E:E,MATCH(DATE(YEAR($A1404)-1,MONTH($A1404),DAY($A1404)),$A:$A,0))-1),"")</f>
        <v/>
      </c>
      <c r="K1404" s="19">
        <f>IFERROR(IF(OR(F1404="",INDEX(F:F,MATCH(DATE(YEAR($A1404)-1,MONTH($A1404),DAY($A1404)),$A:$A,0))=""),"",F1404/INDEX(F:F,MATCH(DATE(YEAR($A1404)-1,MONTH($A1404),DAY($A1404)),$A:$A,0))-1),"")</f>
        <v/>
      </c>
      <c r="L1404" s="19">
        <f>IFERROR(IF(OR(G1404="",INDEX(G:G,MATCH(DATE(YEAR($A1404)-1,MONTH($A1404),DAY($A1404)),$A:$A,0))=""),"",G1404/INDEX(G:G,MATCH(DATE(YEAR($A1404)-1,MONTH($A1404),DAY($A1404)),$A:$A,0))-1),"")</f>
        <v/>
      </c>
      <c r="M1404" s="19">
        <f>IF(OR(E1404="",E1403=""),"",E1404/E1403-1)</f>
        <v/>
      </c>
      <c r="N1404" s="19">
        <f>IF(OR(F1404="",F1403=""),"",F1404/F1403-1)</f>
        <v/>
      </c>
      <c r="O1404" s="19">
        <f>IF(OR(G1404="",G1403=""),"",G1404/G1403-1)</f>
        <v/>
      </c>
      <c r="P1404" s="22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IF(R1404="","",P1404/R1404)</f>
        <v/>
      </c>
      <c r="T1404" s="23">
        <f>IF(R1404="","",Q1404/R1404)</f>
        <v/>
      </c>
      <c r="U1404" s="24">
        <f>IF(SUMIFS('Daily NSE Equity Options'!$M:$M,'Daily NSE Equity Options'!$A:$A,$A1404)=0,"",SUMIFS('Daily NSE Equity Options'!$M:$M,'Daily NSE Equity Options'!$A:$A,$A1404))</f>
        <v/>
      </c>
      <c r="V1404" s="9">
        <f>IF(SUMIFS('Daily BSE Equity Options'!$M:$M,'Daily BSE Equity Options'!$A:$A,$A1404)=0,"",SUMIFS('Daily BSE Equity Options'!$M:$M,'Daily BSE Equity Options'!$A:$A,$A1404))</f>
        <v/>
      </c>
      <c r="W1404" s="9">
        <f>IF(OR(U1404="",V1404=""),"",U1404+V1404)</f>
        <v/>
      </c>
      <c r="X1404" s="25">
        <f>IF(W1404="","",U1404/W1404)</f>
        <v/>
      </c>
      <c r="Y1404" s="25">
        <f>IF(W1404="","",V1404/W1404)</f>
        <v/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19">
        <f>IF(G1405="","",E1405/G1405)</f>
        <v/>
      </c>
      <c r="I1405" s="19">
        <f>IF(G1405="","",F1405/G1405)</f>
        <v/>
      </c>
      <c r="J1405" s="26">
        <f>IFERROR(IF(OR(E1405="",INDEX(E:E,MATCH(DATE(YEAR($A1405)-1,MONTH($A1405),DAY($A1405)),$A:$A,0))=""),"",E1405/INDEX(E:E,MATCH(DATE(YEAR($A1405)-1,MONTH($A1405),DAY($A1405)),$A:$A,0))-1),"")</f>
        <v/>
      </c>
      <c r="K1405" s="19">
        <f>IFERROR(IF(OR(F1405="",INDEX(F:F,MATCH(DATE(YEAR($A1405)-1,MONTH($A1405),DAY($A1405)),$A:$A,0))=""),"",F1405/INDEX(F:F,MATCH(DATE(YEAR($A1405)-1,MONTH($A1405),DAY($A1405)),$A:$A,0))-1),"")</f>
        <v/>
      </c>
      <c r="L1405" s="19">
        <f>IFERROR(IF(OR(G1405="",INDEX(G:G,MATCH(DATE(YEAR($A1405)-1,MONTH($A1405),DAY($A1405)),$A:$A,0))=""),"",G1405/INDEX(G:G,MATCH(DATE(YEAR($A1405)-1,MONTH($A1405),DAY($A1405)),$A:$A,0))-1),"")</f>
        <v/>
      </c>
      <c r="M1405" s="19">
        <f>IF(OR(E1405="",E1404=""),"",E1405/E1404-1)</f>
        <v/>
      </c>
      <c r="N1405" s="19">
        <f>IF(OR(F1405="",F1404=""),"",F1405/F1404-1)</f>
        <v/>
      </c>
      <c r="O1405" s="19">
        <f>IF(OR(G1405="",G1404=""),"",G1405/G1404-1)</f>
        <v/>
      </c>
      <c r="P1405" s="22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IF(R1405="","",P1405/R1405)</f>
        <v/>
      </c>
      <c r="T1405" s="23">
        <f>IF(R1405="","",Q1405/R1405)</f>
        <v/>
      </c>
      <c r="U1405" s="24">
        <f>IF(SUMIFS('Daily NSE Equity Options'!$M:$M,'Daily NSE Equity Options'!$A:$A,$A1405)=0,"",SUMIFS('Daily NSE Equity Options'!$M:$M,'Daily NSE Equity Options'!$A:$A,$A1405))</f>
        <v/>
      </c>
      <c r="V1405" s="9">
        <f>IF(SUMIFS('Daily BSE Equity Options'!$M:$M,'Daily BSE Equity Options'!$A:$A,$A1405)=0,"",SUMIFS('Daily BSE Equity Options'!$M:$M,'Daily BSE Equity Options'!$A:$A,$A1405))</f>
        <v/>
      </c>
      <c r="W1405" s="9">
        <f>IF(OR(U1405="",V1405=""),"",U1405+V1405)</f>
        <v/>
      </c>
      <c r="X1405" s="25">
        <f>IF(W1405="","",U1405/W1405)</f>
        <v/>
      </c>
      <c r="Y1405" s="25">
        <f>IF(W1405="","",V1405/W1405)</f>
        <v/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19">
        <f>IF(G1406="","",E1406/G1406)</f>
        <v/>
      </c>
      <c r="I1406" s="19">
        <f>IF(G1406="","",F1406/G1406)</f>
        <v/>
      </c>
      <c r="J1406" s="26">
        <f>IFERROR(IF(OR(E1406="",INDEX(E:E,MATCH(DATE(YEAR($A1406)-1,MONTH($A1406),DAY($A1406)),$A:$A,0))=""),"",E1406/INDEX(E:E,MATCH(DATE(YEAR($A1406)-1,MONTH($A1406),DAY($A1406)),$A:$A,0))-1),"")</f>
        <v/>
      </c>
      <c r="K1406" s="19">
        <f>IFERROR(IF(OR(F1406="",INDEX(F:F,MATCH(DATE(YEAR($A1406)-1,MONTH($A1406),DAY($A1406)),$A:$A,0))=""),"",F1406/INDEX(F:F,MATCH(DATE(YEAR($A1406)-1,MONTH($A1406),DAY($A1406)),$A:$A,0))-1),"")</f>
        <v/>
      </c>
      <c r="L1406" s="19">
        <f>IFERROR(IF(OR(G1406="",INDEX(G:G,MATCH(DATE(YEAR($A1406)-1,MONTH($A1406),DAY($A1406)),$A:$A,0))=""),"",G1406/INDEX(G:G,MATCH(DATE(YEAR($A1406)-1,MONTH($A1406),DAY($A1406)),$A:$A,0))-1),"")</f>
        <v/>
      </c>
      <c r="M1406" s="19">
        <f>IF(OR(E1406="",E1405=""),"",E1406/E1405-1)</f>
        <v/>
      </c>
      <c r="N1406" s="19">
        <f>IF(OR(F1406="",F1405=""),"",F1406/F1405-1)</f>
        <v/>
      </c>
      <c r="O1406" s="19">
        <f>IF(OR(G1406="",G1405=""),"",G1406/G1405-1)</f>
        <v/>
      </c>
      <c r="P1406" s="22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IF(R1406="","",P1406/R1406)</f>
        <v/>
      </c>
      <c r="T1406" s="23">
        <f>IF(R1406="","",Q1406/R1406)</f>
        <v/>
      </c>
      <c r="U1406" s="24">
        <f>IF(SUMIFS('Daily NSE Equity Options'!$M:$M,'Daily NSE Equity Options'!$A:$A,$A1406)=0,"",SUMIFS('Daily NSE Equity Options'!$M:$M,'Daily NSE Equity Options'!$A:$A,$A1406))</f>
        <v/>
      </c>
      <c r="V1406" s="9">
        <f>IF(SUMIFS('Daily BSE Equity Options'!$M:$M,'Daily BSE Equity Options'!$A:$A,$A1406)=0,"",SUMIFS('Daily BSE Equity Options'!$M:$M,'Daily BSE Equity Options'!$A:$A,$A1406))</f>
        <v/>
      </c>
      <c r="W1406" s="9">
        <f>IF(OR(U1406="",V1406=""),"",U1406+V1406)</f>
        <v/>
      </c>
      <c r="X1406" s="25">
        <f>IF(W1406="","",U1406/W1406)</f>
        <v/>
      </c>
      <c r="Y1406" s="25">
        <f>IF(W1406="","",V1406/W1406)</f>
        <v/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19">
        <f>IF(G1407="","",E1407/G1407)</f>
        <v/>
      </c>
      <c r="I1407" s="19">
        <f>IF(G1407="","",F1407/G1407)</f>
        <v/>
      </c>
      <c r="J1407" s="26">
        <f>IFERROR(IF(OR(E1407="",INDEX(E:E,MATCH(DATE(YEAR($A1407)-1,MONTH($A1407),DAY($A1407)),$A:$A,0))=""),"",E1407/INDEX(E:E,MATCH(DATE(YEAR($A1407)-1,MONTH($A1407),DAY($A1407)),$A:$A,0))-1),"")</f>
        <v/>
      </c>
      <c r="K1407" s="19">
        <f>IFERROR(IF(OR(F1407="",INDEX(F:F,MATCH(DATE(YEAR($A1407)-1,MONTH($A1407),DAY($A1407)),$A:$A,0))=""),"",F1407/INDEX(F:F,MATCH(DATE(YEAR($A1407)-1,MONTH($A1407),DAY($A1407)),$A:$A,0))-1),"")</f>
        <v/>
      </c>
      <c r="L1407" s="19">
        <f>IFERROR(IF(OR(G1407="",INDEX(G:G,MATCH(DATE(YEAR($A1407)-1,MONTH($A1407),DAY($A1407)),$A:$A,0))=""),"",G1407/INDEX(G:G,MATCH(DATE(YEAR($A1407)-1,MONTH($A1407),DAY($A1407)),$A:$A,0))-1),"")</f>
        <v/>
      </c>
      <c r="M1407" s="19">
        <f>IF(OR(E1407="",E1406=""),"",E1407/E1406-1)</f>
        <v/>
      </c>
      <c r="N1407" s="19">
        <f>IF(OR(F1407="",F1406=""),"",F1407/F1406-1)</f>
        <v/>
      </c>
      <c r="O1407" s="19">
        <f>IF(OR(G1407="",G1406=""),"",G1407/G1406-1)</f>
        <v/>
      </c>
      <c r="P1407" s="22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IF(R1407="","",P1407/R1407)</f>
        <v/>
      </c>
      <c r="T1407" s="23">
        <f>IF(R1407="","",Q1407/R1407)</f>
        <v/>
      </c>
      <c r="U1407" s="24">
        <f>IF(SUMIFS('Daily NSE Equity Options'!$M:$M,'Daily NSE Equity Options'!$A:$A,$A1407)=0,"",SUMIFS('Daily NSE Equity Options'!$M:$M,'Daily NSE Equity Options'!$A:$A,$A1407))</f>
        <v/>
      </c>
      <c r="V1407" s="9">
        <f>IF(SUMIFS('Daily BSE Equity Options'!$M:$M,'Daily BSE Equity Options'!$A:$A,$A1407)=0,"",SUMIFS('Daily BSE Equity Options'!$M:$M,'Daily BSE Equity Options'!$A:$A,$A1407))</f>
        <v/>
      </c>
      <c r="W1407" s="9">
        <f>IF(OR(U1407="",V1407=""),"",U1407+V1407)</f>
        <v/>
      </c>
      <c r="X1407" s="25">
        <f>IF(W1407="","",U1407/W1407)</f>
        <v/>
      </c>
      <c r="Y1407" s="25">
        <f>IF(W1407="","",V1407/W1407)</f>
        <v/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19">
        <f>IF(G1408="","",E1408/G1408)</f>
        <v/>
      </c>
      <c r="I1408" s="19">
        <f>IF(G1408="","",F1408/G1408)</f>
        <v/>
      </c>
      <c r="J1408" s="26">
        <f>IFERROR(IF(OR(E1408="",INDEX(E:E,MATCH(DATE(YEAR($A1408)-1,MONTH($A1408),DAY($A1408)),$A:$A,0))=""),"",E1408/INDEX(E:E,MATCH(DATE(YEAR($A1408)-1,MONTH($A1408),DAY($A1408)),$A:$A,0))-1),"")</f>
        <v/>
      </c>
      <c r="K1408" s="19">
        <f>IFERROR(IF(OR(F1408="",INDEX(F:F,MATCH(DATE(YEAR($A1408)-1,MONTH($A1408),DAY($A1408)),$A:$A,0))=""),"",F1408/INDEX(F:F,MATCH(DATE(YEAR($A1408)-1,MONTH($A1408),DAY($A1408)),$A:$A,0))-1),"")</f>
        <v/>
      </c>
      <c r="L1408" s="19">
        <f>IFERROR(IF(OR(G1408="",INDEX(G:G,MATCH(DATE(YEAR($A1408)-1,MONTH($A1408),DAY($A1408)),$A:$A,0))=""),"",G1408/INDEX(G:G,MATCH(DATE(YEAR($A1408)-1,MONTH($A1408),DAY($A1408)),$A:$A,0))-1),"")</f>
        <v/>
      </c>
      <c r="M1408" s="19">
        <f>IF(OR(E1408="",E1407=""),"",E1408/E1407-1)</f>
        <v/>
      </c>
      <c r="N1408" s="19">
        <f>IF(OR(F1408="",F1407=""),"",F1408/F1407-1)</f>
        <v/>
      </c>
      <c r="O1408" s="19">
        <f>IF(OR(G1408="",G1407=""),"",G1408/G1407-1)</f>
        <v/>
      </c>
      <c r="P1408" s="22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IF(R1408="","",P1408/R1408)</f>
        <v/>
      </c>
      <c r="T1408" s="23">
        <f>IF(R1408="","",Q1408/R1408)</f>
        <v/>
      </c>
      <c r="U1408" s="24">
        <f>IF(SUMIFS('Daily NSE Equity Options'!$M:$M,'Daily NSE Equity Options'!$A:$A,$A1408)=0,"",SUMIFS('Daily NSE Equity Options'!$M:$M,'Daily NSE Equity Options'!$A:$A,$A1408))</f>
        <v/>
      </c>
      <c r="V1408" s="9">
        <f>IF(SUMIFS('Daily BSE Equity Options'!$M:$M,'Daily BSE Equity Options'!$A:$A,$A1408)=0,"",SUMIFS('Daily BSE Equity Options'!$M:$M,'Daily BSE Equity Options'!$A:$A,$A1408))</f>
        <v/>
      </c>
      <c r="W1408" s="9">
        <f>IF(OR(U1408="",V1408=""),"",U1408+V1408)</f>
        <v/>
      </c>
      <c r="X1408" s="25">
        <f>IF(W1408="","",U1408/W1408)</f>
        <v/>
      </c>
      <c r="Y1408" s="25">
        <f>IF(W1408="","",V1408/W1408)</f>
        <v/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19">
        <f>IF(G1409="","",E1409/G1409)</f>
        <v/>
      </c>
      <c r="I1409" s="19">
        <f>IF(G1409="","",F1409/G1409)</f>
        <v/>
      </c>
      <c r="J1409" s="26">
        <f>IFERROR(IF(OR(E1409="",INDEX(E:E,MATCH(DATE(YEAR($A1409)-1,MONTH($A1409),DAY($A1409)),$A:$A,0))=""),"",E1409/INDEX(E:E,MATCH(DATE(YEAR($A1409)-1,MONTH($A1409),DAY($A1409)),$A:$A,0))-1),"")</f>
        <v/>
      </c>
      <c r="K1409" s="19">
        <f>IFERROR(IF(OR(F1409="",INDEX(F:F,MATCH(DATE(YEAR($A1409)-1,MONTH($A1409),DAY($A1409)),$A:$A,0))=""),"",F1409/INDEX(F:F,MATCH(DATE(YEAR($A1409)-1,MONTH($A1409),DAY($A1409)),$A:$A,0))-1),"")</f>
        <v/>
      </c>
      <c r="L1409" s="19">
        <f>IFERROR(IF(OR(G1409="",INDEX(G:G,MATCH(DATE(YEAR($A1409)-1,MONTH($A1409),DAY($A1409)),$A:$A,0))=""),"",G1409/INDEX(G:G,MATCH(DATE(YEAR($A1409)-1,MONTH($A1409),DAY($A1409)),$A:$A,0))-1),"")</f>
        <v/>
      </c>
      <c r="M1409" s="19">
        <f>IF(OR(E1409="",E1408=""),"",E1409/E1408-1)</f>
        <v/>
      </c>
      <c r="N1409" s="19">
        <f>IF(OR(F1409="",F1408=""),"",F1409/F1408-1)</f>
        <v/>
      </c>
      <c r="O1409" s="19">
        <f>IF(OR(G1409="",G1408=""),"",G1409/G1408-1)</f>
        <v/>
      </c>
      <c r="P1409" s="22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IF(R1409="","",P1409/R1409)</f>
        <v/>
      </c>
      <c r="T1409" s="23">
        <f>IF(R1409="","",Q1409/R1409)</f>
        <v/>
      </c>
      <c r="U1409" s="24">
        <f>IF(SUMIFS('Daily NSE Equity Options'!$M:$M,'Daily NSE Equity Options'!$A:$A,$A1409)=0,"",SUMIFS('Daily NSE Equity Options'!$M:$M,'Daily NSE Equity Options'!$A:$A,$A1409))</f>
        <v/>
      </c>
      <c r="V1409" s="9">
        <f>IF(SUMIFS('Daily BSE Equity Options'!$M:$M,'Daily BSE Equity Options'!$A:$A,$A1409)=0,"",SUMIFS('Daily BSE Equity Options'!$M:$M,'Daily BSE Equity Options'!$A:$A,$A1409))</f>
        <v/>
      </c>
      <c r="W1409" s="9">
        <f>IF(OR(U1409="",V1409=""),"",U1409+V1409)</f>
        <v/>
      </c>
      <c r="X1409" s="25">
        <f>IF(W1409="","",U1409/W1409)</f>
        <v/>
      </c>
      <c r="Y1409" s="25">
        <f>IF(W1409="","",V1409/W1409)</f>
        <v/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19">
        <f>IF(G1410="","",E1410/G1410)</f>
        <v/>
      </c>
      <c r="I1410" s="19">
        <f>IF(G1410="","",F1410/G1410)</f>
        <v/>
      </c>
      <c r="J1410" s="26">
        <f>IFERROR(IF(OR(E1410="",INDEX(E:E,MATCH(DATE(YEAR($A1410)-1,MONTH($A1410),DAY($A1410)),$A:$A,0))=""),"",E1410/INDEX(E:E,MATCH(DATE(YEAR($A1410)-1,MONTH($A1410),DAY($A1410)),$A:$A,0))-1),"")</f>
        <v/>
      </c>
      <c r="K1410" s="19">
        <f>IFERROR(IF(OR(F1410="",INDEX(F:F,MATCH(DATE(YEAR($A1410)-1,MONTH($A1410),DAY($A1410)),$A:$A,0))=""),"",F1410/INDEX(F:F,MATCH(DATE(YEAR($A1410)-1,MONTH($A1410),DAY($A1410)),$A:$A,0))-1),"")</f>
        <v/>
      </c>
      <c r="L1410" s="19">
        <f>IFERROR(IF(OR(G1410="",INDEX(G:G,MATCH(DATE(YEAR($A1410)-1,MONTH($A1410),DAY($A1410)),$A:$A,0))=""),"",G1410/INDEX(G:G,MATCH(DATE(YEAR($A1410)-1,MONTH($A1410),DAY($A1410)),$A:$A,0))-1),"")</f>
        <v/>
      </c>
      <c r="M1410" s="19">
        <f>IF(OR(E1410="",E1409=""),"",E1410/E1409-1)</f>
        <v/>
      </c>
      <c r="N1410" s="19">
        <f>IF(OR(F1410="",F1409=""),"",F1410/F1409-1)</f>
        <v/>
      </c>
      <c r="O1410" s="19">
        <f>IF(OR(G1410="",G1409=""),"",G1410/G1409-1)</f>
        <v/>
      </c>
      <c r="P1410" s="22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IF(R1410="","",P1410/R1410)</f>
        <v/>
      </c>
      <c r="T1410" s="23">
        <f>IF(R1410="","",Q1410/R1410)</f>
        <v/>
      </c>
      <c r="U1410" s="24">
        <f>IF(SUMIFS('Daily NSE Equity Options'!$M:$M,'Daily NSE Equity Options'!$A:$A,$A1410)=0,"",SUMIFS('Daily NSE Equity Options'!$M:$M,'Daily NSE Equity Options'!$A:$A,$A1410))</f>
        <v/>
      </c>
      <c r="V1410" s="9">
        <f>IF(SUMIFS('Daily BSE Equity Options'!$M:$M,'Daily BSE Equity Options'!$A:$A,$A1410)=0,"",SUMIFS('Daily BSE Equity Options'!$M:$M,'Daily BSE Equity Options'!$A:$A,$A1410))</f>
        <v/>
      </c>
      <c r="W1410" s="9">
        <f>IF(OR(U1410="",V1410=""),"",U1410+V1410)</f>
        <v/>
      </c>
      <c r="X1410" s="25">
        <f>IF(W1410="","",U1410/W1410)</f>
        <v/>
      </c>
      <c r="Y1410" s="25">
        <f>IF(W1410="","",V1410/W1410)</f>
        <v/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19">
        <f>IF(G1411="","",E1411/G1411)</f>
        <v/>
      </c>
      <c r="I1411" s="19">
        <f>IF(G1411="","",F1411/G1411)</f>
        <v/>
      </c>
      <c r="J1411" s="26">
        <f>IFERROR(IF(OR(E1411="",INDEX(E:E,MATCH(DATE(YEAR($A1411)-1,MONTH($A1411),DAY($A1411)),$A:$A,0))=""),"",E1411/INDEX(E:E,MATCH(DATE(YEAR($A1411)-1,MONTH($A1411),DAY($A1411)),$A:$A,0))-1),"")</f>
        <v/>
      </c>
      <c r="K1411" s="19">
        <f>IFERROR(IF(OR(F1411="",INDEX(F:F,MATCH(DATE(YEAR($A1411)-1,MONTH($A1411),DAY($A1411)),$A:$A,0))=""),"",F1411/INDEX(F:F,MATCH(DATE(YEAR($A1411)-1,MONTH($A1411),DAY($A1411)),$A:$A,0))-1),"")</f>
        <v/>
      </c>
      <c r="L1411" s="19">
        <f>IFERROR(IF(OR(G1411="",INDEX(G:G,MATCH(DATE(YEAR($A1411)-1,MONTH($A1411),DAY($A1411)),$A:$A,0))=""),"",G1411/INDEX(G:G,MATCH(DATE(YEAR($A1411)-1,MONTH($A1411),DAY($A1411)),$A:$A,0))-1),"")</f>
        <v/>
      </c>
      <c r="M1411" s="19">
        <f>IF(OR(E1411="",E1410=""),"",E1411/E1410-1)</f>
        <v/>
      </c>
      <c r="N1411" s="19">
        <f>IF(OR(F1411="",F1410=""),"",F1411/F1410-1)</f>
        <v/>
      </c>
      <c r="O1411" s="19">
        <f>IF(OR(G1411="",G1410=""),"",G1411/G1410-1)</f>
        <v/>
      </c>
      <c r="P1411" s="22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IF(R1411="","",P1411/R1411)</f>
        <v/>
      </c>
      <c r="T1411" s="23">
        <f>IF(R1411="","",Q1411/R1411)</f>
        <v/>
      </c>
      <c r="U1411" s="24">
        <f>IF(SUMIFS('Daily NSE Equity Options'!$M:$M,'Daily NSE Equity Options'!$A:$A,$A1411)=0,"",SUMIFS('Daily NSE Equity Options'!$M:$M,'Daily NSE Equity Options'!$A:$A,$A1411))</f>
        <v/>
      </c>
      <c r="V1411" s="9">
        <f>IF(SUMIFS('Daily BSE Equity Options'!$M:$M,'Daily BSE Equity Options'!$A:$A,$A1411)=0,"",SUMIFS('Daily BSE Equity Options'!$M:$M,'Daily BSE Equity Options'!$A:$A,$A1411))</f>
        <v/>
      </c>
      <c r="W1411" s="9">
        <f>IF(OR(U1411="",V1411=""),"",U1411+V1411)</f>
        <v/>
      </c>
      <c r="X1411" s="25">
        <f>IF(W1411="","",U1411/W1411)</f>
        <v/>
      </c>
      <c r="Y1411" s="25">
        <f>IF(W1411="","",V1411/W1411)</f>
        <v/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19">
        <f>IF(G1412="","",E1412/G1412)</f>
        <v/>
      </c>
      <c r="I1412" s="19">
        <f>IF(G1412="","",F1412/G1412)</f>
        <v/>
      </c>
      <c r="J1412" s="26">
        <f>IFERROR(IF(OR(E1412="",INDEX(E:E,MATCH(DATE(YEAR($A1412)-1,MONTH($A1412),DAY($A1412)),$A:$A,0))=""),"",E1412/INDEX(E:E,MATCH(DATE(YEAR($A1412)-1,MONTH($A1412),DAY($A1412)),$A:$A,0))-1),"")</f>
        <v/>
      </c>
      <c r="K1412" s="19">
        <f>IFERROR(IF(OR(F1412="",INDEX(F:F,MATCH(DATE(YEAR($A1412)-1,MONTH($A1412),DAY($A1412)),$A:$A,0))=""),"",F1412/INDEX(F:F,MATCH(DATE(YEAR($A1412)-1,MONTH($A1412),DAY($A1412)),$A:$A,0))-1),"")</f>
        <v/>
      </c>
      <c r="L1412" s="19">
        <f>IFERROR(IF(OR(G1412="",INDEX(G:G,MATCH(DATE(YEAR($A1412)-1,MONTH($A1412),DAY($A1412)),$A:$A,0))=""),"",G1412/INDEX(G:G,MATCH(DATE(YEAR($A1412)-1,MONTH($A1412),DAY($A1412)),$A:$A,0))-1),"")</f>
        <v/>
      </c>
      <c r="M1412" s="19">
        <f>IF(OR(E1412="",E1411=""),"",E1412/E1411-1)</f>
        <v/>
      </c>
      <c r="N1412" s="19">
        <f>IF(OR(F1412="",F1411=""),"",F1412/F1411-1)</f>
        <v/>
      </c>
      <c r="O1412" s="19">
        <f>IF(OR(G1412="",G1411=""),"",G1412/G1411-1)</f>
        <v/>
      </c>
      <c r="P1412" s="22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IF(R1412="","",P1412/R1412)</f>
        <v/>
      </c>
      <c r="T1412" s="23">
        <f>IF(R1412="","",Q1412/R1412)</f>
        <v/>
      </c>
      <c r="U1412" s="24">
        <f>IF(SUMIFS('Daily NSE Equity Options'!$M:$M,'Daily NSE Equity Options'!$A:$A,$A1412)=0,"",SUMIFS('Daily NSE Equity Options'!$M:$M,'Daily NSE Equity Options'!$A:$A,$A1412))</f>
        <v/>
      </c>
      <c r="V1412" s="9">
        <f>IF(SUMIFS('Daily BSE Equity Options'!$M:$M,'Daily BSE Equity Options'!$A:$A,$A1412)=0,"",SUMIFS('Daily BSE Equity Options'!$M:$M,'Daily BSE Equity Options'!$A:$A,$A1412))</f>
        <v/>
      </c>
      <c r="W1412" s="9">
        <f>IF(OR(U1412="",V1412=""),"",U1412+V1412)</f>
        <v/>
      </c>
      <c r="X1412" s="25">
        <f>IF(W1412="","",U1412/W1412)</f>
        <v/>
      </c>
      <c r="Y1412" s="25">
        <f>IF(W1412="","",V1412/W1412)</f>
        <v/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19">
        <f>IF(G1413="","",E1413/G1413)</f>
        <v/>
      </c>
      <c r="I1413" s="19">
        <f>IF(G1413="","",F1413/G1413)</f>
        <v/>
      </c>
      <c r="J1413" s="26">
        <f>IFERROR(IF(OR(E1413="",INDEX(E:E,MATCH(DATE(YEAR($A1413)-1,MONTH($A1413),DAY($A1413)),$A:$A,0))=""),"",E1413/INDEX(E:E,MATCH(DATE(YEAR($A1413)-1,MONTH($A1413),DAY($A1413)),$A:$A,0))-1),"")</f>
        <v/>
      </c>
      <c r="K1413" s="19">
        <f>IFERROR(IF(OR(F1413="",INDEX(F:F,MATCH(DATE(YEAR($A1413)-1,MONTH($A1413),DAY($A1413)),$A:$A,0))=""),"",F1413/INDEX(F:F,MATCH(DATE(YEAR($A1413)-1,MONTH($A1413),DAY($A1413)),$A:$A,0))-1),"")</f>
        <v/>
      </c>
      <c r="L1413" s="19">
        <f>IFERROR(IF(OR(G1413="",INDEX(G:G,MATCH(DATE(YEAR($A1413)-1,MONTH($A1413),DAY($A1413)),$A:$A,0))=""),"",G1413/INDEX(G:G,MATCH(DATE(YEAR($A1413)-1,MONTH($A1413),DAY($A1413)),$A:$A,0))-1),"")</f>
        <v/>
      </c>
      <c r="M1413" s="19">
        <f>IF(OR(E1413="",E1412=""),"",E1413/E1412-1)</f>
        <v/>
      </c>
      <c r="N1413" s="19">
        <f>IF(OR(F1413="",F1412=""),"",F1413/F1412-1)</f>
        <v/>
      </c>
      <c r="O1413" s="19">
        <f>IF(OR(G1413="",G1412=""),"",G1413/G1412-1)</f>
        <v/>
      </c>
      <c r="P1413" s="22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IF(R1413="","",P1413/R1413)</f>
        <v/>
      </c>
      <c r="T1413" s="23">
        <f>IF(R1413="","",Q1413/R1413)</f>
        <v/>
      </c>
      <c r="U1413" s="24">
        <f>IF(SUMIFS('Daily NSE Equity Options'!$M:$M,'Daily NSE Equity Options'!$A:$A,$A1413)=0,"",SUMIFS('Daily NSE Equity Options'!$M:$M,'Daily NSE Equity Options'!$A:$A,$A1413))</f>
        <v/>
      </c>
      <c r="V1413" s="9">
        <f>IF(SUMIFS('Daily BSE Equity Options'!$M:$M,'Daily BSE Equity Options'!$A:$A,$A1413)=0,"",SUMIFS('Daily BSE Equity Options'!$M:$M,'Daily BSE Equity Options'!$A:$A,$A1413))</f>
        <v/>
      </c>
      <c r="W1413" s="9">
        <f>IF(OR(U1413="",V1413=""),"",U1413+V1413)</f>
        <v/>
      </c>
      <c r="X1413" s="25">
        <f>IF(W1413="","",U1413/W1413)</f>
        <v/>
      </c>
      <c r="Y1413" s="25">
        <f>IF(W1413="","",V1413/W1413)</f>
        <v/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19">
        <f>IF(G1414="","",E1414/G1414)</f>
        <v/>
      </c>
      <c r="I1414" s="19">
        <f>IF(G1414="","",F1414/G1414)</f>
        <v/>
      </c>
      <c r="J1414" s="26">
        <f>IFERROR(IF(OR(E1414="",INDEX(E:E,MATCH(DATE(YEAR($A1414)-1,MONTH($A1414),DAY($A1414)),$A:$A,0))=""),"",E1414/INDEX(E:E,MATCH(DATE(YEAR($A1414)-1,MONTH($A1414),DAY($A1414)),$A:$A,0))-1),"")</f>
        <v/>
      </c>
      <c r="K1414" s="19">
        <f>IFERROR(IF(OR(F1414="",INDEX(F:F,MATCH(DATE(YEAR($A1414)-1,MONTH($A1414),DAY($A1414)),$A:$A,0))=""),"",F1414/INDEX(F:F,MATCH(DATE(YEAR($A1414)-1,MONTH($A1414),DAY($A1414)),$A:$A,0))-1),"")</f>
        <v/>
      </c>
      <c r="L1414" s="19">
        <f>IFERROR(IF(OR(G1414="",INDEX(G:G,MATCH(DATE(YEAR($A1414)-1,MONTH($A1414),DAY($A1414)),$A:$A,0))=""),"",G1414/INDEX(G:G,MATCH(DATE(YEAR($A1414)-1,MONTH($A1414),DAY($A1414)),$A:$A,0))-1),"")</f>
        <v/>
      </c>
      <c r="M1414" s="19">
        <f>IF(OR(E1414="",E1413=""),"",E1414/E1413-1)</f>
        <v/>
      </c>
      <c r="N1414" s="19">
        <f>IF(OR(F1414="",F1413=""),"",F1414/F1413-1)</f>
        <v/>
      </c>
      <c r="O1414" s="19">
        <f>IF(OR(G1414="",G1413=""),"",G1414/G1413-1)</f>
        <v/>
      </c>
      <c r="P1414" s="22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IF(R1414="","",P1414/R1414)</f>
        <v/>
      </c>
      <c r="T1414" s="23">
        <f>IF(R1414="","",Q1414/R1414)</f>
        <v/>
      </c>
      <c r="U1414" s="24">
        <f>IF(SUMIFS('Daily NSE Equity Options'!$M:$M,'Daily NSE Equity Options'!$A:$A,$A1414)=0,"",SUMIFS('Daily NSE Equity Options'!$M:$M,'Daily NSE Equity Options'!$A:$A,$A1414))</f>
        <v/>
      </c>
      <c r="V1414" s="9">
        <f>IF(SUMIFS('Daily BSE Equity Options'!$M:$M,'Daily BSE Equity Options'!$A:$A,$A1414)=0,"",SUMIFS('Daily BSE Equity Options'!$M:$M,'Daily BSE Equity Options'!$A:$A,$A1414))</f>
        <v/>
      </c>
      <c r="W1414" s="9">
        <f>IF(OR(U1414="",V1414=""),"",U1414+V1414)</f>
        <v/>
      </c>
      <c r="X1414" s="25">
        <f>IF(W1414="","",U1414/W1414)</f>
        <v/>
      </c>
      <c r="Y1414" s="25">
        <f>IF(W1414="","",V1414/W1414)</f>
        <v/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19">
        <f>IF(G1415="","",E1415/G1415)</f>
        <v/>
      </c>
      <c r="I1415" s="19">
        <f>IF(G1415="","",F1415/G1415)</f>
        <v/>
      </c>
      <c r="J1415" s="26">
        <f>IFERROR(IF(OR(E1415="",INDEX(E:E,MATCH(DATE(YEAR($A1415)-1,MONTH($A1415),DAY($A1415)),$A:$A,0))=""),"",E1415/INDEX(E:E,MATCH(DATE(YEAR($A1415)-1,MONTH($A1415),DAY($A1415)),$A:$A,0))-1),"")</f>
        <v/>
      </c>
      <c r="K1415" s="19">
        <f>IFERROR(IF(OR(F1415="",INDEX(F:F,MATCH(DATE(YEAR($A1415)-1,MONTH($A1415),DAY($A1415)),$A:$A,0))=""),"",F1415/INDEX(F:F,MATCH(DATE(YEAR($A1415)-1,MONTH($A1415),DAY($A1415)),$A:$A,0))-1),"")</f>
        <v/>
      </c>
      <c r="L1415" s="19">
        <f>IFERROR(IF(OR(G1415="",INDEX(G:G,MATCH(DATE(YEAR($A1415)-1,MONTH($A1415),DAY($A1415)),$A:$A,0))=""),"",G1415/INDEX(G:G,MATCH(DATE(YEAR($A1415)-1,MONTH($A1415),DAY($A1415)),$A:$A,0))-1),"")</f>
        <v/>
      </c>
      <c r="M1415" s="19">
        <f>IF(OR(E1415="",E1414=""),"",E1415/E1414-1)</f>
        <v/>
      </c>
      <c r="N1415" s="19">
        <f>IF(OR(F1415="",F1414=""),"",F1415/F1414-1)</f>
        <v/>
      </c>
      <c r="O1415" s="19">
        <f>IF(OR(G1415="",G1414=""),"",G1415/G1414-1)</f>
        <v/>
      </c>
      <c r="P1415" s="22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IF(R1415="","",P1415/R1415)</f>
        <v/>
      </c>
      <c r="T1415" s="23">
        <f>IF(R1415="","",Q1415/R1415)</f>
        <v/>
      </c>
      <c r="U1415" s="24">
        <f>IF(SUMIFS('Daily NSE Equity Options'!$M:$M,'Daily NSE Equity Options'!$A:$A,$A1415)=0,"",SUMIFS('Daily NSE Equity Options'!$M:$M,'Daily NSE Equity Options'!$A:$A,$A1415))</f>
        <v/>
      </c>
      <c r="V1415" s="9">
        <f>IF(SUMIFS('Daily BSE Equity Options'!$M:$M,'Daily BSE Equity Options'!$A:$A,$A1415)=0,"",SUMIFS('Daily BSE Equity Options'!$M:$M,'Daily BSE Equity Options'!$A:$A,$A1415))</f>
        <v/>
      </c>
      <c r="W1415" s="9">
        <f>IF(OR(U1415="",V1415=""),"",U1415+V1415)</f>
        <v/>
      </c>
      <c r="X1415" s="25">
        <f>IF(W1415="","",U1415/W1415)</f>
        <v/>
      </c>
      <c r="Y1415" s="25">
        <f>IF(W1415="","",V1415/W1415)</f>
        <v/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19">
        <f>IF(G1416="","",E1416/G1416)</f>
        <v/>
      </c>
      <c r="I1416" s="19">
        <f>IF(G1416="","",F1416/G1416)</f>
        <v/>
      </c>
      <c r="J1416" s="26">
        <f>IFERROR(IF(OR(E1416="",INDEX(E:E,MATCH(DATE(YEAR($A1416)-1,MONTH($A1416),DAY($A1416)),$A:$A,0))=""),"",E1416/INDEX(E:E,MATCH(DATE(YEAR($A1416)-1,MONTH($A1416),DAY($A1416)),$A:$A,0))-1),"")</f>
        <v/>
      </c>
      <c r="K1416" s="19">
        <f>IFERROR(IF(OR(F1416="",INDEX(F:F,MATCH(DATE(YEAR($A1416)-1,MONTH($A1416),DAY($A1416)),$A:$A,0))=""),"",F1416/INDEX(F:F,MATCH(DATE(YEAR($A1416)-1,MONTH($A1416),DAY($A1416)),$A:$A,0))-1),"")</f>
        <v/>
      </c>
      <c r="L1416" s="19">
        <f>IFERROR(IF(OR(G1416="",INDEX(G:G,MATCH(DATE(YEAR($A1416)-1,MONTH($A1416),DAY($A1416)),$A:$A,0))=""),"",G1416/INDEX(G:G,MATCH(DATE(YEAR($A1416)-1,MONTH($A1416),DAY($A1416)),$A:$A,0))-1),"")</f>
        <v/>
      </c>
      <c r="M1416" s="19">
        <f>IF(OR(E1416="",E1415=""),"",E1416/E1415-1)</f>
        <v/>
      </c>
      <c r="N1416" s="19">
        <f>IF(OR(F1416="",F1415=""),"",F1416/F1415-1)</f>
        <v/>
      </c>
      <c r="O1416" s="19">
        <f>IF(OR(G1416="",G1415=""),"",G1416/G1415-1)</f>
        <v/>
      </c>
      <c r="P1416" s="22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IF(R1416="","",P1416/R1416)</f>
        <v/>
      </c>
      <c r="T1416" s="23">
        <f>IF(R1416="","",Q1416/R1416)</f>
        <v/>
      </c>
      <c r="U1416" s="24">
        <f>IF(SUMIFS('Daily NSE Equity Options'!$M:$M,'Daily NSE Equity Options'!$A:$A,$A1416)=0,"",SUMIFS('Daily NSE Equity Options'!$M:$M,'Daily NSE Equity Options'!$A:$A,$A1416))</f>
        <v/>
      </c>
      <c r="V1416" s="9">
        <f>IF(SUMIFS('Daily BSE Equity Options'!$M:$M,'Daily BSE Equity Options'!$A:$A,$A1416)=0,"",SUMIFS('Daily BSE Equity Options'!$M:$M,'Daily BSE Equity Options'!$A:$A,$A1416))</f>
        <v/>
      </c>
      <c r="W1416" s="9">
        <f>IF(OR(U1416="",V1416=""),"",U1416+V1416)</f>
        <v/>
      </c>
      <c r="X1416" s="25">
        <f>IF(W1416="","",U1416/W1416)</f>
        <v/>
      </c>
      <c r="Y1416" s="25">
        <f>IF(W1416="","",V1416/W1416)</f>
        <v/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19">
        <f>IF(G1417="","",E1417/G1417)</f>
        <v/>
      </c>
      <c r="I1417" s="19">
        <f>IF(G1417="","",F1417/G1417)</f>
        <v/>
      </c>
      <c r="J1417" s="26">
        <f>IFERROR(IF(OR(E1417="",INDEX(E:E,MATCH(DATE(YEAR($A1417)-1,MONTH($A1417),DAY($A1417)),$A:$A,0))=""),"",E1417/INDEX(E:E,MATCH(DATE(YEAR($A1417)-1,MONTH($A1417),DAY($A1417)),$A:$A,0))-1),"")</f>
        <v/>
      </c>
      <c r="K1417" s="19">
        <f>IFERROR(IF(OR(F1417="",INDEX(F:F,MATCH(DATE(YEAR($A1417)-1,MONTH($A1417),DAY($A1417)),$A:$A,0))=""),"",F1417/INDEX(F:F,MATCH(DATE(YEAR($A1417)-1,MONTH($A1417),DAY($A1417)),$A:$A,0))-1),"")</f>
        <v/>
      </c>
      <c r="L1417" s="19">
        <f>IFERROR(IF(OR(G1417="",INDEX(G:G,MATCH(DATE(YEAR($A1417)-1,MONTH($A1417),DAY($A1417)),$A:$A,0))=""),"",G1417/INDEX(G:G,MATCH(DATE(YEAR($A1417)-1,MONTH($A1417),DAY($A1417)),$A:$A,0))-1),"")</f>
        <v/>
      </c>
      <c r="M1417" s="19">
        <f>IF(OR(E1417="",E1416=""),"",E1417/E1416-1)</f>
        <v/>
      </c>
      <c r="N1417" s="19">
        <f>IF(OR(F1417="",F1416=""),"",F1417/F1416-1)</f>
        <v/>
      </c>
      <c r="O1417" s="19">
        <f>IF(OR(G1417="",G1416=""),"",G1417/G1416-1)</f>
        <v/>
      </c>
      <c r="P1417" s="22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IF(R1417="","",P1417/R1417)</f>
        <v/>
      </c>
      <c r="T1417" s="23">
        <f>IF(R1417="","",Q1417/R1417)</f>
        <v/>
      </c>
      <c r="U1417" s="24">
        <f>IF(SUMIFS('Daily NSE Equity Options'!$M:$M,'Daily NSE Equity Options'!$A:$A,$A1417)=0,"",SUMIFS('Daily NSE Equity Options'!$M:$M,'Daily NSE Equity Options'!$A:$A,$A1417))</f>
        <v/>
      </c>
      <c r="V1417" s="9">
        <f>IF(SUMIFS('Daily BSE Equity Options'!$M:$M,'Daily BSE Equity Options'!$A:$A,$A1417)=0,"",SUMIFS('Daily BSE Equity Options'!$M:$M,'Daily BSE Equity Options'!$A:$A,$A1417))</f>
        <v/>
      </c>
      <c r="W1417" s="9">
        <f>IF(OR(U1417="",V1417=""),"",U1417+V1417)</f>
        <v/>
      </c>
      <c r="X1417" s="25">
        <f>IF(W1417="","",U1417/W1417)</f>
        <v/>
      </c>
      <c r="Y1417" s="25">
        <f>IF(W1417="","",V1417/W1417)</f>
        <v/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19">
        <f>IF(G1418="","",E1418/G1418)</f>
        <v/>
      </c>
      <c r="I1418" s="19">
        <f>IF(G1418="","",F1418/G1418)</f>
        <v/>
      </c>
      <c r="J1418" s="26">
        <f>IFERROR(IF(OR(E1418="",INDEX(E:E,MATCH(DATE(YEAR($A1418)-1,MONTH($A1418),DAY($A1418)),$A:$A,0))=""),"",E1418/INDEX(E:E,MATCH(DATE(YEAR($A1418)-1,MONTH($A1418),DAY($A1418)),$A:$A,0))-1),"")</f>
        <v/>
      </c>
      <c r="K1418" s="19">
        <f>IFERROR(IF(OR(F1418="",INDEX(F:F,MATCH(DATE(YEAR($A1418)-1,MONTH($A1418),DAY($A1418)),$A:$A,0))=""),"",F1418/INDEX(F:F,MATCH(DATE(YEAR($A1418)-1,MONTH($A1418),DAY($A1418)),$A:$A,0))-1),"")</f>
        <v/>
      </c>
      <c r="L1418" s="19">
        <f>IFERROR(IF(OR(G1418="",INDEX(G:G,MATCH(DATE(YEAR($A1418)-1,MONTH($A1418),DAY($A1418)),$A:$A,0))=""),"",G1418/INDEX(G:G,MATCH(DATE(YEAR($A1418)-1,MONTH($A1418),DAY($A1418)),$A:$A,0))-1),"")</f>
        <v/>
      </c>
      <c r="M1418" s="19">
        <f>IF(OR(E1418="",E1417=""),"",E1418/E1417-1)</f>
        <v/>
      </c>
      <c r="N1418" s="19">
        <f>IF(OR(F1418="",F1417=""),"",F1418/F1417-1)</f>
        <v/>
      </c>
      <c r="O1418" s="19">
        <f>IF(OR(G1418="",G1417=""),"",G1418/G1417-1)</f>
        <v/>
      </c>
      <c r="P1418" s="22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IF(R1418="","",P1418/R1418)</f>
        <v/>
      </c>
      <c r="T1418" s="23">
        <f>IF(R1418="","",Q1418/R1418)</f>
        <v/>
      </c>
      <c r="U1418" s="24">
        <f>IF(SUMIFS('Daily NSE Equity Options'!$M:$M,'Daily NSE Equity Options'!$A:$A,$A1418)=0,"",SUMIFS('Daily NSE Equity Options'!$M:$M,'Daily NSE Equity Options'!$A:$A,$A1418))</f>
        <v/>
      </c>
      <c r="V1418" s="9">
        <f>IF(SUMIFS('Daily BSE Equity Options'!$M:$M,'Daily BSE Equity Options'!$A:$A,$A1418)=0,"",SUMIFS('Daily BSE Equity Options'!$M:$M,'Daily BSE Equity Options'!$A:$A,$A1418))</f>
        <v/>
      </c>
      <c r="W1418" s="9">
        <f>IF(OR(U1418="",V1418=""),"",U1418+V1418)</f>
        <v/>
      </c>
      <c r="X1418" s="25">
        <f>IF(W1418="","",U1418/W1418)</f>
        <v/>
      </c>
      <c r="Y1418" s="25">
        <f>IF(W1418="","",V1418/W1418)</f>
        <v/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19">
        <f>IF(G1419="","",E1419/G1419)</f>
        <v/>
      </c>
      <c r="I1419" s="19">
        <f>IF(G1419="","",F1419/G1419)</f>
        <v/>
      </c>
      <c r="J1419" s="26">
        <f>IFERROR(IF(OR(E1419="",INDEX(E:E,MATCH(DATE(YEAR($A1419)-1,MONTH($A1419),DAY($A1419)),$A:$A,0))=""),"",E1419/INDEX(E:E,MATCH(DATE(YEAR($A1419)-1,MONTH($A1419),DAY($A1419)),$A:$A,0))-1),"")</f>
        <v/>
      </c>
      <c r="K1419" s="19">
        <f>IFERROR(IF(OR(F1419="",INDEX(F:F,MATCH(DATE(YEAR($A1419)-1,MONTH($A1419),DAY($A1419)),$A:$A,0))=""),"",F1419/INDEX(F:F,MATCH(DATE(YEAR($A1419)-1,MONTH($A1419),DAY($A1419)),$A:$A,0))-1),"")</f>
        <v/>
      </c>
      <c r="L1419" s="19">
        <f>IFERROR(IF(OR(G1419="",INDEX(G:G,MATCH(DATE(YEAR($A1419)-1,MONTH($A1419),DAY($A1419)),$A:$A,0))=""),"",G1419/INDEX(G:G,MATCH(DATE(YEAR($A1419)-1,MONTH($A1419),DAY($A1419)),$A:$A,0))-1),"")</f>
        <v/>
      </c>
      <c r="M1419" s="19">
        <f>IF(OR(E1419="",E1418=""),"",E1419/E1418-1)</f>
        <v/>
      </c>
      <c r="N1419" s="19">
        <f>IF(OR(F1419="",F1418=""),"",F1419/F1418-1)</f>
        <v/>
      </c>
      <c r="O1419" s="19">
        <f>IF(OR(G1419="",G1418=""),"",G1419/G1418-1)</f>
        <v/>
      </c>
      <c r="P1419" s="22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IF(R1419="","",P1419/R1419)</f>
        <v/>
      </c>
      <c r="T1419" s="23">
        <f>IF(R1419="","",Q1419/R1419)</f>
        <v/>
      </c>
      <c r="U1419" s="24">
        <f>IF(SUMIFS('Daily NSE Equity Options'!$M:$M,'Daily NSE Equity Options'!$A:$A,$A1419)=0,"",SUMIFS('Daily NSE Equity Options'!$M:$M,'Daily NSE Equity Options'!$A:$A,$A1419))</f>
        <v/>
      </c>
      <c r="V1419" s="9">
        <f>IF(SUMIFS('Daily BSE Equity Options'!$M:$M,'Daily BSE Equity Options'!$A:$A,$A1419)=0,"",SUMIFS('Daily BSE Equity Options'!$M:$M,'Daily BSE Equity Options'!$A:$A,$A1419))</f>
        <v/>
      </c>
      <c r="W1419" s="9">
        <f>IF(OR(U1419="",V1419=""),"",U1419+V1419)</f>
        <v/>
      </c>
      <c r="X1419" s="25">
        <f>IF(W1419="","",U1419/W1419)</f>
        <v/>
      </c>
      <c r="Y1419" s="25">
        <f>IF(W1419="","",V1419/W1419)</f>
        <v/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19">
        <f>IF(G1420="","",E1420/G1420)</f>
        <v/>
      </c>
      <c r="I1420" s="19">
        <f>IF(G1420="","",F1420/G1420)</f>
        <v/>
      </c>
      <c r="J1420" s="26">
        <f>IFERROR(IF(OR(E1420="",INDEX(E:E,MATCH(DATE(YEAR($A1420)-1,MONTH($A1420),DAY($A1420)),$A:$A,0))=""),"",E1420/INDEX(E:E,MATCH(DATE(YEAR($A1420)-1,MONTH($A1420),DAY($A1420)),$A:$A,0))-1),"")</f>
        <v/>
      </c>
      <c r="K1420" s="19">
        <f>IFERROR(IF(OR(F1420="",INDEX(F:F,MATCH(DATE(YEAR($A1420)-1,MONTH($A1420),DAY($A1420)),$A:$A,0))=""),"",F1420/INDEX(F:F,MATCH(DATE(YEAR($A1420)-1,MONTH($A1420),DAY($A1420)),$A:$A,0))-1),"")</f>
        <v/>
      </c>
      <c r="L1420" s="19">
        <f>IFERROR(IF(OR(G1420="",INDEX(G:G,MATCH(DATE(YEAR($A1420)-1,MONTH($A1420),DAY($A1420)),$A:$A,0))=""),"",G1420/INDEX(G:G,MATCH(DATE(YEAR($A1420)-1,MONTH($A1420),DAY($A1420)),$A:$A,0))-1),"")</f>
        <v/>
      </c>
      <c r="M1420" s="19">
        <f>IF(OR(E1420="",E1419=""),"",E1420/E1419-1)</f>
        <v/>
      </c>
      <c r="N1420" s="19">
        <f>IF(OR(F1420="",F1419=""),"",F1420/F1419-1)</f>
        <v/>
      </c>
      <c r="O1420" s="19">
        <f>IF(OR(G1420="",G1419=""),"",G1420/G1419-1)</f>
        <v/>
      </c>
      <c r="P1420" s="22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IF(R1420="","",P1420/R1420)</f>
        <v/>
      </c>
      <c r="T1420" s="23">
        <f>IF(R1420="","",Q1420/R1420)</f>
        <v/>
      </c>
      <c r="U1420" s="24">
        <f>IF(SUMIFS('Daily NSE Equity Options'!$M:$M,'Daily NSE Equity Options'!$A:$A,$A1420)=0,"",SUMIFS('Daily NSE Equity Options'!$M:$M,'Daily NSE Equity Options'!$A:$A,$A1420))</f>
        <v/>
      </c>
      <c r="V1420" s="9">
        <f>IF(SUMIFS('Daily BSE Equity Options'!$M:$M,'Daily BSE Equity Options'!$A:$A,$A1420)=0,"",SUMIFS('Daily BSE Equity Options'!$M:$M,'Daily BSE Equity Options'!$A:$A,$A1420))</f>
        <v/>
      </c>
      <c r="W1420" s="9">
        <f>IF(OR(U1420="",V1420=""),"",U1420+V1420)</f>
        <v/>
      </c>
      <c r="X1420" s="25">
        <f>IF(W1420="","",U1420/W1420)</f>
        <v/>
      </c>
      <c r="Y1420" s="25">
        <f>IF(W1420="","",V1420/W1420)</f>
        <v/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19">
        <f>IF(G1421="","",E1421/G1421)</f>
        <v/>
      </c>
      <c r="I1421" s="19">
        <f>IF(G1421="","",F1421/G1421)</f>
        <v/>
      </c>
      <c r="J1421" s="26">
        <f>IFERROR(IF(OR(E1421="",INDEX(E:E,MATCH(DATE(YEAR($A1421)-1,MONTH($A1421),DAY($A1421)),$A:$A,0))=""),"",E1421/INDEX(E:E,MATCH(DATE(YEAR($A1421)-1,MONTH($A1421),DAY($A1421)),$A:$A,0))-1),"")</f>
        <v/>
      </c>
      <c r="K1421" s="19">
        <f>IFERROR(IF(OR(F1421="",INDEX(F:F,MATCH(DATE(YEAR($A1421)-1,MONTH($A1421),DAY($A1421)),$A:$A,0))=""),"",F1421/INDEX(F:F,MATCH(DATE(YEAR($A1421)-1,MONTH($A1421),DAY($A1421)),$A:$A,0))-1),"")</f>
        <v/>
      </c>
      <c r="L1421" s="19">
        <f>IFERROR(IF(OR(G1421="",INDEX(G:G,MATCH(DATE(YEAR($A1421)-1,MONTH($A1421),DAY($A1421)),$A:$A,0))=""),"",G1421/INDEX(G:G,MATCH(DATE(YEAR($A1421)-1,MONTH($A1421),DAY($A1421)),$A:$A,0))-1),"")</f>
        <v/>
      </c>
      <c r="M1421" s="19">
        <f>IF(OR(E1421="",E1420=""),"",E1421/E1420-1)</f>
        <v/>
      </c>
      <c r="N1421" s="19">
        <f>IF(OR(F1421="",F1420=""),"",F1421/F1420-1)</f>
        <v/>
      </c>
      <c r="O1421" s="19">
        <f>IF(OR(G1421="",G1420=""),"",G1421/G1420-1)</f>
        <v/>
      </c>
      <c r="P1421" s="22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IF(R1421="","",P1421/R1421)</f>
        <v/>
      </c>
      <c r="T1421" s="23">
        <f>IF(R1421="","",Q1421/R1421)</f>
        <v/>
      </c>
      <c r="U1421" s="24">
        <f>IF(SUMIFS('Daily NSE Equity Options'!$M:$M,'Daily NSE Equity Options'!$A:$A,$A1421)=0,"",SUMIFS('Daily NSE Equity Options'!$M:$M,'Daily NSE Equity Options'!$A:$A,$A1421))</f>
        <v/>
      </c>
      <c r="V1421" s="9">
        <f>IF(SUMIFS('Daily BSE Equity Options'!$M:$M,'Daily BSE Equity Options'!$A:$A,$A1421)=0,"",SUMIFS('Daily BSE Equity Options'!$M:$M,'Daily BSE Equity Options'!$A:$A,$A1421))</f>
        <v/>
      </c>
      <c r="W1421" s="9">
        <f>IF(OR(U1421="",V1421=""),"",U1421+V1421)</f>
        <v/>
      </c>
      <c r="X1421" s="25">
        <f>IF(W1421="","",U1421/W1421)</f>
        <v/>
      </c>
      <c r="Y1421" s="25">
        <f>IF(W1421="","",V1421/W1421)</f>
        <v/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19">
        <f>IF(G1422="","",E1422/G1422)</f>
        <v/>
      </c>
      <c r="I1422" s="19">
        <f>IF(G1422="","",F1422/G1422)</f>
        <v/>
      </c>
      <c r="J1422" s="26">
        <f>IFERROR(IF(OR(E1422="",INDEX(E:E,MATCH(DATE(YEAR($A1422)-1,MONTH($A1422),DAY($A1422)),$A:$A,0))=""),"",E1422/INDEX(E:E,MATCH(DATE(YEAR($A1422)-1,MONTH($A1422),DAY($A1422)),$A:$A,0))-1),"")</f>
        <v/>
      </c>
      <c r="K1422" s="19">
        <f>IFERROR(IF(OR(F1422="",INDEX(F:F,MATCH(DATE(YEAR($A1422)-1,MONTH($A1422),DAY($A1422)),$A:$A,0))=""),"",F1422/INDEX(F:F,MATCH(DATE(YEAR($A1422)-1,MONTH($A1422),DAY($A1422)),$A:$A,0))-1),"")</f>
        <v/>
      </c>
      <c r="L1422" s="19">
        <f>IFERROR(IF(OR(G1422="",INDEX(G:G,MATCH(DATE(YEAR($A1422)-1,MONTH($A1422),DAY($A1422)),$A:$A,0))=""),"",G1422/INDEX(G:G,MATCH(DATE(YEAR($A1422)-1,MONTH($A1422),DAY($A1422)),$A:$A,0))-1),"")</f>
        <v/>
      </c>
      <c r="M1422" s="19">
        <f>IF(OR(E1422="",E1421=""),"",E1422/E1421-1)</f>
        <v/>
      </c>
      <c r="N1422" s="19">
        <f>IF(OR(F1422="",F1421=""),"",F1422/F1421-1)</f>
        <v/>
      </c>
      <c r="O1422" s="19">
        <f>IF(OR(G1422="",G1421=""),"",G1422/G1421-1)</f>
        <v/>
      </c>
      <c r="P1422" s="22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IF(R1422="","",P1422/R1422)</f>
        <v/>
      </c>
      <c r="T1422" s="23">
        <f>IF(R1422="","",Q1422/R1422)</f>
        <v/>
      </c>
      <c r="U1422" s="24">
        <f>IF(SUMIFS('Daily NSE Equity Options'!$M:$M,'Daily NSE Equity Options'!$A:$A,$A1422)=0,"",SUMIFS('Daily NSE Equity Options'!$M:$M,'Daily NSE Equity Options'!$A:$A,$A1422))</f>
        <v/>
      </c>
      <c r="V1422" s="9">
        <f>IF(SUMIFS('Daily BSE Equity Options'!$M:$M,'Daily BSE Equity Options'!$A:$A,$A1422)=0,"",SUMIFS('Daily BSE Equity Options'!$M:$M,'Daily BSE Equity Options'!$A:$A,$A1422))</f>
        <v/>
      </c>
      <c r="W1422" s="9">
        <f>IF(OR(U1422="",V1422=""),"",U1422+V1422)</f>
        <v/>
      </c>
      <c r="X1422" s="25">
        <f>IF(W1422="","",U1422/W1422)</f>
        <v/>
      </c>
      <c r="Y1422" s="25">
        <f>IF(W1422="","",V1422/W1422)</f>
        <v/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19">
        <f>IF(G1423="","",E1423/G1423)</f>
        <v/>
      </c>
      <c r="I1423" s="19">
        <f>IF(G1423="","",F1423/G1423)</f>
        <v/>
      </c>
      <c r="J1423" s="26">
        <f>IFERROR(IF(OR(E1423="",INDEX(E:E,MATCH(DATE(YEAR($A1423)-1,MONTH($A1423),DAY($A1423)),$A:$A,0))=""),"",E1423/INDEX(E:E,MATCH(DATE(YEAR($A1423)-1,MONTH($A1423),DAY($A1423)),$A:$A,0))-1),"")</f>
        <v/>
      </c>
      <c r="K1423" s="19">
        <f>IFERROR(IF(OR(F1423="",INDEX(F:F,MATCH(DATE(YEAR($A1423)-1,MONTH($A1423),DAY($A1423)),$A:$A,0))=""),"",F1423/INDEX(F:F,MATCH(DATE(YEAR($A1423)-1,MONTH($A1423),DAY($A1423)),$A:$A,0))-1),"")</f>
        <v/>
      </c>
      <c r="L1423" s="19">
        <f>IFERROR(IF(OR(G1423="",INDEX(G:G,MATCH(DATE(YEAR($A1423)-1,MONTH($A1423),DAY($A1423)),$A:$A,0))=""),"",G1423/INDEX(G:G,MATCH(DATE(YEAR($A1423)-1,MONTH($A1423),DAY($A1423)),$A:$A,0))-1),"")</f>
        <v/>
      </c>
      <c r="M1423" s="19">
        <f>IF(OR(E1423="",E1422=""),"",E1423/E1422-1)</f>
        <v/>
      </c>
      <c r="N1423" s="19">
        <f>IF(OR(F1423="",F1422=""),"",F1423/F1422-1)</f>
        <v/>
      </c>
      <c r="O1423" s="19">
        <f>IF(OR(G1423="",G1422=""),"",G1423/G1422-1)</f>
        <v/>
      </c>
      <c r="P1423" s="22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IF(R1423="","",P1423/R1423)</f>
        <v/>
      </c>
      <c r="T1423" s="23">
        <f>IF(R1423="","",Q1423/R1423)</f>
        <v/>
      </c>
      <c r="U1423" s="24">
        <f>IF(SUMIFS('Daily NSE Equity Options'!$M:$M,'Daily NSE Equity Options'!$A:$A,$A1423)=0,"",SUMIFS('Daily NSE Equity Options'!$M:$M,'Daily NSE Equity Options'!$A:$A,$A1423))</f>
        <v/>
      </c>
      <c r="V1423" s="9">
        <f>IF(SUMIFS('Daily BSE Equity Options'!$M:$M,'Daily BSE Equity Options'!$A:$A,$A1423)=0,"",SUMIFS('Daily BSE Equity Options'!$M:$M,'Daily BSE Equity Options'!$A:$A,$A1423))</f>
        <v/>
      </c>
      <c r="W1423" s="9">
        <f>IF(OR(U1423="",V1423=""),"",U1423+V1423)</f>
        <v/>
      </c>
      <c r="X1423" s="25">
        <f>IF(W1423="","",U1423/W1423)</f>
        <v/>
      </c>
      <c r="Y1423" s="25">
        <f>IF(W1423="","",V1423/W1423)</f>
        <v/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19">
        <f>IF(G1424="","",E1424/G1424)</f>
        <v/>
      </c>
      <c r="I1424" s="19">
        <f>IF(G1424="","",F1424/G1424)</f>
        <v/>
      </c>
      <c r="J1424" s="26">
        <f>IFERROR(IF(OR(E1424="",INDEX(E:E,MATCH(DATE(YEAR($A1424)-1,MONTH($A1424),DAY($A1424)),$A:$A,0))=""),"",E1424/INDEX(E:E,MATCH(DATE(YEAR($A1424)-1,MONTH($A1424),DAY($A1424)),$A:$A,0))-1),"")</f>
        <v/>
      </c>
      <c r="K1424" s="19">
        <f>IFERROR(IF(OR(F1424="",INDEX(F:F,MATCH(DATE(YEAR($A1424)-1,MONTH($A1424),DAY($A1424)),$A:$A,0))=""),"",F1424/INDEX(F:F,MATCH(DATE(YEAR($A1424)-1,MONTH($A1424),DAY($A1424)),$A:$A,0))-1),"")</f>
        <v/>
      </c>
      <c r="L1424" s="19">
        <f>IFERROR(IF(OR(G1424="",INDEX(G:G,MATCH(DATE(YEAR($A1424)-1,MONTH($A1424),DAY($A1424)),$A:$A,0))=""),"",G1424/INDEX(G:G,MATCH(DATE(YEAR($A1424)-1,MONTH($A1424),DAY($A1424)),$A:$A,0))-1),"")</f>
        <v/>
      </c>
      <c r="M1424" s="19">
        <f>IF(OR(E1424="",E1423=""),"",E1424/E1423-1)</f>
        <v/>
      </c>
      <c r="N1424" s="19">
        <f>IF(OR(F1424="",F1423=""),"",F1424/F1423-1)</f>
        <v/>
      </c>
      <c r="O1424" s="19">
        <f>IF(OR(G1424="",G1423=""),"",G1424/G1423-1)</f>
        <v/>
      </c>
      <c r="P1424" s="22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IF(R1424="","",P1424/R1424)</f>
        <v/>
      </c>
      <c r="T1424" s="23">
        <f>IF(R1424="","",Q1424/R1424)</f>
        <v/>
      </c>
      <c r="U1424" s="24">
        <f>IF(SUMIFS('Daily NSE Equity Options'!$M:$M,'Daily NSE Equity Options'!$A:$A,$A1424)=0,"",SUMIFS('Daily NSE Equity Options'!$M:$M,'Daily NSE Equity Options'!$A:$A,$A1424))</f>
        <v/>
      </c>
      <c r="V1424" s="9">
        <f>IF(SUMIFS('Daily BSE Equity Options'!$M:$M,'Daily BSE Equity Options'!$A:$A,$A1424)=0,"",SUMIFS('Daily BSE Equity Options'!$M:$M,'Daily BSE Equity Options'!$A:$A,$A1424))</f>
        <v/>
      </c>
      <c r="W1424" s="9">
        <f>IF(OR(U1424="",V1424=""),"",U1424+V1424)</f>
        <v/>
      </c>
      <c r="X1424" s="25">
        <f>IF(W1424="","",U1424/W1424)</f>
        <v/>
      </c>
      <c r="Y1424" s="25">
        <f>IF(W1424="","",V1424/W1424)</f>
        <v/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19">
        <f>IF(G1425="","",E1425/G1425)</f>
        <v/>
      </c>
      <c r="I1425" s="19">
        <f>IF(G1425="","",F1425/G1425)</f>
        <v/>
      </c>
      <c r="J1425" s="26">
        <f>IFERROR(IF(OR(E1425="",INDEX(E:E,MATCH(DATE(YEAR($A1425)-1,MONTH($A1425),DAY($A1425)),$A:$A,0))=""),"",E1425/INDEX(E:E,MATCH(DATE(YEAR($A1425)-1,MONTH($A1425),DAY($A1425)),$A:$A,0))-1),"")</f>
        <v/>
      </c>
      <c r="K1425" s="19">
        <f>IFERROR(IF(OR(F1425="",INDEX(F:F,MATCH(DATE(YEAR($A1425)-1,MONTH($A1425),DAY($A1425)),$A:$A,0))=""),"",F1425/INDEX(F:F,MATCH(DATE(YEAR($A1425)-1,MONTH($A1425),DAY($A1425)),$A:$A,0))-1),"")</f>
        <v/>
      </c>
      <c r="L1425" s="19">
        <f>IFERROR(IF(OR(G1425="",INDEX(G:G,MATCH(DATE(YEAR($A1425)-1,MONTH($A1425),DAY($A1425)),$A:$A,0))=""),"",G1425/INDEX(G:G,MATCH(DATE(YEAR($A1425)-1,MONTH($A1425),DAY($A1425)),$A:$A,0))-1),"")</f>
        <v/>
      </c>
      <c r="M1425" s="19">
        <f>IF(OR(E1425="",E1424=""),"",E1425/E1424-1)</f>
        <v/>
      </c>
      <c r="N1425" s="19">
        <f>IF(OR(F1425="",F1424=""),"",F1425/F1424-1)</f>
        <v/>
      </c>
      <c r="O1425" s="19">
        <f>IF(OR(G1425="",G1424=""),"",G1425/G1424-1)</f>
        <v/>
      </c>
      <c r="P1425" s="22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IF(R1425="","",P1425/R1425)</f>
        <v/>
      </c>
      <c r="T1425" s="23">
        <f>IF(R1425="","",Q1425/R1425)</f>
        <v/>
      </c>
      <c r="U1425" s="24">
        <f>IF(SUMIFS('Daily NSE Equity Options'!$M:$M,'Daily NSE Equity Options'!$A:$A,$A1425)=0,"",SUMIFS('Daily NSE Equity Options'!$M:$M,'Daily NSE Equity Options'!$A:$A,$A1425))</f>
        <v/>
      </c>
      <c r="V1425" s="9">
        <f>IF(SUMIFS('Daily BSE Equity Options'!$M:$M,'Daily BSE Equity Options'!$A:$A,$A1425)=0,"",SUMIFS('Daily BSE Equity Options'!$M:$M,'Daily BSE Equity Options'!$A:$A,$A1425))</f>
        <v/>
      </c>
      <c r="W1425" s="9">
        <f>IF(OR(U1425="",V1425=""),"",U1425+V1425)</f>
        <v/>
      </c>
      <c r="X1425" s="25">
        <f>IF(W1425="","",U1425/W1425)</f>
        <v/>
      </c>
      <c r="Y1425" s="25">
        <f>IF(W1425="","",V1425/W1425)</f>
        <v/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19">
        <f>IF(G1426="","",E1426/G1426)</f>
        <v/>
      </c>
      <c r="I1426" s="19">
        <f>IF(G1426="","",F1426/G1426)</f>
        <v/>
      </c>
      <c r="J1426" s="26">
        <f>IFERROR(IF(OR(E1426="",INDEX(E:E,MATCH(DATE(YEAR($A1426)-1,MONTH($A1426),DAY($A1426)),$A:$A,0))=""),"",E1426/INDEX(E:E,MATCH(DATE(YEAR($A1426)-1,MONTH($A1426),DAY($A1426)),$A:$A,0))-1),"")</f>
        <v/>
      </c>
      <c r="K1426" s="19">
        <f>IFERROR(IF(OR(F1426="",INDEX(F:F,MATCH(DATE(YEAR($A1426)-1,MONTH($A1426),DAY($A1426)),$A:$A,0))=""),"",F1426/INDEX(F:F,MATCH(DATE(YEAR($A1426)-1,MONTH($A1426),DAY($A1426)),$A:$A,0))-1),"")</f>
        <v/>
      </c>
      <c r="L1426" s="19">
        <f>IFERROR(IF(OR(G1426="",INDEX(G:G,MATCH(DATE(YEAR($A1426)-1,MONTH($A1426),DAY($A1426)),$A:$A,0))=""),"",G1426/INDEX(G:G,MATCH(DATE(YEAR($A1426)-1,MONTH($A1426),DAY($A1426)),$A:$A,0))-1),"")</f>
        <v/>
      </c>
      <c r="M1426" s="19">
        <f>IF(OR(E1426="",E1425=""),"",E1426/E1425-1)</f>
        <v/>
      </c>
      <c r="N1426" s="19">
        <f>IF(OR(F1426="",F1425=""),"",F1426/F1425-1)</f>
        <v/>
      </c>
      <c r="O1426" s="19">
        <f>IF(OR(G1426="",G1425=""),"",G1426/G1425-1)</f>
        <v/>
      </c>
      <c r="P1426" s="22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IF(R1426="","",P1426/R1426)</f>
        <v/>
      </c>
      <c r="T1426" s="23">
        <f>IF(R1426="","",Q1426/R1426)</f>
        <v/>
      </c>
      <c r="U1426" s="24">
        <f>IF(SUMIFS('Daily NSE Equity Options'!$M:$M,'Daily NSE Equity Options'!$A:$A,$A1426)=0,"",SUMIFS('Daily NSE Equity Options'!$M:$M,'Daily NSE Equity Options'!$A:$A,$A1426))</f>
        <v/>
      </c>
      <c r="V1426" s="9">
        <f>IF(SUMIFS('Daily BSE Equity Options'!$M:$M,'Daily BSE Equity Options'!$A:$A,$A1426)=0,"",SUMIFS('Daily BSE Equity Options'!$M:$M,'Daily BSE Equity Options'!$A:$A,$A1426))</f>
        <v/>
      </c>
      <c r="W1426" s="9">
        <f>IF(OR(U1426="",V1426=""),"",U1426+V1426)</f>
        <v/>
      </c>
      <c r="X1426" s="25">
        <f>IF(W1426="","",U1426/W1426)</f>
        <v/>
      </c>
      <c r="Y1426" s="25">
        <f>IF(W1426="","",V1426/W1426)</f>
        <v/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19">
        <f>IF(G1427="","",E1427/G1427)</f>
        <v/>
      </c>
      <c r="I1427" s="19">
        <f>IF(G1427="","",F1427/G1427)</f>
        <v/>
      </c>
      <c r="J1427" s="26">
        <f>IFERROR(IF(OR(E1427="",INDEX(E:E,MATCH(DATE(YEAR($A1427)-1,MONTH($A1427),DAY($A1427)),$A:$A,0))=""),"",E1427/INDEX(E:E,MATCH(DATE(YEAR($A1427)-1,MONTH($A1427),DAY($A1427)),$A:$A,0))-1),"")</f>
        <v/>
      </c>
      <c r="K1427" s="19">
        <f>IFERROR(IF(OR(F1427="",INDEX(F:F,MATCH(DATE(YEAR($A1427)-1,MONTH($A1427),DAY($A1427)),$A:$A,0))=""),"",F1427/INDEX(F:F,MATCH(DATE(YEAR($A1427)-1,MONTH($A1427),DAY($A1427)),$A:$A,0))-1),"")</f>
        <v/>
      </c>
      <c r="L1427" s="19">
        <f>IFERROR(IF(OR(G1427="",INDEX(G:G,MATCH(DATE(YEAR($A1427)-1,MONTH($A1427),DAY($A1427)),$A:$A,0))=""),"",G1427/INDEX(G:G,MATCH(DATE(YEAR($A1427)-1,MONTH($A1427),DAY($A1427)),$A:$A,0))-1),"")</f>
        <v/>
      </c>
      <c r="M1427" s="19">
        <f>IF(OR(E1427="",E1426=""),"",E1427/E1426-1)</f>
        <v/>
      </c>
      <c r="N1427" s="19">
        <f>IF(OR(F1427="",F1426=""),"",F1427/F1426-1)</f>
        <v/>
      </c>
      <c r="O1427" s="19">
        <f>IF(OR(G1427="",G1426=""),"",G1427/G1426-1)</f>
        <v/>
      </c>
      <c r="P1427" s="22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IF(R1427="","",P1427/R1427)</f>
        <v/>
      </c>
      <c r="T1427" s="23">
        <f>IF(R1427="","",Q1427/R1427)</f>
        <v/>
      </c>
      <c r="U1427" s="24">
        <f>IF(SUMIFS('Daily NSE Equity Options'!$M:$M,'Daily NSE Equity Options'!$A:$A,$A1427)=0,"",SUMIFS('Daily NSE Equity Options'!$M:$M,'Daily NSE Equity Options'!$A:$A,$A1427))</f>
        <v/>
      </c>
      <c r="V1427" s="9">
        <f>IF(SUMIFS('Daily BSE Equity Options'!$M:$M,'Daily BSE Equity Options'!$A:$A,$A1427)=0,"",SUMIFS('Daily BSE Equity Options'!$M:$M,'Daily BSE Equity Options'!$A:$A,$A1427))</f>
        <v/>
      </c>
      <c r="W1427" s="9">
        <f>IF(OR(U1427="",V1427=""),"",U1427+V1427)</f>
        <v/>
      </c>
      <c r="X1427" s="25">
        <f>IF(W1427="","",U1427/W1427)</f>
        <v/>
      </c>
      <c r="Y1427" s="25">
        <f>IF(W1427="","",V1427/W1427)</f>
        <v/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19">
        <f>IF(G1428="","",E1428/G1428)</f>
        <v/>
      </c>
      <c r="I1428" s="19">
        <f>IF(G1428="","",F1428/G1428)</f>
        <v/>
      </c>
      <c r="J1428" s="26">
        <f>IFERROR(IF(OR(E1428="",INDEX(E:E,MATCH(DATE(YEAR($A1428)-1,MONTH($A1428),DAY($A1428)),$A:$A,0))=""),"",E1428/INDEX(E:E,MATCH(DATE(YEAR($A1428)-1,MONTH($A1428),DAY($A1428)),$A:$A,0))-1),"")</f>
        <v/>
      </c>
      <c r="K1428" s="19">
        <f>IFERROR(IF(OR(F1428="",INDEX(F:F,MATCH(DATE(YEAR($A1428)-1,MONTH($A1428),DAY($A1428)),$A:$A,0))=""),"",F1428/INDEX(F:F,MATCH(DATE(YEAR($A1428)-1,MONTH($A1428),DAY($A1428)),$A:$A,0))-1),"")</f>
        <v/>
      </c>
      <c r="L1428" s="19">
        <f>IFERROR(IF(OR(G1428="",INDEX(G:G,MATCH(DATE(YEAR($A1428)-1,MONTH($A1428),DAY($A1428)),$A:$A,0))=""),"",G1428/INDEX(G:G,MATCH(DATE(YEAR($A1428)-1,MONTH($A1428),DAY($A1428)),$A:$A,0))-1),"")</f>
        <v/>
      </c>
      <c r="M1428" s="19">
        <f>IF(OR(E1428="",E1427=""),"",E1428/E1427-1)</f>
        <v/>
      </c>
      <c r="N1428" s="19">
        <f>IF(OR(F1428="",F1427=""),"",F1428/F1427-1)</f>
        <v/>
      </c>
      <c r="O1428" s="19">
        <f>IF(OR(G1428="",G1427=""),"",G1428/G1427-1)</f>
        <v/>
      </c>
      <c r="P1428" s="22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IF(R1428="","",P1428/R1428)</f>
        <v/>
      </c>
      <c r="T1428" s="23">
        <f>IF(R1428="","",Q1428/R1428)</f>
        <v/>
      </c>
      <c r="U1428" s="24">
        <f>IF(SUMIFS('Daily NSE Equity Options'!$M:$M,'Daily NSE Equity Options'!$A:$A,$A1428)=0,"",SUMIFS('Daily NSE Equity Options'!$M:$M,'Daily NSE Equity Options'!$A:$A,$A1428))</f>
        <v/>
      </c>
      <c r="V1428" s="9">
        <f>IF(SUMIFS('Daily BSE Equity Options'!$M:$M,'Daily BSE Equity Options'!$A:$A,$A1428)=0,"",SUMIFS('Daily BSE Equity Options'!$M:$M,'Daily BSE Equity Options'!$A:$A,$A1428))</f>
        <v/>
      </c>
      <c r="W1428" s="9">
        <f>IF(OR(U1428="",V1428=""),"",U1428+V1428)</f>
        <v/>
      </c>
      <c r="X1428" s="25">
        <f>IF(W1428="","",U1428/W1428)</f>
        <v/>
      </c>
      <c r="Y1428" s="25">
        <f>IF(W1428="","",V1428/W1428)</f>
        <v/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19">
        <f>IF(G1429="","",E1429/G1429)</f>
        <v/>
      </c>
      <c r="I1429" s="19">
        <f>IF(G1429="","",F1429/G1429)</f>
        <v/>
      </c>
      <c r="J1429" s="26">
        <f>IFERROR(IF(OR(E1429="",INDEX(E:E,MATCH(DATE(YEAR($A1429)-1,MONTH($A1429),DAY($A1429)),$A:$A,0))=""),"",E1429/INDEX(E:E,MATCH(DATE(YEAR($A1429)-1,MONTH($A1429),DAY($A1429)),$A:$A,0))-1),"")</f>
        <v/>
      </c>
      <c r="K1429" s="19">
        <f>IFERROR(IF(OR(F1429="",INDEX(F:F,MATCH(DATE(YEAR($A1429)-1,MONTH($A1429),DAY($A1429)),$A:$A,0))=""),"",F1429/INDEX(F:F,MATCH(DATE(YEAR($A1429)-1,MONTH($A1429),DAY($A1429)),$A:$A,0))-1),"")</f>
        <v/>
      </c>
      <c r="L1429" s="19">
        <f>IFERROR(IF(OR(G1429="",INDEX(G:G,MATCH(DATE(YEAR($A1429)-1,MONTH($A1429),DAY($A1429)),$A:$A,0))=""),"",G1429/INDEX(G:G,MATCH(DATE(YEAR($A1429)-1,MONTH($A1429),DAY($A1429)),$A:$A,0))-1),"")</f>
        <v/>
      </c>
      <c r="M1429" s="19">
        <f>IF(OR(E1429="",E1428=""),"",E1429/E1428-1)</f>
        <v/>
      </c>
      <c r="N1429" s="19">
        <f>IF(OR(F1429="",F1428=""),"",F1429/F1428-1)</f>
        <v/>
      </c>
      <c r="O1429" s="19">
        <f>IF(OR(G1429="",G1428=""),"",G1429/G1428-1)</f>
        <v/>
      </c>
      <c r="P1429" s="22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IF(R1429="","",P1429/R1429)</f>
        <v/>
      </c>
      <c r="T1429" s="23">
        <f>IF(R1429="","",Q1429/R1429)</f>
        <v/>
      </c>
      <c r="U1429" s="24">
        <f>IF(SUMIFS('Daily NSE Equity Options'!$M:$M,'Daily NSE Equity Options'!$A:$A,$A1429)=0,"",SUMIFS('Daily NSE Equity Options'!$M:$M,'Daily NSE Equity Options'!$A:$A,$A1429))</f>
        <v/>
      </c>
      <c r="V1429" s="9">
        <f>IF(SUMIFS('Daily BSE Equity Options'!$M:$M,'Daily BSE Equity Options'!$A:$A,$A1429)=0,"",SUMIFS('Daily BSE Equity Options'!$M:$M,'Daily BSE Equity Options'!$A:$A,$A1429))</f>
        <v/>
      </c>
      <c r="W1429" s="9">
        <f>IF(OR(U1429="",V1429=""),"",U1429+V1429)</f>
        <v/>
      </c>
      <c r="X1429" s="25">
        <f>IF(W1429="","",U1429/W1429)</f>
        <v/>
      </c>
      <c r="Y1429" s="25">
        <f>IF(W1429="","",V1429/W1429)</f>
        <v/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19">
        <f>IF(G1430="","",E1430/G1430)</f>
        <v/>
      </c>
      <c r="I1430" s="19">
        <f>IF(G1430="","",F1430/G1430)</f>
        <v/>
      </c>
      <c r="J1430" s="26">
        <f>IFERROR(IF(OR(E1430="",INDEX(E:E,MATCH(DATE(YEAR($A1430)-1,MONTH($A1430),DAY($A1430)),$A:$A,0))=""),"",E1430/INDEX(E:E,MATCH(DATE(YEAR($A1430)-1,MONTH($A1430),DAY($A1430)),$A:$A,0))-1),"")</f>
        <v/>
      </c>
      <c r="K1430" s="19">
        <f>IFERROR(IF(OR(F1430="",INDEX(F:F,MATCH(DATE(YEAR($A1430)-1,MONTH($A1430),DAY($A1430)),$A:$A,0))=""),"",F1430/INDEX(F:F,MATCH(DATE(YEAR($A1430)-1,MONTH($A1430),DAY($A1430)),$A:$A,0))-1),"")</f>
        <v/>
      </c>
      <c r="L1430" s="19">
        <f>IFERROR(IF(OR(G1430="",INDEX(G:G,MATCH(DATE(YEAR($A1430)-1,MONTH($A1430),DAY($A1430)),$A:$A,0))=""),"",G1430/INDEX(G:G,MATCH(DATE(YEAR($A1430)-1,MONTH($A1430),DAY($A1430)),$A:$A,0))-1),"")</f>
        <v/>
      </c>
      <c r="M1430" s="19">
        <f>IF(OR(E1430="",E1429=""),"",E1430/E1429-1)</f>
        <v/>
      </c>
      <c r="N1430" s="19">
        <f>IF(OR(F1430="",F1429=""),"",F1430/F1429-1)</f>
        <v/>
      </c>
      <c r="O1430" s="19">
        <f>IF(OR(G1430="",G1429=""),"",G1430/G1429-1)</f>
        <v/>
      </c>
      <c r="P1430" s="22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IF(R1430="","",P1430/R1430)</f>
        <v/>
      </c>
      <c r="T1430" s="23">
        <f>IF(R1430="","",Q1430/R1430)</f>
        <v/>
      </c>
      <c r="U1430" s="24">
        <f>IF(SUMIFS('Daily NSE Equity Options'!$M:$M,'Daily NSE Equity Options'!$A:$A,$A1430)=0,"",SUMIFS('Daily NSE Equity Options'!$M:$M,'Daily NSE Equity Options'!$A:$A,$A1430))</f>
        <v/>
      </c>
      <c r="V1430" s="9">
        <f>IF(SUMIFS('Daily BSE Equity Options'!$M:$M,'Daily BSE Equity Options'!$A:$A,$A1430)=0,"",SUMIFS('Daily BSE Equity Options'!$M:$M,'Daily BSE Equity Options'!$A:$A,$A1430))</f>
        <v/>
      </c>
      <c r="W1430" s="9">
        <f>IF(OR(U1430="",V1430=""),"",U1430+V1430)</f>
        <v/>
      </c>
      <c r="X1430" s="25">
        <f>IF(W1430="","",U1430/W1430)</f>
        <v/>
      </c>
      <c r="Y1430" s="25">
        <f>IF(W1430="","",V1430/W1430)</f>
        <v/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19">
        <f>IF(G1431="","",E1431/G1431)</f>
        <v/>
      </c>
      <c r="I1431" s="19">
        <f>IF(G1431="","",F1431/G1431)</f>
        <v/>
      </c>
      <c r="J1431" s="26">
        <f>IFERROR(IF(OR(E1431="",INDEX(E:E,MATCH(DATE(YEAR($A1431)-1,MONTH($A1431),DAY($A1431)),$A:$A,0))=""),"",E1431/INDEX(E:E,MATCH(DATE(YEAR($A1431)-1,MONTH($A1431),DAY($A1431)),$A:$A,0))-1),"")</f>
        <v/>
      </c>
      <c r="K1431" s="19">
        <f>IFERROR(IF(OR(F1431="",INDEX(F:F,MATCH(DATE(YEAR($A1431)-1,MONTH($A1431),DAY($A1431)),$A:$A,0))=""),"",F1431/INDEX(F:F,MATCH(DATE(YEAR($A1431)-1,MONTH($A1431),DAY($A1431)),$A:$A,0))-1),"")</f>
        <v/>
      </c>
      <c r="L1431" s="19">
        <f>IFERROR(IF(OR(G1431="",INDEX(G:G,MATCH(DATE(YEAR($A1431)-1,MONTH($A1431),DAY($A1431)),$A:$A,0))=""),"",G1431/INDEX(G:G,MATCH(DATE(YEAR($A1431)-1,MONTH($A1431),DAY($A1431)),$A:$A,0))-1),"")</f>
        <v/>
      </c>
      <c r="M1431" s="19">
        <f>IF(OR(E1431="",E1430=""),"",E1431/E1430-1)</f>
        <v/>
      </c>
      <c r="N1431" s="19">
        <f>IF(OR(F1431="",F1430=""),"",F1431/F1430-1)</f>
        <v/>
      </c>
      <c r="O1431" s="19">
        <f>IF(OR(G1431="",G1430=""),"",G1431/G1430-1)</f>
        <v/>
      </c>
      <c r="P1431" s="22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IF(R1431="","",P1431/R1431)</f>
        <v/>
      </c>
      <c r="T1431" s="23">
        <f>IF(R1431="","",Q1431/R1431)</f>
        <v/>
      </c>
      <c r="U1431" s="24">
        <f>IF(SUMIFS('Daily NSE Equity Options'!$M:$M,'Daily NSE Equity Options'!$A:$A,$A1431)=0,"",SUMIFS('Daily NSE Equity Options'!$M:$M,'Daily NSE Equity Options'!$A:$A,$A1431))</f>
        <v/>
      </c>
      <c r="V1431" s="9">
        <f>IF(SUMIFS('Daily BSE Equity Options'!$M:$M,'Daily BSE Equity Options'!$A:$A,$A1431)=0,"",SUMIFS('Daily BSE Equity Options'!$M:$M,'Daily BSE Equity Options'!$A:$A,$A1431))</f>
        <v/>
      </c>
      <c r="W1431" s="9">
        <f>IF(OR(U1431="",V1431=""),"",U1431+V1431)</f>
        <v/>
      </c>
      <c r="X1431" s="25">
        <f>IF(W1431="","",U1431/W1431)</f>
        <v/>
      </c>
      <c r="Y1431" s="25">
        <f>IF(W1431="","",V1431/W1431)</f>
        <v/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19">
        <f>IF(G1432="","",E1432/G1432)</f>
        <v/>
      </c>
      <c r="I1432" s="19">
        <f>IF(G1432="","",F1432/G1432)</f>
        <v/>
      </c>
      <c r="J1432" s="26">
        <f>IFERROR(IF(OR(E1432="",INDEX(E:E,MATCH(DATE(YEAR($A1432)-1,MONTH($A1432),DAY($A1432)),$A:$A,0))=""),"",E1432/INDEX(E:E,MATCH(DATE(YEAR($A1432)-1,MONTH($A1432),DAY($A1432)),$A:$A,0))-1),"")</f>
        <v/>
      </c>
      <c r="K1432" s="19">
        <f>IFERROR(IF(OR(F1432="",INDEX(F:F,MATCH(DATE(YEAR($A1432)-1,MONTH($A1432),DAY($A1432)),$A:$A,0))=""),"",F1432/INDEX(F:F,MATCH(DATE(YEAR($A1432)-1,MONTH($A1432),DAY($A1432)),$A:$A,0))-1),"")</f>
        <v/>
      </c>
      <c r="L1432" s="19">
        <f>IFERROR(IF(OR(G1432="",INDEX(G:G,MATCH(DATE(YEAR($A1432)-1,MONTH($A1432),DAY($A1432)),$A:$A,0))=""),"",G1432/INDEX(G:G,MATCH(DATE(YEAR($A1432)-1,MONTH($A1432),DAY($A1432)),$A:$A,0))-1),"")</f>
        <v/>
      </c>
      <c r="M1432" s="19">
        <f>IF(OR(E1432="",E1431=""),"",E1432/E1431-1)</f>
        <v/>
      </c>
      <c r="N1432" s="19">
        <f>IF(OR(F1432="",F1431=""),"",F1432/F1431-1)</f>
        <v/>
      </c>
      <c r="O1432" s="19">
        <f>IF(OR(G1432="",G1431=""),"",G1432/G1431-1)</f>
        <v/>
      </c>
      <c r="P1432" s="22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IF(R1432="","",P1432/R1432)</f>
        <v/>
      </c>
      <c r="T1432" s="23">
        <f>IF(R1432="","",Q1432/R1432)</f>
        <v/>
      </c>
      <c r="U1432" s="24">
        <f>IF(SUMIFS('Daily NSE Equity Options'!$M:$M,'Daily NSE Equity Options'!$A:$A,$A1432)=0,"",SUMIFS('Daily NSE Equity Options'!$M:$M,'Daily NSE Equity Options'!$A:$A,$A1432))</f>
        <v/>
      </c>
      <c r="V1432" s="9">
        <f>IF(SUMIFS('Daily BSE Equity Options'!$M:$M,'Daily BSE Equity Options'!$A:$A,$A1432)=0,"",SUMIFS('Daily BSE Equity Options'!$M:$M,'Daily BSE Equity Options'!$A:$A,$A1432))</f>
        <v/>
      </c>
      <c r="W1432" s="9">
        <f>IF(OR(U1432="",V1432=""),"",U1432+V1432)</f>
        <v/>
      </c>
      <c r="X1432" s="25">
        <f>IF(W1432="","",U1432/W1432)</f>
        <v/>
      </c>
      <c r="Y1432" s="25">
        <f>IF(W1432="","",V1432/W1432)</f>
        <v/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19">
        <f>IF(G1433="","",E1433/G1433)</f>
        <v/>
      </c>
      <c r="I1433" s="19">
        <f>IF(G1433="","",F1433/G1433)</f>
        <v/>
      </c>
      <c r="J1433" s="26">
        <f>IFERROR(IF(OR(E1433="",INDEX(E:E,MATCH(DATE(YEAR($A1433)-1,MONTH($A1433),DAY($A1433)),$A:$A,0))=""),"",E1433/INDEX(E:E,MATCH(DATE(YEAR($A1433)-1,MONTH($A1433),DAY($A1433)),$A:$A,0))-1),"")</f>
        <v/>
      </c>
      <c r="K1433" s="19">
        <f>IFERROR(IF(OR(F1433="",INDEX(F:F,MATCH(DATE(YEAR($A1433)-1,MONTH($A1433),DAY($A1433)),$A:$A,0))=""),"",F1433/INDEX(F:F,MATCH(DATE(YEAR($A1433)-1,MONTH($A1433),DAY($A1433)),$A:$A,0))-1),"")</f>
        <v/>
      </c>
      <c r="L1433" s="19">
        <f>IFERROR(IF(OR(G1433="",INDEX(G:G,MATCH(DATE(YEAR($A1433)-1,MONTH($A1433),DAY($A1433)),$A:$A,0))=""),"",G1433/INDEX(G:G,MATCH(DATE(YEAR($A1433)-1,MONTH($A1433),DAY($A1433)),$A:$A,0))-1),"")</f>
        <v/>
      </c>
      <c r="M1433" s="19">
        <f>IF(OR(E1433="",E1432=""),"",E1433/E1432-1)</f>
        <v/>
      </c>
      <c r="N1433" s="19">
        <f>IF(OR(F1433="",F1432=""),"",F1433/F1432-1)</f>
        <v/>
      </c>
      <c r="O1433" s="19">
        <f>IF(OR(G1433="",G1432=""),"",G1433/G1432-1)</f>
        <v/>
      </c>
      <c r="P1433" s="22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IF(R1433="","",P1433/R1433)</f>
        <v/>
      </c>
      <c r="T1433" s="23">
        <f>IF(R1433="","",Q1433/R1433)</f>
        <v/>
      </c>
      <c r="U1433" s="24">
        <f>IF(SUMIFS('Daily NSE Equity Options'!$M:$M,'Daily NSE Equity Options'!$A:$A,$A1433)=0,"",SUMIFS('Daily NSE Equity Options'!$M:$M,'Daily NSE Equity Options'!$A:$A,$A1433))</f>
        <v/>
      </c>
      <c r="V1433" s="9">
        <f>IF(SUMIFS('Daily BSE Equity Options'!$M:$M,'Daily BSE Equity Options'!$A:$A,$A1433)=0,"",SUMIFS('Daily BSE Equity Options'!$M:$M,'Daily BSE Equity Options'!$A:$A,$A1433))</f>
        <v/>
      </c>
      <c r="W1433" s="9">
        <f>IF(OR(U1433="",V1433=""),"",U1433+V1433)</f>
        <v/>
      </c>
      <c r="X1433" s="25">
        <f>IF(W1433="","",U1433/W1433)</f>
        <v/>
      </c>
      <c r="Y1433" s="25">
        <f>IF(W1433="","",V1433/W1433)</f>
        <v/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19">
        <f>IF(G1434="","",E1434/G1434)</f>
        <v/>
      </c>
      <c r="I1434" s="19">
        <f>IF(G1434="","",F1434/G1434)</f>
        <v/>
      </c>
      <c r="J1434" s="26">
        <f>IFERROR(IF(OR(E1434="",INDEX(E:E,MATCH(DATE(YEAR($A1434)-1,MONTH($A1434),DAY($A1434)),$A:$A,0))=""),"",E1434/INDEX(E:E,MATCH(DATE(YEAR($A1434)-1,MONTH($A1434),DAY($A1434)),$A:$A,0))-1),"")</f>
        <v/>
      </c>
      <c r="K1434" s="19">
        <f>IFERROR(IF(OR(F1434="",INDEX(F:F,MATCH(DATE(YEAR($A1434)-1,MONTH($A1434),DAY($A1434)),$A:$A,0))=""),"",F1434/INDEX(F:F,MATCH(DATE(YEAR($A1434)-1,MONTH($A1434),DAY($A1434)),$A:$A,0))-1),"")</f>
        <v/>
      </c>
      <c r="L1434" s="19">
        <f>IFERROR(IF(OR(G1434="",INDEX(G:G,MATCH(DATE(YEAR($A1434)-1,MONTH($A1434),DAY($A1434)),$A:$A,0))=""),"",G1434/INDEX(G:G,MATCH(DATE(YEAR($A1434)-1,MONTH($A1434),DAY($A1434)),$A:$A,0))-1),"")</f>
        <v/>
      </c>
      <c r="M1434" s="19">
        <f>IF(OR(E1434="",E1433=""),"",E1434/E1433-1)</f>
        <v/>
      </c>
      <c r="N1434" s="19">
        <f>IF(OR(F1434="",F1433=""),"",F1434/F1433-1)</f>
        <v/>
      </c>
      <c r="O1434" s="19">
        <f>IF(OR(G1434="",G1433=""),"",G1434/G1433-1)</f>
        <v/>
      </c>
      <c r="P1434" s="22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IF(R1434="","",P1434/R1434)</f>
        <v/>
      </c>
      <c r="T1434" s="23">
        <f>IF(R1434="","",Q1434/R1434)</f>
        <v/>
      </c>
      <c r="U1434" s="24">
        <f>IF(SUMIFS('Daily NSE Equity Options'!$M:$M,'Daily NSE Equity Options'!$A:$A,$A1434)=0,"",SUMIFS('Daily NSE Equity Options'!$M:$M,'Daily NSE Equity Options'!$A:$A,$A1434))</f>
        <v/>
      </c>
      <c r="V1434" s="9">
        <f>IF(SUMIFS('Daily BSE Equity Options'!$M:$M,'Daily BSE Equity Options'!$A:$A,$A1434)=0,"",SUMIFS('Daily BSE Equity Options'!$M:$M,'Daily BSE Equity Options'!$A:$A,$A1434))</f>
        <v/>
      </c>
      <c r="W1434" s="9">
        <f>IF(OR(U1434="",V1434=""),"",U1434+V1434)</f>
        <v/>
      </c>
      <c r="X1434" s="25">
        <f>IF(W1434="","",U1434/W1434)</f>
        <v/>
      </c>
      <c r="Y1434" s="25">
        <f>IF(W1434="","",V1434/W1434)</f>
        <v/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19">
        <f>IF(G1435="","",E1435/G1435)</f>
        <v/>
      </c>
      <c r="I1435" s="19">
        <f>IF(G1435="","",F1435/G1435)</f>
        <v/>
      </c>
      <c r="J1435" s="26">
        <f>IFERROR(IF(OR(E1435="",INDEX(E:E,MATCH(DATE(YEAR($A1435)-1,MONTH($A1435),DAY($A1435)),$A:$A,0))=""),"",E1435/INDEX(E:E,MATCH(DATE(YEAR($A1435)-1,MONTH($A1435),DAY($A1435)),$A:$A,0))-1),"")</f>
        <v/>
      </c>
      <c r="K1435" s="19">
        <f>IFERROR(IF(OR(F1435="",INDEX(F:F,MATCH(DATE(YEAR($A1435)-1,MONTH($A1435),DAY($A1435)),$A:$A,0))=""),"",F1435/INDEX(F:F,MATCH(DATE(YEAR($A1435)-1,MONTH($A1435),DAY($A1435)),$A:$A,0))-1),"")</f>
        <v/>
      </c>
      <c r="L1435" s="19">
        <f>IFERROR(IF(OR(G1435="",INDEX(G:G,MATCH(DATE(YEAR($A1435)-1,MONTH($A1435),DAY($A1435)),$A:$A,0))=""),"",G1435/INDEX(G:G,MATCH(DATE(YEAR($A1435)-1,MONTH($A1435),DAY($A1435)),$A:$A,0))-1),"")</f>
        <v/>
      </c>
      <c r="M1435" s="19">
        <f>IF(OR(E1435="",E1434=""),"",E1435/E1434-1)</f>
        <v/>
      </c>
      <c r="N1435" s="19">
        <f>IF(OR(F1435="",F1434=""),"",F1435/F1434-1)</f>
        <v/>
      </c>
      <c r="O1435" s="19">
        <f>IF(OR(G1435="",G1434=""),"",G1435/G1434-1)</f>
        <v/>
      </c>
      <c r="P1435" s="22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IF(R1435="","",P1435/R1435)</f>
        <v/>
      </c>
      <c r="T1435" s="23">
        <f>IF(R1435="","",Q1435/R1435)</f>
        <v/>
      </c>
      <c r="U1435" s="24">
        <f>IF(SUMIFS('Daily NSE Equity Options'!$M:$M,'Daily NSE Equity Options'!$A:$A,$A1435)=0,"",SUMIFS('Daily NSE Equity Options'!$M:$M,'Daily NSE Equity Options'!$A:$A,$A1435))</f>
        <v/>
      </c>
      <c r="V1435" s="9">
        <f>IF(SUMIFS('Daily BSE Equity Options'!$M:$M,'Daily BSE Equity Options'!$A:$A,$A1435)=0,"",SUMIFS('Daily BSE Equity Options'!$M:$M,'Daily BSE Equity Options'!$A:$A,$A1435))</f>
        <v/>
      </c>
      <c r="W1435" s="9">
        <f>IF(OR(U1435="",V1435=""),"",U1435+V1435)</f>
        <v/>
      </c>
      <c r="X1435" s="25">
        <f>IF(W1435="","",U1435/W1435)</f>
        <v/>
      </c>
      <c r="Y1435" s="25">
        <f>IF(W1435="","",V1435/W1435)</f>
        <v/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19">
        <f>IF(G1436="","",E1436/G1436)</f>
        <v/>
      </c>
      <c r="I1436" s="19">
        <f>IF(G1436="","",F1436/G1436)</f>
        <v/>
      </c>
      <c r="J1436" s="26">
        <f>IFERROR(IF(OR(E1436="",INDEX(E:E,MATCH(DATE(YEAR($A1436)-1,MONTH($A1436),DAY($A1436)),$A:$A,0))=""),"",E1436/INDEX(E:E,MATCH(DATE(YEAR($A1436)-1,MONTH($A1436),DAY($A1436)),$A:$A,0))-1),"")</f>
        <v/>
      </c>
      <c r="K1436" s="19">
        <f>IFERROR(IF(OR(F1436="",INDEX(F:F,MATCH(DATE(YEAR($A1436)-1,MONTH($A1436),DAY($A1436)),$A:$A,0))=""),"",F1436/INDEX(F:F,MATCH(DATE(YEAR($A1436)-1,MONTH($A1436),DAY($A1436)),$A:$A,0))-1),"")</f>
        <v/>
      </c>
      <c r="L1436" s="19">
        <f>IFERROR(IF(OR(G1436="",INDEX(G:G,MATCH(DATE(YEAR($A1436)-1,MONTH($A1436),DAY($A1436)),$A:$A,0))=""),"",G1436/INDEX(G:G,MATCH(DATE(YEAR($A1436)-1,MONTH($A1436),DAY($A1436)),$A:$A,0))-1),"")</f>
        <v/>
      </c>
      <c r="M1436" s="19">
        <f>IF(OR(E1436="",E1435=""),"",E1436/E1435-1)</f>
        <v/>
      </c>
      <c r="N1436" s="19">
        <f>IF(OR(F1436="",F1435=""),"",F1436/F1435-1)</f>
        <v/>
      </c>
      <c r="O1436" s="19">
        <f>IF(OR(G1436="",G1435=""),"",G1436/G1435-1)</f>
        <v/>
      </c>
      <c r="P1436" s="22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IF(R1436="","",P1436/R1436)</f>
        <v/>
      </c>
      <c r="T1436" s="23">
        <f>IF(R1436="","",Q1436/R1436)</f>
        <v/>
      </c>
      <c r="U1436" s="24">
        <f>IF(SUMIFS('Daily NSE Equity Options'!$M:$M,'Daily NSE Equity Options'!$A:$A,$A1436)=0,"",SUMIFS('Daily NSE Equity Options'!$M:$M,'Daily NSE Equity Options'!$A:$A,$A1436))</f>
        <v/>
      </c>
      <c r="V1436" s="9">
        <f>IF(SUMIFS('Daily BSE Equity Options'!$M:$M,'Daily BSE Equity Options'!$A:$A,$A1436)=0,"",SUMIFS('Daily BSE Equity Options'!$M:$M,'Daily BSE Equity Options'!$A:$A,$A1436))</f>
        <v/>
      </c>
      <c r="W1436" s="9">
        <f>IF(OR(U1436="",V1436=""),"",U1436+V1436)</f>
        <v/>
      </c>
      <c r="X1436" s="25">
        <f>IF(W1436="","",U1436/W1436)</f>
        <v/>
      </c>
      <c r="Y1436" s="25">
        <f>IF(W1436="","",V1436/W1436)</f>
        <v/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19">
        <f>IF(G1437="","",E1437/G1437)</f>
        <v/>
      </c>
      <c r="I1437" s="19">
        <f>IF(G1437="","",F1437/G1437)</f>
        <v/>
      </c>
      <c r="J1437" s="26">
        <f>IFERROR(IF(OR(E1437="",INDEX(E:E,MATCH(DATE(YEAR($A1437)-1,MONTH($A1437),DAY($A1437)),$A:$A,0))=""),"",E1437/INDEX(E:E,MATCH(DATE(YEAR($A1437)-1,MONTH($A1437),DAY($A1437)),$A:$A,0))-1),"")</f>
        <v/>
      </c>
      <c r="K1437" s="19">
        <f>IFERROR(IF(OR(F1437="",INDEX(F:F,MATCH(DATE(YEAR($A1437)-1,MONTH($A1437),DAY($A1437)),$A:$A,0))=""),"",F1437/INDEX(F:F,MATCH(DATE(YEAR($A1437)-1,MONTH($A1437),DAY($A1437)),$A:$A,0))-1),"")</f>
        <v/>
      </c>
      <c r="L1437" s="19">
        <f>IFERROR(IF(OR(G1437="",INDEX(G:G,MATCH(DATE(YEAR($A1437)-1,MONTH($A1437),DAY($A1437)),$A:$A,0))=""),"",G1437/INDEX(G:G,MATCH(DATE(YEAR($A1437)-1,MONTH($A1437),DAY($A1437)),$A:$A,0))-1),"")</f>
        <v/>
      </c>
      <c r="M1437" s="19">
        <f>IF(OR(E1437="",E1436=""),"",E1437/E1436-1)</f>
        <v/>
      </c>
      <c r="N1437" s="19">
        <f>IF(OR(F1437="",F1436=""),"",F1437/F1436-1)</f>
        <v/>
      </c>
      <c r="O1437" s="19">
        <f>IF(OR(G1437="",G1436=""),"",G1437/G1436-1)</f>
        <v/>
      </c>
      <c r="P1437" s="22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IF(R1437="","",P1437/R1437)</f>
        <v/>
      </c>
      <c r="T1437" s="23">
        <f>IF(R1437="","",Q1437/R1437)</f>
        <v/>
      </c>
      <c r="U1437" s="24">
        <f>IF(SUMIFS('Daily NSE Equity Options'!$M:$M,'Daily NSE Equity Options'!$A:$A,$A1437)=0,"",SUMIFS('Daily NSE Equity Options'!$M:$M,'Daily NSE Equity Options'!$A:$A,$A1437))</f>
        <v/>
      </c>
      <c r="V1437" s="9">
        <f>IF(SUMIFS('Daily BSE Equity Options'!$M:$M,'Daily BSE Equity Options'!$A:$A,$A1437)=0,"",SUMIFS('Daily BSE Equity Options'!$M:$M,'Daily BSE Equity Options'!$A:$A,$A1437))</f>
        <v/>
      </c>
      <c r="W1437" s="9">
        <f>IF(OR(U1437="",V1437=""),"",U1437+V1437)</f>
        <v/>
      </c>
      <c r="X1437" s="25">
        <f>IF(W1437="","",U1437/W1437)</f>
        <v/>
      </c>
      <c r="Y1437" s="25">
        <f>IF(W1437="","",V1437/W1437)</f>
        <v/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19">
        <f>IF(G1438="","",E1438/G1438)</f>
        <v/>
      </c>
      <c r="I1438" s="19">
        <f>IF(G1438="","",F1438/G1438)</f>
        <v/>
      </c>
      <c r="J1438" s="26">
        <f>IFERROR(IF(OR(E1438="",INDEX(E:E,MATCH(DATE(YEAR($A1438)-1,MONTH($A1438),DAY($A1438)),$A:$A,0))=""),"",E1438/INDEX(E:E,MATCH(DATE(YEAR($A1438)-1,MONTH($A1438),DAY($A1438)),$A:$A,0))-1),"")</f>
        <v/>
      </c>
      <c r="K1438" s="19">
        <f>IFERROR(IF(OR(F1438="",INDEX(F:F,MATCH(DATE(YEAR($A1438)-1,MONTH($A1438),DAY($A1438)),$A:$A,0))=""),"",F1438/INDEX(F:F,MATCH(DATE(YEAR($A1438)-1,MONTH($A1438),DAY($A1438)),$A:$A,0))-1),"")</f>
        <v/>
      </c>
      <c r="L1438" s="19">
        <f>IFERROR(IF(OR(G1438="",INDEX(G:G,MATCH(DATE(YEAR($A1438)-1,MONTH($A1438),DAY($A1438)),$A:$A,0))=""),"",G1438/INDEX(G:G,MATCH(DATE(YEAR($A1438)-1,MONTH($A1438),DAY($A1438)),$A:$A,0))-1),"")</f>
        <v/>
      </c>
      <c r="M1438" s="19">
        <f>IF(OR(E1438="",E1437=""),"",E1438/E1437-1)</f>
        <v/>
      </c>
      <c r="N1438" s="19">
        <f>IF(OR(F1438="",F1437=""),"",F1438/F1437-1)</f>
        <v/>
      </c>
      <c r="O1438" s="19">
        <f>IF(OR(G1438="",G1437=""),"",G1438/G1437-1)</f>
        <v/>
      </c>
      <c r="P1438" s="22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IF(R1438="","",P1438/R1438)</f>
        <v/>
      </c>
      <c r="T1438" s="23">
        <f>IF(R1438="","",Q1438/R1438)</f>
        <v/>
      </c>
      <c r="U1438" s="24">
        <f>IF(SUMIFS('Daily NSE Equity Options'!$M:$M,'Daily NSE Equity Options'!$A:$A,$A1438)=0,"",SUMIFS('Daily NSE Equity Options'!$M:$M,'Daily NSE Equity Options'!$A:$A,$A1438))</f>
        <v/>
      </c>
      <c r="V1438" s="9">
        <f>IF(SUMIFS('Daily BSE Equity Options'!$M:$M,'Daily BSE Equity Options'!$A:$A,$A1438)=0,"",SUMIFS('Daily BSE Equity Options'!$M:$M,'Daily BSE Equity Options'!$A:$A,$A1438))</f>
        <v/>
      </c>
      <c r="W1438" s="9">
        <f>IF(OR(U1438="",V1438=""),"",U1438+V1438)</f>
        <v/>
      </c>
      <c r="X1438" s="25">
        <f>IF(W1438="","",U1438/W1438)</f>
        <v/>
      </c>
      <c r="Y1438" s="25">
        <f>IF(W1438="","",V1438/W1438)</f>
        <v/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19">
        <f>IF(G1439="","",E1439/G1439)</f>
        <v/>
      </c>
      <c r="I1439" s="19">
        <f>IF(G1439="","",F1439/G1439)</f>
        <v/>
      </c>
      <c r="J1439" s="26">
        <f>IFERROR(IF(OR(E1439="",INDEX(E:E,MATCH(DATE(YEAR($A1439)-1,MONTH($A1439),DAY($A1439)),$A:$A,0))=""),"",E1439/INDEX(E:E,MATCH(DATE(YEAR($A1439)-1,MONTH($A1439),DAY($A1439)),$A:$A,0))-1),"")</f>
        <v/>
      </c>
      <c r="K1439" s="19">
        <f>IFERROR(IF(OR(F1439="",INDEX(F:F,MATCH(DATE(YEAR($A1439)-1,MONTH($A1439),DAY($A1439)),$A:$A,0))=""),"",F1439/INDEX(F:F,MATCH(DATE(YEAR($A1439)-1,MONTH($A1439),DAY($A1439)),$A:$A,0))-1),"")</f>
        <v/>
      </c>
      <c r="L1439" s="19">
        <f>IFERROR(IF(OR(G1439="",INDEX(G:G,MATCH(DATE(YEAR($A1439)-1,MONTH($A1439),DAY($A1439)),$A:$A,0))=""),"",G1439/INDEX(G:G,MATCH(DATE(YEAR($A1439)-1,MONTH($A1439),DAY($A1439)),$A:$A,0))-1),"")</f>
        <v/>
      </c>
      <c r="M1439" s="19">
        <f>IF(OR(E1439="",E1438=""),"",E1439/E1438-1)</f>
        <v/>
      </c>
      <c r="N1439" s="19">
        <f>IF(OR(F1439="",F1438=""),"",F1439/F1438-1)</f>
        <v/>
      </c>
      <c r="O1439" s="19">
        <f>IF(OR(G1439="",G1438=""),"",G1439/G1438-1)</f>
        <v/>
      </c>
      <c r="P1439" s="22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IF(R1439="","",P1439/R1439)</f>
        <v/>
      </c>
      <c r="T1439" s="23">
        <f>IF(R1439="","",Q1439/R1439)</f>
        <v/>
      </c>
      <c r="U1439" s="24">
        <f>IF(SUMIFS('Daily NSE Equity Options'!$M:$M,'Daily NSE Equity Options'!$A:$A,$A1439)=0,"",SUMIFS('Daily NSE Equity Options'!$M:$M,'Daily NSE Equity Options'!$A:$A,$A1439))</f>
        <v/>
      </c>
      <c r="V1439" s="9">
        <f>IF(SUMIFS('Daily BSE Equity Options'!$M:$M,'Daily BSE Equity Options'!$A:$A,$A1439)=0,"",SUMIFS('Daily BSE Equity Options'!$M:$M,'Daily BSE Equity Options'!$A:$A,$A1439))</f>
        <v/>
      </c>
      <c r="W1439" s="9">
        <f>IF(OR(U1439="",V1439=""),"",U1439+V1439)</f>
        <v/>
      </c>
      <c r="X1439" s="25">
        <f>IF(W1439="","",U1439/W1439)</f>
        <v/>
      </c>
      <c r="Y1439" s="25">
        <f>IF(W1439="","",V1439/W1439)</f>
        <v/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19">
        <f>IF(G1440="","",E1440/G1440)</f>
        <v/>
      </c>
      <c r="I1440" s="19">
        <f>IF(G1440="","",F1440/G1440)</f>
        <v/>
      </c>
      <c r="J1440" s="26">
        <f>IFERROR(IF(OR(E1440="",INDEX(E:E,MATCH(DATE(YEAR($A1440)-1,MONTH($A1440),DAY($A1440)),$A:$A,0))=""),"",E1440/INDEX(E:E,MATCH(DATE(YEAR($A1440)-1,MONTH($A1440),DAY($A1440)),$A:$A,0))-1),"")</f>
        <v/>
      </c>
      <c r="K1440" s="19">
        <f>IFERROR(IF(OR(F1440="",INDEX(F:F,MATCH(DATE(YEAR($A1440)-1,MONTH($A1440),DAY($A1440)),$A:$A,0))=""),"",F1440/INDEX(F:F,MATCH(DATE(YEAR($A1440)-1,MONTH($A1440),DAY($A1440)),$A:$A,0))-1),"")</f>
        <v/>
      </c>
      <c r="L1440" s="19">
        <f>IFERROR(IF(OR(G1440="",INDEX(G:G,MATCH(DATE(YEAR($A1440)-1,MONTH($A1440),DAY($A1440)),$A:$A,0))=""),"",G1440/INDEX(G:G,MATCH(DATE(YEAR($A1440)-1,MONTH($A1440),DAY($A1440)),$A:$A,0))-1),"")</f>
        <v/>
      </c>
      <c r="M1440" s="19">
        <f>IF(OR(E1440="",E1439=""),"",E1440/E1439-1)</f>
        <v/>
      </c>
      <c r="N1440" s="19">
        <f>IF(OR(F1440="",F1439=""),"",F1440/F1439-1)</f>
        <v/>
      </c>
      <c r="O1440" s="19">
        <f>IF(OR(G1440="",G1439=""),"",G1440/G1439-1)</f>
        <v/>
      </c>
      <c r="P1440" s="22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IF(R1440="","",P1440/R1440)</f>
        <v/>
      </c>
      <c r="T1440" s="23">
        <f>IF(R1440="","",Q1440/R1440)</f>
        <v/>
      </c>
      <c r="U1440" s="24">
        <f>IF(SUMIFS('Daily NSE Equity Options'!$M:$M,'Daily NSE Equity Options'!$A:$A,$A1440)=0,"",SUMIFS('Daily NSE Equity Options'!$M:$M,'Daily NSE Equity Options'!$A:$A,$A1440))</f>
        <v/>
      </c>
      <c r="V1440" s="9">
        <f>IF(SUMIFS('Daily BSE Equity Options'!$M:$M,'Daily BSE Equity Options'!$A:$A,$A1440)=0,"",SUMIFS('Daily BSE Equity Options'!$M:$M,'Daily BSE Equity Options'!$A:$A,$A1440))</f>
        <v/>
      </c>
      <c r="W1440" s="9">
        <f>IF(OR(U1440="",V1440=""),"",U1440+V1440)</f>
        <v/>
      </c>
      <c r="X1440" s="25">
        <f>IF(W1440="","",U1440/W1440)</f>
        <v/>
      </c>
      <c r="Y1440" s="25">
        <f>IF(W1440="","",V1440/W1440)</f>
        <v/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19">
        <f>IF(G1441="","",E1441/G1441)</f>
        <v/>
      </c>
      <c r="I1441" s="19">
        <f>IF(G1441="","",F1441/G1441)</f>
        <v/>
      </c>
      <c r="J1441" s="26">
        <f>IFERROR(IF(OR(E1441="",INDEX(E:E,MATCH(DATE(YEAR($A1441)-1,MONTH($A1441),DAY($A1441)),$A:$A,0))=""),"",E1441/INDEX(E:E,MATCH(DATE(YEAR($A1441)-1,MONTH($A1441),DAY($A1441)),$A:$A,0))-1),"")</f>
        <v/>
      </c>
      <c r="K1441" s="19">
        <f>IFERROR(IF(OR(F1441="",INDEX(F:F,MATCH(DATE(YEAR($A1441)-1,MONTH($A1441),DAY($A1441)),$A:$A,0))=""),"",F1441/INDEX(F:F,MATCH(DATE(YEAR($A1441)-1,MONTH($A1441),DAY($A1441)),$A:$A,0))-1),"")</f>
        <v/>
      </c>
      <c r="L1441" s="19">
        <f>IFERROR(IF(OR(G1441="",INDEX(G:G,MATCH(DATE(YEAR($A1441)-1,MONTH($A1441),DAY($A1441)),$A:$A,0))=""),"",G1441/INDEX(G:G,MATCH(DATE(YEAR($A1441)-1,MONTH($A1441),DAY($A1441)),$A:$A,0))-1),"")</f>
        <v/>
      </c>
      <c r="M1441" s="19">
        <f>IF(OR(E1441="",E1440=""),"",E1441/E1440-1)</f>
        <v/>
      </c>
      <c r="N1441" s="19">
        <f>IF(OR(F1441="",F1440=""),"",F1441/F1440-1)</f>
        <v/>
      </c>
      <c r="O1441" s="19">
        <f>IF(OR(G1441="",G1440=""),"",G1441/G1440-1)</f>
        <v/>
      </c>
      <c r="P1441" s="22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IF(R1441="","",P1441/R1441)</f>
        <v/>
      </c>
      <c r="T1441" s="23">
        <f>IF(R1441="","",Q1441/R1441)</f>
        <v/>
      </c>
      <c r="U1441" s="24">
        <f>IF(SUMIFS('Daily NSE Equity Options'!$M:$M,'Daily NSE Equity Options'!$A:$A,$A1441)=0,"",SUMIFS('Daily NSE Equity Options'!$M:$M,'Daily NSE Equity Options'!$A:$A,$A1441))</f>
        <v/>
      </c>
      <c r="V1441" s="9">
        <f>IF(SUMIFS('Daily BSE Equity Options'!$M:$M,'Daily BSE Equity Options'!$A:$A,$A1441)=0,"",SUMIFS('Daily BSE Equity Options'!$M:$M,'Daily BSE Equity Options'!$A:$A,$A1441))</f>
        <v/>
      </c>
      <c r="W1441" s="9">
        <f>IF(OR(U1441="",V1441=""),"",U1441+V1441)</f>
        <v/>
      </c>
      <c r="X1441" s="25">
        <f>IF(W1441="","",U1441/W1441)</f>
        <v/>
      </c>
      <c r="Y1441" s="25">
        <f>IF(W1441="","",V1441/W1441)</f>
        <v/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19">
        <f>IF(G1442="","",E1442/G1442)</f>
        <v/>
      </c>
      <c r="I1442" s="19">
        <f>IF(G1442="","",F1442/G1442)</f>
        <v/>
      </c>
      <c r="J1442" s="26">
        <f>IFERROR(IF(OR(E1442="",INDEX(E:E,MATCH(DATE(YEAR($A1442)-1,MONTH($A1442),DAY($A1442)),$A:$A,0))=""),"",E1442/INDEX(E:E,MATCH(DATE(YEAR($A1442)-1,MONTH($A1442),DAY($A1442)),$A:$A,0))-1),"")</f>
        <v/>
      </c>
      <c r="K1442" s="19">
        <f>IFERROR(IF(OR(F1442="",INDEX(F:F,MATCH(DATE(YEAR($A1442)-1,MONTH($A1442),DAY($A1442)),$A:$A,0))=""),"",F1442/INDEX(F:F,MATCH(DATE(YEAR($A1442)-1,MONTH($A1442),DAY($A1442)),$A:$A,0))-1),"")</f>
        <v/>
      </c>
      <c r="L1442" s="19">
        <f>IFERROR(IF(OR(G1442="",INDEX(G:G,MATCH(DATE(YEAR($A1442)-1,MONTH($A1442),DAY($A1442)),$A:$A,0))=""),"",G1442/INDEX(G:G,MATCH(DATE(YEAR($A1442)-1,MONTH($A1442),DAY($A1442)),$A:$A,0))-1),"")</f>
        <v/>
      </c>
      <c r="M1442" s="19">
        <f>IF(OR(E1442="",E1441=""),"",E1442/E1441-1)</f>
        <v/>
      </c>
      <c r="N1442" s="19">
        <f>IF(OR(F1442="",F1441=""),"",F1442/F1441-1)</f>
        <v/>
      </c>
      <c r="O1442" s="19">
        <f>IF(OR(G1442="",G1441=""),"",G1442/G1441-1)</f>
        <v/>
      </c>
      <c r="P1442" s="22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IF(R1442="","",P1442/R1442)</f>
        <v/>
      </c>
      <c r="T1442" s="23">
        <f>IF(R1442="","",Q1442/R1442)</f>
        <v/>
      </c>
      <c r="U1442" s="24">
        <f>IF(SUMIFS('Daily NSE Equity Options'!$M:$M,'Daily NSE Equity Options'!$A:$A,$A1442)=0,"",SUMIFS('Daily NSE Equity Options'!$M:$M,'Daily NSE Equity Options'!$A:$A,$A1442))</f>
        <v/>
      </c>
      <c r="V1442" s="9">
        <f>IF(SUMIFS('Daily BSE Equity Options'!$M:$M,'Daily BSE Equity Options'!$A:$A,$A1442)=0,"",SUMIFS('Daily BSE Equity Options'!$M:$M,'Daily BSE Equity Options'!$A:$A,$A1442))</f>
        <v/>
      </c>
      <c r="W1442" s="9">
        <f>IF(OR(U1442="",V1442=""),"",U1442+V1442)</f>
        <v/>
      </c>
      <c r="X1442" s="25">
        <f>IF(W1442="","",U1442/W1442)</f>
        <v/>
      </c>
      <c r="Y1442" s="25">
        <f>IF(W1442="","",V1442/W1442)</f>
        <v/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19">
        <f>IF(G1443="","",E1443/G1443)</f>
        <v/>
      </c>
      <c r="I1443" s="19">
        <f>IF(G1443="","",F1443/G1443)</f>
        <v/>
      </c>
      <c r="J1443" s="26">
        <f>IFERROR(IF(OR(E1443="",INDEX(E:E,MATCH(DATE(YEAR($A1443)-1,MONTH($A1443),DAY($A1443)),$A:$A,0))=""),"",E1443/INDEX(E:E,MATCH(DATE(YEAR($A1443)-1,MONTH($A1443),DAY($A1443)),$A:$A,0))-1),"")</f>
        <v/>
      </c>
      <c r="K1443" s="19">
        <f>IFERROR(IF(OR(F1443="",INDEX(F:F,MATCH(DATE(YEAR($A1443)-1,MONTH($A1443),DAY($A1443)),$A:$A,0))=""),"",F1443/INDEX(F:F,MATCH(DATE(YEAR($A1443)-1,MONTH($A1443),DAY($A1443)),$A:$A,0))-1),"")</f>
        <v/>
      </c>
      <c r="L1443" s="19">
        <f>IFERROR(IF(OR(G1443="",INDEX(G:G,MATCH(DATE(YEAR($A1443)-1,MONTH($A1443),DAY($A1443)),$A:$A,0))=""),"",G1443/INDEX(G:G,MATCH(DATE(YEAR($A1443)-1,MONTH($A1443),DAY($A1443)),$A:$A,0))-1),"")</f>
        <v/>
      </c>
      <c r="M1443" s="19">
        <f>IF(OR(E1443="",E1442=""),"",E1443/E1442-1)</f>
        <v/>
      </c>
      <c r="N1443" s="19">
        <f>IF(OR(F1443="",F1442=""),"",F1443/F1442-1)</f>
        <v/>
      </c>
      <c r="O1443" s="19">
        <f>IF(OR(G1443="",G1442=""),"",G1443/G1442-1)</f>
        <v/>
      </c>
      <c r="P1443" s="22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IF(R1443="","",P1443/R1443)</f>
        <v/>
      </c>
      <c r="T1443" s="23">
        <f>IF(R1443="","",Q1443/R1443)</f>
        <v/>
      </c>
      <c r="U1443" s="24">
        <f>IF(SUMIFS('Daily NSE Equity Options'!$M:$M,'Daily NSE Equity Options'!$A:$A,$A1443)=0,"",SUMIFS('Daily NSE Equity Options'!$M:$M,'Daily NSE Equity Options'!$A:$A,$A1443))</f>
        <v/>
      </c>
      <c r="V1443" s="9">
        <f>IF(SUMIFS('Daily BSE Equity Options'!$M:$M,'Daily BSE Equity Options'!$A:$A,$A1443)=0,"",SUMIFS('Daily BSE Equity Options'!$M:$M,'Daily BSE Equity Options'!$A:$A,$A1443))</f>
        <v/>
      </c>
      <c r="W1443" s="9">
        <f>IF(OR(U1443="",V1443=""),"",U1443+V1443)</f>
        <v/>
      </c>
      <c r="X1443" s="25">
        <f>IF(W1443="","",U1443/W1443)</f>
        <v/>
      </c>
      <c r="Y1443" s="25">
        <f>IF(W1443="","",V1443/W1443)</f>
        <v/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19">
        <f>IF(G1444="","",E1444/G1444)</f>
        <v/>
      </c>
      <c r="I1444" s="19">
        <f>IF(G1444="","",F1444/G1444)</f>
        <v/>
      </c>
      <c r="J1444" s="26">
        <f>IFERROR(IF(OR(E1444="",INDEX(E:E,MATCH(DATE(YEAR($A1444)-1,MONTH($A1444),DAY($A1444)),$A:$A,0))=""),"",E1444/INDEX(E:E,MATCH(DATE(YEAR($A1444)-1,MONTH($A1444),DAY($A1444)),$A:$A,0))-1),"")</f>
        <v/>
      </c>
      <c r="K1444" s="19">
        <f>IFERROR(IF(OR(F1444="",INDEX(F:F,MATCH(DATE(YEAR($A1444)-1,MONTH($A1444),DAY($A1444)),$A:$A,0))=""),"",F1444/INDEX(F:F,MATCH(DATE(YEAR($A1444)-1,MONTH($A1444),DAY($A1444)),$A:$A,0))-1),"")</f>
        <v/>
      </c>
      <c r="L1444" s="19">
        <f>IFERROR(IF(OR(G1444="",INDEX(G:G,MATCH(DATE(YEAR($A1444)-1,MONTH($A1444),DAY($A1444)),$A:$A,0))=""),"",G1444/INDEX(G:G,MATCH(DATE(YEAR($A1444)-1,MONTH($A1444),DAY($A1444)),$A:$A,0))-1),"")</f>
        <v/>
      </c>
      <c r="M1444" s="19">
        <f>IF(OR(E1444="",E1443=""),"",E1444/E1443-1)</f>
        <v/>
      </c>
      <c r="N1444" s="19">
        <f>IF(OR(F1444="",F1443=""),"",F1444/F1443-1)</f>
        <v/>
      </c>
      <c r="O1444" s="19">
        <f>IF(OR(G1444="",G1443=""),"",G1444/G1443-1)</f>
        <v/>
      </c>
      <c r="P1444" s="22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IF(R1444="","",P1444/R1444)</f>
        <v/>
      </c>
      <c r="T1444" s="23">
        <f>IF(R1444="","",Q1444/R1444)</f>
        <v/>
      </c>
      <c r="U1444" s="24">
        <f>IF(SUMIFS('Daily NSE Equity Options'!$M:$M,'Daily NSE Equity Options'!$A:$A,$A1444)=0,"",SUMIFS('Daily NSE Equity Options'!$M:$M,'Daily NSE Equity Options'!$A:$A,$A1444))</f>
        <v/>
      </c>
      <c r="V1444" s="9">
        <f>IF(SUMIFS('Daily BSE Equity Options'!$M:$M,'Daily BSE Equity Options'!$A:$A,$A1444)=0,"",SUMIFS('Daily BSE Equity Options'!$M:$M,'Daily BSE Equity Options'!$A:$A,$A1444))</f>
        <v/>
      </c>
      <c r="W1444" s="9">
        <f>IF(OR(U1444="",V1444=""),"",U1444+V1444)</f>
        <v/>
      </c>
      <c r="X1444" s="25">
        <f>IF(W1444="","",U1444/W1444)</f>
        <v/>
      </c>
      <c r="Y1444" s="25">
        <f>IF(W1444="","",V1444/W1444)</f>
        <v/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19">
        <f>IF(G1445="","",E1445/G1445)</f>
        <v/>
      </c>
      <c r="I1445" s="19">
        <f>IF(G1445="","",F1445/G1445)</f>
        <v/>
      </c>
      <c r="J1445" s="26">
        <f>IFERROR(IF(OR(E1445="",INDEX(E:E,MATCH(DATE(YEAR($A1445)-1,MONTH($A1445),DAY($A1445)),$A:$A,0))=""),"",E1445/INDEX(E:E,MATCH(DATE(YEAR($A1445)-1,MONTH($A1445),DAY($A1445)),$A:$A,0))-1),"")</f>
        <v/>
      </c>
      <c r="K1445" s="19">
        <f>IFERROR(IF(OR(F1445="",INDEX(F:F,MATCH(DATE(YEAR($A1445)-1,MONTH($A1445),DAY($A1445)),$A:$A,0))=""),"",F1445/INDEX(F:F,MATCH(DATE(YEAR($A1445)-1,MONTH($A1445),DAY($A1445)),$A:$A,0))-1),"")</f>
        <v/>
      </c>
      <c r="L1445" s="19">
        <f>IFERROR(IF(OR(G1445="",INDEX(G:G,MATCH(DATE(YEAR($A1445)-1,MONTH($A1445),DAY($A1445)),$A:$A,0))=""),"",G1445/INDEX(G:G,MATCH(DATE(YEAR($A1445)-1,MONTH($A1445),DAY($A1445)),$A:$A,0))-1),"")</f>
        <v/>
      </c>
      <c r="M1445" s="19">
        <f>IF(OR(E1445="",E1444=""),"",E1445/E1444-1)</f>
        <v/>
      </c>
      <c r="N1445" s="19">
        <f>IF(OR(F1445="",F1444=""),"",F1445/F1444-1)</f>
        <v/>
      </c>
      <c r="O1445" s="19">
        <f>IF(OR(G1445="",G1444=""),"",G1445/G1444-1)</f>
        <v/>
      </c>
      <c r="P1445" s="22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IF(R1445="","",P1445/R1445)</f>
        <v/>
      </c>
      <c r="T1445" s="23">
        <f>IF(R1445="","",Q1445/R1445)</f>
        <v/>
      </c>
      <c r="U1445" s="24">
        <f>IF(SUMIFS('Daily NSE Equity Options'!$M:$M,'Daily NSE Equity Options'!$A:$A,$A1445)=0,"",SUMIFS('Daily NSE Equity Options'!$M:$M,'Daily NSE Equity Options'!$A:$A,$A1445))</f>
        <v/>
      </c>
      <c r="V1445" s="9">
        <f>IF(SUMIFS('Daily BSE Equity Options'!$M:$M,'Daily BSE Equity Options'!$A:$A,$A1445)=0,"",SUMIFS('Daily BSE Equity Options'!$M:$M,'Daily BSE Equity Options'!$A:$A,$A1445))</f>
        <v/>
      </c>
      <c r="W1445" s="9">
        <f>IF(OR(U1445="",V1445=""),"",U1445+V1445)</f>
        <v/>
      </c>
      <c r="X1445" s="25">
        <f>IF(W1445="","",U1445/W1445)</f>
        <v/>
      </c>
      <c r="Y1445" s="25">
        <f>IF(W1445="","",V1445/W1445)</f>
        <v/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19">
        <f>IF(G1446="","",E1446/G1446)</f>
        <v/>
      </c>
      <c r="I1446" s="19">
        <f>IF(G1446="","",F1446/G1446)</f>
        <v/>
      </c>
      <c r="J1446" s="26">
        <f>IFERROR(IF(OR(E1446="",INDEX(E:E,MATCH(DATE(YEAR($A1446)-1,MONTH($A1446),DAY($A1446)),$A:$A,0))=""),"",E1446/INDEX(E:E,MATCH(DATE(YEAR($A1446)-1,MONTH($A1446),DAY($A1446)),$A:$A,0))-1),"")</f>
        <v/>
      </c>
      <c r="K1446" s="19">
        <f>IFERROR(IF(OR(F1446="",INDEX(F:F,MATCH(DATE(YEAR($A1446)-1,MONTH($A1446),DAY($A1446)),$A:$A,0))=""),"",F1446/INDEX(F:F,MATCH(DATE(YEAR($A1446)-1,MONTH($A1446),DAY($A1446)),$A:$A,0))-1),"")</f>
        <v/>
      </c>
      <c r="L1446" s="19">
        <f>IFERROR(IF(OR(G1446="",INDEX(G:G,MATCH(DATE(YEAR($A1446)-1,MONTH($A1446),DAY($A1446)),$A:$A,0))=""),"",G1446/INDEX(G:G,MATCH(DATE(YEAR($A1446)-1,MONTH($A1446),DAY($A1446)),$A:$A,0))-1),"")</f>
        <v/>
      </c>
      <c r="M1446" s="19">
        <f>IF(OR(E1446="",E1445=""),"",E1446/E1445-1)</f>
        <v/>
      </c>
      <c r="N1446" s="19">
        <f>IF(OR(F1446="",F1445=""),"",F1446/F1445-1)</f>
        <v/>
      </c>
      <c r="O1446" s="19">
        <f>IF(OR(G1446="",G1445=""),"",G1446/G1445-1)</f>
        <v/>
      </c>
      <c r="P1446" s="22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IF(R1446="","",P1446/R1446)</f>
        <v/>
      </c>
      <c r="T1446" s="23">
        <f>IF(R1446="","",Q1446/R1446)</f>
        <v/>
      </c>
      <c r="U1446" s="24">
        <f>IF(SUMIFS('Daily NSE Equity Options'!$M:$M,'Daily NSE Equity Options'!$A:$A,$A1446)=0,"",SUMIFS('Daily NSE Equity Options'!$M:$M,'Daily NSE Equity Options'!$A:$A,$A1446))</f>
        <v/>
      </c>
      <c r="V1446" s="9">
        <f>IF(SUMIFS('Daily BSE Equity Options'!$M:$M,'Daily BSE Equity Options'!$A:$A,$A1446)=0,"",SUMIFS('Daily BSE Equity Options'!$M:$M,'Daily BSE Equity Options'!$A:$A,$A1446))</f>
        <v/>
      </c>
      <c r="W1446" s="9">
        <f>IF(OR(U1446="",V1446=""),"",U1446+V1446)</f>
        <v/>
      </c>
      <c r="X1446" s="25">
        <f>IF(W1446="","",U1446/W1446)</f>
        <v/>
      </c>
      <c r="Y1446" s="25">
        <f>IF(W1446="","",V1446/W1446)</f>
        <v/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19">
        <f>IF(G1447="","",E1447/G1447)</f>
        <v/>
      </c>
      <c r="I1447" s="19">
        <f>IF(G1447="","",F1447/G1447)</f>
        <v/>
      </c>
      <c r="J1447" s="26">
        <f>IFERROR(IF(OR(E1447="",INDEX(E:E,MATCH(DATE(YEAR($A1447)-1,MONTH($A1447),DAY($A1447)),$A:$A,0))=""),"",E1447/INDEX(E:E,MATCH(DATE(YEAR($A1447)-1,MONTH($A1447),DAY($A1447)),$A:$A,0))-1),"")</f>
        <v/>
      </c>
      <c r="K1447" s="19">
        <f>IFERROR(IF(OR(F1447="",INDEX(F:F,MATCH(DATE(YEAR($A1447)-1,MONTH($A1447),DAY($A1447)),$A:$A,0))=""),"",F1447/INDEX(F:F,MATCH(DATE(YEAR($A1447)-1,MONTH($A1447),DAY($A1447)),$A:$A,0))-1),"")</f>
        <v/>
      </c>
      <c r="L1447" s="19">
        <f>IFERROR(IF(OR(G1447="",INDEX(G:G,MATCH(DATE(YEAR($A1447)-1,MONTH($A1447),DAY($A1447)),$A:$A,0))=""),"",G1447/INDEX(G:G,MATCH(DATE(YEAR($A1447)-1,MONTH($A1447),DAY($A1447)),$A:$A,0))-1),"")</f>
        <v/>
      </c>
      <c r="M1447" s="19">
        <f>IF(OR(E1447="",E1446=""),"",E1447/E1446-1)</f>
        <v/>
      </c>
      <c r="N1447" s="19">
        <f>IF(OR(F1447="",F1446=""),"",F1447/F1446-1)</f>
        <v/>
      </c>
      <c r="O1447" s="19">
        <f>IF(OR(G1447="",G1446=""),"",G1447/G1446-1)</f>
        <v/>
      </c>
      <c r="P1447" s="22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IF(R1447="","",P1447/R1447)</f>
        <v/>
      </c>
      <c r="T1447" s="23">
        <f>IF(R1447="","",Q1447/R1447)</f>
        <v/>
      </c>
      <c r="U1447" s="24">
        <f>IF(SUMIFS('Daily NSE Equity Options'!$M:$M,'Daily NSE Equity Options'!$A:$A,$A1447)=0,"",SUMIFS('Daily NSE Equity Options'!$M:$M,'Daily NSE Equity Options'!$A:$A,$A1447))</f>
        <v/>
      </c>
      <c r="V1447" s="9">
        <f>IF(SUMIFS('Daily BSE Equity Options'!$M:$M,'Daily BSE Equity Options'!$A:$A,$A1447)=0,"",SUMIFS('Daily BSE Equity Options'!$M:$M,'Daily BSE Equity Options'!$A:$A,$A1447))</f>
        <v/>
      </c>
      <c r="W1447" s="9">
        <f>IF(OR(U1447="",V1447=""),"",U1447+V1447)</f>
        <v/>
      </c>
      <c r="X1447" s="25">
        <f>IF(W1447="","",U1447/W1447)</f>
        <v/>
      </c>
      <c r="Y1447" s="25">
        <f>IF(W1447="","",V1447/W1447)</f>
        <v/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19">
        <f>IF(G1448="","",E1448/G1448)</f>
        <v/>
      </c>
      <c r="I1448" s="19">
        <f>IF(G1448="","",F1448/G1448)</f>
        <v/>
      </c>
      <c r="J1448" s="26">
        <f>IFERROR(IF(OR(E1448="",INDEX(E:E,MATCH(DATE(YEAR($A1448)-1,MONTH($A1448),DAY($A1448)),$A:$A,0))=""),"",E1448/INDEX(E:E,MATCH(DATE(YEAR($A1448)-1,MONTH($A1448),DAY($A1448)),$A:$A,0))-1),"")</f>
        <v/>
      </c>
      <c r="K1448" s="19">
        <f>IFERROR(IF(OR(F1448="",INDEX(F:F,MATCH(DATE(YEAR($A1448)-1,MONTH($A1448),DAY($A1448)),$A:$A,0))=""),"",F1448/INDEX(F:F,MATCH(DATE(YEAR($A1448)-1,MONTH($A1448),DAY($A1448)),$A:$A,0))-1),"")</f>
        <v/>
      </c>
      <c r="L1448" s="19">
        <f>IFERROR(IF(OR(G1448="",INDEX(G:G,MATCH(DATE(YEAR($A1448)-1,MONTH($A1448),DAY($A1448)),$A:$A,0))=""),"",G1448/INDEX(G:G,MATCH(DATE(YEAR($A1448)-1,MONTH($A1448),DAY($A1448)),$A:$A,0))-1),"")</f>
        <v/>
      </c>
      <c r="M1448" s="19">
        <f>IF(OR(E1448="",E1447=""),"",E1448/E1447-1)</f>
        <v/>
      </c>
      <c r="N1448" s="19">
        <f>IF(OR(F1448="",F1447=""),"",F1448/F1447-1)</f>
        <v/>
      </c>
      <c r="O1448" s="19">
        <f>IF(OR(G1448="",G1447=""),"",G1448/G1447-1)</f>
        <v/>
      </c>
      <c r="P1448" s="22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IF(R1448="","",P1448/R1448)</f>
        <v/>
      </c>
      <c r="T1448" s="23">
        <f>IF(R1448="","",Q1448/R1448)</f>
        <v/>
      </c>
      <c r="U1448" s="24">
        <f>IF(SUMIFS('Daily NSE Equity Options'!$M:$M,'Daily NSE Equity Options'!$A:$A,$A1448)=0,"",SUMIFS('Daily NSE Equity Options'!$M:$M,'Daily NSE Equity Options'!$A:$A,$A1448))</f>
        <v/>
      </c>
      <c r="V1448" s="9">
        <f>IF(SUMIFS('Daily BSE Equity Options'!$M:$M,'Daily BSE Equity Options'!$A:$A,$A1448)=0,"",SUMIFS('Daily BSE Equity Options'!$M:$M,'Daily BSE Equity Options'!$A:$A,$A1448))</f>
        <v/>
      </c>
      <c r="W1448" s="9">
        <f>IF(OR(U1448="",V1448=""),"",U1448+V1448)</f>
        <v/>
      </c>
      <c r="X1448" s="25">
        <f>IF(W1448="","",U1448/W1448)</f>
        <v/>
      </c>
      <c r="Y1448" s="25">
        <f>IF(W1448="","",V1448/W1448)</f>
        <v/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19">
        <f>IF(G1449="","",E1449/G1449)</f>
        <v/>
      </c>
      <c r="I1449" s="19">
        <f>IF(G1449="","",F1449/G1449)</f>
        <v/>
      </c>
      <c r="J1449" s="26">
        <f>IFERROR(IF(OR(E1449="",INDEX(E:E,MATCH(DATE(YEAR($A1449)-1,MONTH($A1449),DAY($A1449)),$A:$A,0))=""),"",E1449/INDEX(E:E,MATCH(DATE(YEAR($A1449)-1,MONTH($A1449),DAY($A1449)),$A:$A,0))-1),"")</f>
        <v/>
      </c>
      <c r="K1449" s="19">
        <f>IFERROR(IF(OR(F1449="",INDEX(F:F,MATCH(DATE(YEAR($A1449)-1,MONTH($A1449),DAY($A1449)),$A:$A,0))=""),"",F1449/INDEX(F:F,MATCH(DATE(YEAR($A1449)-1,MONTH($A1449),DAY($A1449)),$A:$A,0))-1),"")</f>
        <v/>
      </c>
      <c r="L1449" s="19">
        <f>IFERROR(IF(OR(G1449="",INDEX(G:G,MATCH(DATE(YEAR($A1449)-1,MONTH($A1449),DAY($A1449)),$A:$A,0))=""),"",G1449/INDEX(G:G,MATCH(DATE(YEAR($A1449)-1,MONTH($A1449),DAY($A1449)),$A:$A,0))-1),"")</f>
        <v/>
      </c>
      <c r="M1449" s="19">
        <f>IF(OR(E1449="",E1448=""),"",E1449/E1448-1)</f>
        <v/>
      </c>
      <c r="N1449" s="19">
        <f>IF(OR(F1449="",F1448=""),"",F1449/F1448-1)</f>
        <v/>
      </c>
      <c r="O1449" s="19">
        <f>IF(OR(G1449="",G1448=""),"",G1449/G1448-1)</f>
        <v/>
      </c>
      <c r="P1449" s="22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IF(R1449="","",P1449/R1449)</f>
        <v/>
      </c>
      <c r="T1449" s="23">
        <f>IF(R1449="","",Q1449/R1449)</f>
        <v/>
      </c>
      <c r="U1449" s="24">
        <f>IF(SUMIFS('Daily NSE Equity Options'!$M:$M,'Daily NSE Equity Options'!$A:$A,$A1449)=0,"",SUMIFS('Daily NSE Equity Options'!$M:$M,'Daily NSE Equity Options'!$A:$A,$A1449))</f>
        <v/>
      </c>
      <c r="V1449" s="9">
        <f>IF(SUMIFS('Daily BSE Equity Options'!$M:$M,'Daily BSE Equity Options'!$A:$A,$A1449)=0,"",SUMIFS('Daily BSE Equity Options'!$M:$M,'Daily BSE Equity Options'!$A:$A,$A1449))</f>
        <v/>
      </c>
      <c r="W1449" s="9">
        <f>IF(OR(U1449="",V1449=""),"",U1449+V1449)</f>
        <v/>
      </c>
      <c r="X1449" s="25">
        <f>IF(W1449="","",U1449/W1449)</f>
        <v/>
      </c>
      <c r="Y1449" s="25">
        <f>IF(W1449="","",V1449/W1449)</f>
        <v/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19">
        <f>IF(G1450="","",E1450/G1450)</f>
        <v/>
      </c>
      <c r="I1450" s="19">
        <f>IF(G1450="","",F1450/G1450)</f>
        <v/>
      </c>
      <c r="J1450" s="26">
        <f>IFERROR(IF(OR(E1450="",INDEX(E:E,MATCH(DATE(YEAR($A1450)-1,MONTH($A1450),DAY($A1450)),$A:$A,0))=""),"",E1450/INDEX(E:E,MATCH(DATE(YEAR($A1450)-1,MONTH($A1450),DAY($A1450)),$A:$A,0))-1),"")</f>
        <v/>
      </c>
      <c r="K1450" s="19">
        <f>IFERROR(IF(OR(F1450="",INDEX(F:F,MATCH(DATE(YEAR($A1450)-1,MONTH($A1450),DAY($A1450)),$A:$A,0))=""),"",F1450/INDEX(F:F,MATCH(DATE(YEAR($A1450)-1,MONTH($A1450),DAY($A1450)),$A:$A,0))-1),"")</f>
        <v/>
      </c>
      <c r="L1450" s="19">
        <f>IFERROR(IF(OR(G1450="",INDEX(G:G,MATCH(DATE(YEAR($A1450)-1,MONTH($A1450),DAY($A1450)),$A:$A,0))=""),"",G1450/INDEX(G:G,MATCH(DATE(YEAR($A1450)-1,MONTH($A1450),DAY($A1450)),$A:$A,0))-1),"")</f>
        <v/>
      </c>
      <c r="M1450" s="19">
        <f>IF(OR(E1450="",E1449=""),"",E1450/E1449-1)</f>
        <v/>
      </c>
      <c r="N1450" s="19">
        <f>IF(OR(F1450="",F1449=""),"",F1450/F1449-1)</f>
        <v/>
      </c>
      <c r="O1450" s="19">
        <f>IF(OR(G1450="",G1449=""),"",G1450/G1449-1)</f>
        <v/>
      </c>
      <c r="P1450" s="22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IF(R1450="","",P1450/R1450)</f>
        <v/>
      </c>
      <c r="T1450" s="23">
        <f>IF(R1450="","",Q1450/R1450)</f>
        <v/>
      </c>
      <c r="U1450" s="24">
        <f>IF(SUMIFS('Daily NSE Equity Options'!$M:$M,'Daily NSE Equity Options'!$A:$A,$A1450)=0,"",SUMIFS('Daily NSE Equity Options'!$M:$M,'Daily NSE Equity Options'!$A:$A,$A1450))</f>
        <v/>
      </c>
      <c r="V1450" s="9">
        <f>IF(SUMIFS('Daily BSE Equity Options'!$M:$M,'Daily BSE Equity Options'!$A:$A,$A1450)=0,"",SUMIFS('Daily BSE Equity Options'!$M:$M,'Daily BSE Equity Options'!$A:$A,$A1450))</f>
        <v/>
      </c>
      <c r="W1450" s="9">
        <f>IF(OR(U1450="",V1450=""),"",U1450+V1450)</f>
        <v/>
      </c>
      <c r="X1450" s="25">
        <f>IF(W1450="","",U1450/W1450)</f>
        <v/>
      </c>
      <c r="Y1450" s="25">
        <f>IF(W1450="","",V1450/W1450)</f>
        <v/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19">
        <f>IF(G1451="","",E1451/G1451)</f>
        <v/>
      </c>
      <c r="I1451" s="19">
        <f>IF(G1451="","",F1451/G1451)</f>
        <v/>
      </c>
      <c r="J1451" s="26">
        <f>IFERROR(IF(OR(E1451="",INDEX(E:E,MATCH(DATE(YEAR($A1451)-1,MONTH($A1451),DAY($A1451)),$A:$A,0))=""),"",E1451/INDEX(E:E,MATCH(DATE(YEAR($A1451)-1,MONTH($A1451),DAY($A1451)),$A:$A,0))-1),"")</f>
        <v/>
      </c>
      <c r="K1451" s="19">
        <f>IFERROR(IF(OR(F1451="",INDEX(F:F,MATCH(DATE(YEAR($A1451)-1,MONTH($A1451),DAY($A1451)),$A:$A,0))=""),"",F1451/INDEX(F:F,MATCH(DATE(YEAR($A1451)-1,MONTH($A1451),DAY($A1451)),$A:$A,0))-1),"")</f>
        <v/>
      </c>
      <c r="L1451" s="19">
        <f>IFERROR(IF(OR(G1451="",INDEX(G:G,MATCH(DATE(YEAR($A1451)-1,MONTH($A1451),DAY($A1451)),$A:$A,0))=""),"",G1451/INDEX(G:G,MATCH(DATE(YEAR($A1451)-1,MONTH($A1451),DAY($A1451)),$A:$A,0))-1),"")</f>
        <v/>
      </c>
      <c r="M1451" s="19">
        <f>IF(OR(E1451="",E1450=""),"",E1451/E1450-1)</f>
        <v/>
      </c>
      <c r="N1451" s="19">
        <f>IF(OR(F1451="",F1450=""),"",F1451/F1450-1)</f>
        <v/>
      </c>
      <c r="O1451" s="19">
        <f>IF(OR(G1451="",G1450=""),"",G1451/G1450-1)</f>
        <v/>
      </c>
      <c r="P1451" s="22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IF(R1451="","",P1451/R1451)</f>
        <v/>
      </c>
      <c r="T1451" s="23">
        <f>IF(R1451="","",Q1451/R1451)</f>
        <v/>
      </c>
      <c r="U1451" s="24">
        <f>IF(SUMIFS('Daily NSE Equity Options'!$M:$M,'Daily NSE Equity Options'!$A:$A,$A1451)=0,"",SUMIFS('Daily NSE Equity Options'!$M:$M,'Daily NSE Equity Options'!$A:$A,$A1451))</f>
        <v/>
      </c>
      <c r="V1451" s="9">
        <f>IF(SUMIFS('Daily BSE Equity Options'!$M:$M,'Daily BSE Equity Options'!$A:$A,$A1451)=0,"",SUMIFS('Daily BSE Equity Options'!$M:$M,'Daily BSE Equity Options'!$A:$A,$A1451))</f>
        <v/>
      </c>
      <c r="W1451" s="9">
        <f>IF(OR(U1451="",V1451=""),"",U1451+V1451)</f>
        <v/>
      </c>
      <c r="X1451" s="25">
        <f>IF(W1451="","",U1451/W1451)</f>
        <v/>
      </c>
      <c r="Y1451" s="25">
        <f>IF(W1451="","",V1451/W1451)</f>
        <v/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19">
        <f>IF(G1452="","",E1452/G1452)</f>
        <v/>
      </c>
      <c r="I1452" s="19">
        <f>IF(G1452="","",F1452/G1452)</f>
        <v/>
      </c>
      <c r="J1452" s="26">
        <f>IFERROR(IF(OR(E1452="",INDEX(E:E,MATCH(DATE(YEAR($A1452)-1,MONTH($A1452),DAY($A1452)),$A:$A,0))=""),"",E1452/INDEX(E:E,MATCH(DATE(YEAR($A1452)-1,MONTH($A1452),DAY($A1452)),$A:$A,0))-1),"")</f>
        <v/>
      </c>
      <c r="K1452" s="19">
        <f>IFERROR(IF(OR(F1452="",INDEX(F:F,MATCH(DATE(YEAR($A1452)-1,MONTH($A1452),DAY($A1452)),$A:$A,0))=""),"",F1452/INDEX(F:F,MATCH(DATE(YEAR($A1452)-1,MONTH($A1452),DAY($A1452)),$A:$A,0))-1),"")</f>
        <v/>
      </c>
      <c r="L1452" s="19">
        <f>IFERROR(IF(OR(G1452="",INDEX(G:G,MATCH(DATE(YEAR($A1452)-1,MONTH($A1452),DAY($A1452)),$A:$A,0))=""),"",G1452/INDEX(G:G,MATCH(DATE(YEAR($A1452)-1,MONTH($A1452),DAY($A1452)),$A:$A,0))-1),"")</f>
        <v/>
      </c>
      <c r="M1452" s="19">
        <f>IF(OR(E1452="",E1451=""),"",E1452/E1451-1)</f>
        <v/>
      </c>
      <c r="N1452" s="19">
        <f>IF(OR(F1452="",F1451=""),"",F1452/F1451-1)</f>
        <v/>
      </c>
      <c r="O1452" s="19">
        <f>IF(OR(G1452="",G1451=""),"",G1452/G1451-1)</f>
        <v/>
      </c>
      <c r="P1452" s="22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IF(R1452="","",P1452/R1452)</f>
        <v/>
      </c>
      <c r="T1452" s="23">
        <f>IF(R1452="","",Q1452/R1452)</f>
        <v/>
      </c>
      <c r="U1452" s="24">
        <f>IF(SUMIFS('Daily NSE Equity Options'!$M:$M,'Daily NSE Equity Options'!$A:$A,$A1452)=0,"",SUMIFS('Daily NSE Equity Options'!$M:$M,'Daily NSE Equity Options'!$A:$A,$A1452))</f>
        <v/>
      </c>
      <c r="V1452" s="9">
        <f>IF(SUMIFS('Daily BSE Equity Options'!$M:$M,'Daily BSE Equity Options'!$A:$A,$A1452)=0,"",SUMIFS('Daily BSE Equity Options'!$M:$M,'Daily BSE Equity Options'!$A:$A,$A1452))</f>
        <v/>
      </c>
      <c r="W1452" s="9">
        <f>IF(OR(U1452="",V1452=""),"",U1452+V1452)</f>
        <v/>
      </c>
      <c r="X1452" s="25">
        <f>IF(W1452="","",U1452/W1452)</f>
        <v/>
      </c>
      <c r="Y1452" s="25">
        <f>IF(W1452="","",V1452/W1452)</f>
        <v/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19">
        <f>IF(G1453="","",E1453/G1453)</f>
        <v/>
      </c>
      <c r="I1453" s="19">
        <f>IF(G1453="","",F1453/G1453)</f>
        <v/>
      </c>
      <c r="J1453" s="26">
        <f>IFERROR(IF(OR(E1453="",INDEX(E:E,MATCH(DATE(YEAR($A1453)-1,MONTH($A1453),DAY($A1453)),$A:$A,0))=""),"",E1453/INDEX(E:E,MATCH(DATE(YEAR($A1453)-1,MONTH($A1453),DAY($A1453)),$A:$A,0))-1),"")</f>
        <v/>
      </c>
      <c r="K1453" s="19">
        <f>IFERROR(IF(OR(F1453="",INDEX(F:F,MATCH(DATE(YEAR($A1453)-1,MONTH($A1453),DAY($A1453)),$A:$A,0))=""),"",F1453/INDEX(F:F,MATCH(DATE(YEAR($A1453)-1,MONTH($A1453),DAY($A1453)),$A:$A,0))-1),"")</f>
        <v/>
      </c>
      <c r="L1453" s="19">
        <f>IFERROR(IF(OR(G1453="",INDEX(G:G,MATCH(DATE(YEAR($A1453)-1,MONTH($A1453),DAY($A1453)),$A:$A,0))=""),"",G1453/INDEX(G:G,MATCH(DATE(YEAR($A1453)-1,MONTH($A1453),DAY($A1453)),$A:$A,0))-1),"")</f>
        <v/>
      </c>
      <c r="M1453" s="19">
        <f>IF(OR(E1453="",E1452=""),"",E1453/E1452-1)</f>
        <v/>
      </c>
      <c r="N1453" s="19">
        <f>IF(OR(F1453="",F1452=""),"",F1453/F1452-1)</f>
        <v/>
      </c>
      <c r="O1453" s="19">
        <f>IF(OR(G1453="",G1452=""),"",G1453/G1452-1)</f>
        <v/>
      </c>
      <c r="P1453" s="22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IF(R1453="","",P1453/R1453)</f>
        <v/>
      </c>
      <c r="T1453" s="23">
        <f>IF(R1453="","",Q1453/R1453)</f>
        <v/>
      </c>
      <c r="U1453" s="24">
        <f>IF(SUMIFS('Daily NSE Equity Options'!$M:$M,'Daily NSE Equity Options'!$A:$A,$A1453)=0,"",SUMIFS('Daily NSE Equity Options'!$M:$M,'Daily NSE Equity Options'!$A:$A,$A1453))</f>
        <v/>
      </c>
      <c r="V1453" s="9">
        <f>IF(SUMIFS('Daily BSE Equity Options'!$M:$M,'Daily BSE Equity Options'!$A:$A,$A1453)=0,"",SUMIFS('Daily BSE Equity Options'!$M:$M,'Daily BSE Equity Options'!$A:$A,$A1453))</f>
        <v/>
      </c>
      <c r="W1453" s="9">
        <f>IF(OR(U1453="",V1453=""),"",U1453+V1453)</f>
        <v/>
      </c>
      <c r="X1453" s="25">
        <f>IF(W1453="","",U1453/W1453)</f>
        <v/>
      </c>
      <c r="Y1453" s="25">
        <f>IF(W1453="","",V1453/W1453)</f>
        <v/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19">
        <f>IF(G1454="","",E1454/G1454)</f>
        <v/>
      </c>
      <c r="I1454" s="19">
        <f>IF(G1454="","",F1454/G1454)</f>
        <v/>
      </c>
      <c r="J1454" s="26">
        <f>IFERROR(IF(OR(E1454="",INDEX(E:E,MATCH(DATE(YEAR($A1454)-1,MONTH($A1454),DAY($A1454)),$A:$A,0))=""),"",E1454/INDEX(E:E,MATCH(DATE(YEAR($A1454)-1,MONTH($A1454),DAY($A1454)),$A:$A,0))-1),"")</f>
        <v/>
      </c>
      <c r="K1454" s="19">
        <f>IFERROR(IF(OR(F1454="",INDEX(F:F,MATCH(DATE(YEAR($A1454)-1,MONTH($A1454),DAY($A1454)),$A:$A,0))=""),"",F1454/INDEX(F:F,MATCH(DATE(YEAR($A1454)-1,MONTH($A1454),DAY($A1454)),$A:$A,0))-1),"")</f>
        <v/>
      </c>
      <c r="L1454" s="19">
        <f>IFERROR(IF(OR(G1454="",INDEX(G:G,MATCH(DATE(YEAR($A1454)-1,MONTH($A1454),DAY($A1454)),$A:$A,0))=""),"",G1454/INDEX(G:G,MATCH(DATE(YEAR($A1454)-1,MONTH($A1454),DAY($A1454)),$A:$A,0))-1),"")</f>
        <v/>
      </c>
      <c r="M1454" s="19">
        <f>IF(OR(E1454="",E1453=""),"",E1454/E1453-1)</f>
        <v/>
      </c>
      <c r="N1454" s="19">
        <f>IF(OR(F1454="",F1453=""),"",F1454/F1453-1)</f>
        <v/>
      </c>
      <c r="O1454" s="19">
        <f>IF(OR(G1454="",G1453=""),"",G1454/G1453-1)</f>
        <v/>
      </c>
      <c r="P1454" s="22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IF(R1454="","",P1454/R1454)</f>
        <v/>
      </c>
      <c r="T1454" s="23">
        <f>IF(R1454="","",Q1454/R1454)</f>
        <v/>
      </c>
      <c r="U1454" s="24">
        <f>IF(SUMIFS('Daily NSE Equity Options'!$M:$M,'Daily NSE Equity Options'!$A:$A,$A1454)=0,"",SUMIFS('Daily NSE Equity Options'!$M:$M,'Daily NSE Equity Options'!$A:$A,$A1454))</f>
        <v/>
      </c>
      <c r="V1454" s="9">
        <f>IF(SUMIFS('Daily BSE Equity Options'!$M:$M,'Daily BSE Equity Options'!$A:$A,$A1454)=0,"",SUMIFS('Daily BSE Equity Options'!$M:$M,'Daily BSE Equity Options'!$A:$A,$A1454))</f>
        <v/>
      </c>
      <c r="W1454" s="9">
        <f>IF(OR(U1454="",V1454=""),"",U1454+V1454)</f>
        <v/>
      </c>
      <c r="X1454" s="25">
        <f>IF(W1454="","",U1454/W1454)</f>
        <v/>
      </c>
      <c r="Y1454" s="25">
        <f>IF(W1454="","",V1454/W1454)</f>
        <v/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19">
        <f>IF(G1455="","",E1455/G1455)</f>
        <v/>
      </c>
      <c r="I1455" s="19">
        <f>IF(G1455="","",F1455/G1455)</f>
        <v/>
      </c>
      <c r="J1455" s="26">
        <f>IFERROR(IF(OR(E1455="",INDEX(E:E,MATCH(DATE(YEAR($A1455)-1,MONTH($A1455),DAY($A1455)),$A:$A,0))=""),"",E1455/INDEX(E:E,MATCH(DATE(YEAR($A1455)-1,MONTH($A1455),DAY($A1455)),$A:$A,0))-1),"")</f>
        <v/>
      </c>
      <c r="K1455" s="19">
        <f>IFERROR(IF(OR(F1455="",INDEX(F:F,MATCH(DATE(YEAR($A1455)-1,MONTH($A1455),DAY($A1455)),$A:$A,0))=""),"",F1455/INDEX(F:F,MATCH(DATE(YEAR($A1455)-1,MONTH($A1455),DAY($A1455)),$A:$A,0))-1),"")</f>
        <v/>
      </c>
      <c r="L1455" s="19">
        <f>IFERROR(IF(OR(G1455="",INDEX(G:G,MATCH(DATE(YEAR($A1455)-1,MONTH($A1455),DAY($A1455)),$A:$A,0))=""),"",G1455/INDEX(G:G,MATCH(DATE(YEAR($A1455)-1,MONTH($A1455),DAY($A1455)),$A:$A,0))-1),"")</f>
        <v/>
      </c>
      <c r="M1455" s="19">
        <f>IF(OR(E1455="",E1454=""),"",E1455/E1454-1)</f>
        <v/>
      </c>
      <c r="N1455" s="19">
        <f>IF(OR(F1455="",F1454=""),"",F1455/F1454-1)</f>
        <v/>
      </c>
      <c r="O1455" s="19">
        <f>IF(OR(G1455="",G1454=""),"",G1455/G1454-1)</f>
        <v/>
      </c>
      <c r="P1455" s="22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IF(R1455="","",P1455/R1455)</f>
        <v/>
      </c>
      <c r="T1455" s="23">
        <f>IF(R1455="","",Q1455/R1455)</f>
        <v/>
      </c>
      <c r="U1455" s="24">
        <f>IF(SUMIFS('Daily NSE Equity Options'!$M:$M,'Daily NSE Equity Options'!$A:$A,$A1455)=0,"",SUMIFS('Daily NSE Equity Options'!$M:$M,'Daily NSE Equity Options'!$A:$A,$A1455))</f>
        <v/>
      </c>
      <c r="V1455" s="9">
        <f>IF(SUMIFS('Daily BSE Equity Options'!$M:$M,'Daily BSE Equity Options'!$A:$A,$A1455)=0,"",SUMIFS('Daily BSE Equity Options'!$M:$M,'Daily BSE Equity Options'!$A:$A,$A1455))</f>
        <v/>
      </c>
      <c r="W1455" s="9">
        <f>IF(OR(U1455="",V1455=""),"",U1455+V1455)</f>
        <v/>
      </c>
      <c r="X1455" s="25">
        <f>IF(W1455="","",U1455/W1455)</f>
        <v/>
      </c>
      <c r="Y1455" s="25">
        <f>IF(W1455="","",V1455/W1455)</f>
        <v/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19">
        <f>IF(G1456="","",E1456/G1456)</f>
        <v/>
      </c>
      <c r="I1456" s="19">
        <f>IF(G1456="","",F1456/G1456)</f>
        <v/>
      </c>
      <c r="J1456" s="26">
        <f>IFERROR(IF(OR(E1456="",INDEX(E:E,MATCH(DATE(YEAR($A1456)-1,MONTH($A1456),DAY($A1456)),$A:$A,0))=""),"",E1456/INDEX(E:E,MATCH(DATE(YEAR($A1456)-1,MONTH($A1456),DAY($A1456)),$A:$A,0))-1),"")</f>
        <v/>
      </c>
      <c r="K1456" s="19">
        <f>IFERROR(IF(OR(F1456="",INDEX(F:F,MATCH(DATE(YEAR($A1456)-1,MONTH($A1456),DAY($A1456)),$A:$A,0))=""),"",F1456/INDEX(F:F,MATCH(DATE(YEAR($A1456)-1,MONTH($A1456),DAY($A1456)),$A:$A,0))-1),"")</f>
        <v/>
      </c>
      <c r="L1456" s="19">
        <f>IFERROR(IF(OR(G1456="",INDEX(G:G,MATCH(DATE(YEAR($A1456)-1,MONTH($A1456),DAY($A1456)),$A:$A,0))=""),"",G1456/INDEX(G:G,MATCH(DATE(YEAR($A1456)-1,MONTH($A1456),DAY($A1456)),$A:$A,0))-1),"")</f>
        <v/>
      </c>
      <c r="M1456" s="19">
        <f>IF(OR(E1456="",E1455=""),"",E1456/E1455-1)</f>
        <v/>
      </c>
      <c r="N1456" s="19">
        <f>IF(OR(F1456="",F1455=""),"",F1456/F1455-1)</f>
        <v/>
      </c>
      <c r="O1456" s="19">
        <f>IF(OR(G1456="",G1455=""),"",G1456/G1455-1)</f>
        <v/>
      </c>
      <c r="P1456" s="22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IF(R1456="","",P1456/R1456)</f>
        <v/>
      </c>
      <c r="T1456" s="23">
        <f>IF(R1456="","",Q1456/R1456)</f>
        <v/>
      </c>
      <c r="U1456" s="24">
        <f>IF(SUMIFS('Daily NSE Equity Options'!$M:$M,'Daily NSE Equity Options'!$A:$A,$A1456)=0,"",SUMIFS('Daily NSE Equity Options'!$M:$M,'Daily NSE Equity Options'!$A:$A,$A1456))</f>
        <v/>
      </c>
      <c r="V1456" s="9">
        <f>IF(SUMIFS('Daily BSE Equity Options'!$M:$M,'Daily BSE Equity Options'!$A:$A,$A1456)=0,"",SUMIFS('Daily BSE Equity Options'!$M:$M,'Daily BSE Equity Options'!$A:$A,$A1456))</f>
        <v/>
      </c>
      <c r="W1456" s="9">
        <f>IF(OR(U1456="",V1456=""),"",U1456+V1456)</f>
        <v/>
      </c>
      <c r="X1456" s="25">
        <f>IF(W1456="","",U1456/W1456)</f>
        <v/>
      </c>
      <c r="Y1456" s="25">
        <f>IF(W1456="","",V1456/W1456)</f>
        <v/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19">
        <f>IF(G1457="","",E1457/G1457)</f>
        <v/>
      </c>
      <c r="I1457" s="19">
        <f>IF(G1457="","",F1457/G1457)</f>
        <v/>
      </c>
      <c r="J1457" s="26">
        <f>IFERROR(IF(OR(E1457="",INDEX(E:E,MATCH(DATE(YEAR($A1457)-1,MONTH($A1457),DAY($A1457)),$A:$A,0))=""),"",E1457/INDEX(E:E,MATCH(DATE(YEAR($A1457)-1,MONTH($A1457),DAY($A1457)),$A:$A,0))-1),"")</f>
        <v/>
      </c>
      <c r="K1457" s="19">
        <f>IFERROR(IF(OR(F1457="",INDEX(F:F,MATCH(DATE(YEAR($A1457)-1,MONTH($A1457),DAY($A1457)),$A:$A,0))=""),"",F1457/INDEX(F:F,MATCH(DATE(YEAR($A1457)-1,MONTH($A1457),DAY($A1457)),$A:$A,0))-1),"")</f>
        <v/>
      </c>
      <c r="L1457" s="19">
        <f>IFERROR(IF(OR(G1457="",INDEX(G:G,MATCH(DATE(YEAR($A1457)-1,MONTH($A1457),DAY($A1457)),$A:$A,0))=""),"",G1457/INDEX(G:G,MATCH(DATE(YEAR($A1457)-1,MONTH($A1457),DAY($A1457)),$A:$A,0))-1),"")</f>
        <v/>
      </c>
      <c r="M1457" s="19">
        <f>IF(OR(E1457="",E1456=""),"",E1457/E1456-1)</f>
        <v/>
      </c>
      <c r="N1457" s="19">
        <f>IF(OR(F1457="",F1456=""),"",F1457/F1456-1)</f>
        <v/>
      </c>
      <c r="O1457" s="19">
        <f>IF(OR(G1457="",G1456=""),"",G1457/G1456-1)</f>
        <v/>
      </c>
      <c r="P1457" s="22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IF(R1457="","",P1457/R1457)</f>
        <v/>
      </c>
      <c r="T1457" s="23">
        <f>IF(R1457="","",Q1457/R1457)</f>
        <v/>
      </c>
      <c r="U1457" s="24">
        <f>IF(SUMIFS('Daily NSE Equity Options'!$M:$M,'Daily NSE Equity Options'!$A:$A,$A1457)=0,"",SUMIFS('Daily NSE Equity Options'!$M:$M,'Daily NSE Equity Options'!$A:$A,$A1457))</f>
        <v/>
      </c>
      <c r="V1457" s="9">
        <f>IF(SUMIFS('Daily BSE Equity Options'!$M:$M,'Daily BSE Equity Options'!$A:$A,$A1457)=0,"",SUMIFS('Daily BSE Equity Options'!$M:$M,'Daily BSE Equity Options'!$A:$A,$A1457))</f>
        <v/>
      </c>
      <c r="W1457" s="9">
        <f>IF(OR(U1457="",V1457=""),"",U1457+V1457)</f>
        <v/>
      </c>
      <c r="X1457" s="25">
        <f>IF(W1457="","",U1457/W1457)</f>
        <v/>
      </c>
      <c r="Y1457" s="25">
        <f>IF(W1457="","",V1457/W1457)</f>
        <v/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19">
        <f>IF(G1458="","",E1458/G1458)</f>
        <v/>
      </c>
      <c r="I1458" s="19">
        <f>IF(G1458="","",F1458/G1458)</f>
        <v/>
      </c>
      <c r="J1458" s="26">
        <f>IFERROR(IF(OR(E1458="",INDEX(E:E,MATCH(DATE(YEAR($A1458)-1,MONTH($A1458),DAY($A1458)),$A:$A,0))=""),"",E1458/INDEX(E:E,MATCH(DATE(YEAR($A1458)-1,MONTH($A1458),DAY($A1458)),$A:$A,0))-1),"")</f>
        <v/>
      </c>
      <c r="K1458" s="19">
        <f>IFERROR(IF(OR(F1458="",INDEX(F:F,MATCH(DATE(YEAR($A1458)-1,MONTH($A1458),DAY($A1458)),$A:$A,0))=""),"",F1458/INDEX(F:F,MATCH(DATE(YEAR($A1458)-1,MONTH($A1458),DAY($A1458)),$A:$A,0))-1),"")</f>
        <v/>
      </c>
      <c r="L1458" s="19">
        <f>IFERROR(IF(OR(G1458="",INDEX(G:G,MATCH(DATE(YEAR($A1458)-1,MONTH($A1458),DAY($A1458)),$A:$A,0))=""),"",G1458/INDEX(G:G,MATCH(DATE(YEAR($A1458)-1,MONTH($A1458),DAY($A1458)),$A:$A,0))-1),"")</f>
        <v/>
      </c>
      <c r="M1458" s="19">
        <f>IF(OR(E1458="",E1457=""),"",E1458/E1457-1)</f>
        <v/>
      </c>
      <c r="N1458" s="19">
        <f>IF(OR(F1458="",F1457=""),"",F1458/F1457-1)</f>
        <v/>
      </c>
      <c r="O1458" s="19">
        <f>IF(OR(G1458="",G1457=""),"",G1458/G1457-1)</f>
        <v/>
      </c>
      <c r="P1458" s="22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IF(R1458="","",P1458/R1458)</f>
        <v/>
      </c>
      <c r="T1458" s="23">
        <f>IF(R1458="","",Q1458/R1458)</f>
        <v/>
      </c>
      <c r="U1458" s="24">
        <f>IF(SUMIFS('Daily NSE Equity Options'!$M:$M,'Daily NSE Equity Options'!$A:$A,$A1458)=0,"",SUMIFS('Daily NSE Equity Options'!$M:$M,'Daily NSE Equity Options'!$A:$A,$A1458))</f>
        <v/>
      </c>
      <c r="V1458" s="9">
        <f>IF(SUMIFS('Daily BSE Equity Options'!$M:$M,'Daily BSE Equity Options'!$A:$A,$A1458)=0,"",SUMIFS('Daily BSE Equity Options'!$M:$M,'Daily BSE Equity Options'!$A:$A,$A1458))</f>
        <v/>
      </c>
      <c r="W1458" s="9">
        <f>IF(OR(U1458="",V1458=""),"",U1458+V1458)</f>
        <v/>
      </c>
      <c r="X1458" s="25">
        <f>IF(W1458="","",U1458/W1458)</f>
        <v/>
      </c>
      <c r="Y1458" s="25">
        <f>IF(W1458="","",V1458/W1458)</f>
        <v/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19">
        <f>IF(G1459="","",E1459/G1459)</f>
        <v/>
      </c>
      <c r="I1459" s="19">
        <f>IF(G1459="","",F1459/G1459)</f>
        <v/>
      </c>
      <c r="J1459" s="26">
        <f>IFERROR(IF(OR(E1459="",INDEX(E:E,MATCH(DATE(YEAR($A1459)-1,MONTH($A1459),DAY($A1459)),$A:$A,0))=""),"",E1459/INDEX(E:E,MATCH(DATE(YEAR($A1459)-1,MONTH($A1459),DAY($A1459)),$A:$A,0))-1),"")</f>
        <v/>
      </c>
      <c r="K1459" s="19">
        <f>IFERROR(IF(OR(F1459="",INDEX(F:F,MATCH(DATE(YEAR($A1459)-1,MONTH($A1459),DAY($A1459)),$A:$A,0))=""),"",F1459/INDEX(F:F,MATCH(DATE(YEAR($A1459)-1,MONTH($A1459),DAY($A1459)),$A:$A,0))-1),"")</f>
        <v/>
      </c>
      <c r="L1459" s="19">
        <f>IFERROR(IF(OR(G1459="",INDEX(G:G,MATCH(DATE(YEAR($A1459)-1,MONTH($A1459),DAY($A1459)),$A:$A,0))=""),"",G1459/INDEX(G:G,MATCH(DATE(YEAR($A1459)-1,MONTH($A1459),DAY($A1459)),$A:$A,0))-1),"")</f>
        <v/>
      </c>
      <c r="M1459" s="19">
        <f>IF(OR(E1459="",E1458=""),"",E1459/E1458-1)</f>
        <v/>
      </c>
      <c r="N1459" s="19">
        <f>IF(OR(F1459="",F1458=""),"",F1459/F1458-1)</f>
        <v/>
      </c>
      <c r="O1459" s="19">
        <f>IF(OR(G1459="",G1458=""),"",G1459/G1458-1)</f>
        <v/>
      </c>
      <c r="P1459" s="22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IF(R1459="","",P1459/R1459)</f>
        <v/>
      </c>
      <c r="T1459" s="23">
        <f>IF(R1459="","",Q1459/R1459)</f>
        <v/>
      </c>
      <c r="U1459" s="24">
        <f>IF(SUMIFS('Daily NSE Equity Options'!$M:$M,'Daily NSE Equity Options'!$A:$A,$A1459)=0,"",SUMIFS('Daily NSE Equity Options'!$M:$M,'Daily NSE Equity Options'!$A:$A,$A1459))</f>
        <v/>
      </c>
      <c r="V1459" s="9">
        <f>IF(SUMIFS('Daily BSE Equity Options'!$M:$M,'Daily BSE Equity Options'!$A:$A,$A1459)=0,"",SUMIFS('Daily BSE Equity Options'!$M:$M,'Daily BSE Equity Options'!$A:$A,$A1459))</f>
        <v/>
      </c>
      <c r="W1459" s="9">
        <f>IF(OR(U1459="",V1459=""),"",U1459+V1459)</f>
        <v/>
      </c>
      <c r="X1459" s="25">
        <f>IF(W1459="","",U1459/W1459)</f>
        <v/>
      </c>
      <c r="Y1459" s="25">
        <f>IF(W1459="","",V1459/W1459)</f>
        <v/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19">
        <f>IF(G1460="","",E1460/G1460)</f>
        <v/>
      </c>
      <c r="I1460" s="19">
        <f>IF(G1460="","",F1460/G1460)</f>
        <v/>
      </c>
      <c r="J1460" s="26">
        <f>IFERROR(IF(OR(E1460="",INDEX(E:E,MATCH(DATE(YEAR($A1460)-1,MONTH($A1460),DAY($A1460)),$A:$A,0))=""),"",E1460/INDEX(E:E,MATCH(DATE(YEAR($A1460)-1,MONTH($A1460),DAY($A1460)),$A:$A,0))-1),"")</f>
        <v/>
      </c>
      <c r="K1460" s="19">
        <f>IFERROR(IF(OR(F1460="",INDEX(F:F,MATCH(DATE(YEAR($A1460)-1,MONTH($A1460),DAY($A1460)),$A:$A,0))=""),"",F1460/INDEX(F:F,MATCH(DATE(YEAR($A1460)-1,MONTH($A1460),DAY($A1460)),$A:$A,0))-1),"")</f>
        <v/>
      </c>
      <c r="L1460" s="19">
        <f>IFERROR(IF(OR(G1460="",INDEX(G:G,MATCH(DATE(YEAR($A1460)-1,MONTH($A1460),DAY($A1460)),$A:$A,0))=""),"",G1460/INDEX(G:G,MATCH(DATE(YEAR($A1460)-1,MONTH($A1460),DAY($A1460)),$A:$A,0))-1),"")</f>
        <v/>
      </c>
      <c r="M1460" s="19">
        <f>IF(OR(E1460="",E1459=""),"",E1460/E1459-1)</f>
        <v/>
      </c>
      <c r="N1460" s="19">
        <f>IF(OR(F1460="",F1459=""),"",F1460/F1459-1)</f>
        <v/>
      </c>
      <c r="O1460" s="19">
        <f>IF(OR(G1460="",G1459=""),"",G1460/G1459-1)</f>
        <v/>
      </c>
      <c r="P1460" s="22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IF(R1460="","",P1460/R1460)</f>
        <v/>
      </c>
      <c r="T1460" s="23">
        <f>IF(R1460="","",Q1460/R1460)</f>
        <v/>
      </c>
      <c r="U1460" s="24">
        <f>IF(SUMIFS('Daily NSE Equity Options'!$M:$M,'Daily NSE Equity Options'!$A:$A,$A1460)=0,"",SUMIFS('Daily NSE Equity Options'!$M:$M,'Daily NSE Equity Options'!$A:$A,$A1460))</f>
        <v/>
      </c>
      <c r="V1460" s="9">
        <f>IF(SUMIFS('Daily BSE Equity Options'!$M:$M,'Daily BSE Equity Options'!$A:$A,$A1460)=0,"",SUMIFS('Daily BSE Equity Options'!$M:$M,'Daily BSE Equity Options'!$A:$A,$A1460))</f>
        <v/>
      </c>
      <c r="W1460" s="9">
        <f>IF(OR(U1460="",V1460=""),"",U1460+V1460)</f>
        <v/>
      </c>
      <c r="X1460" s="25">
        <f>IF(W1460="","",U1460/W1460)</f>
        <v/>
      </c>
      <c r="Y1460" s="25">
        <f>IF(W1460="","",V1460/W1460)</f>
        <v/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19">
        <f>IF(G1461="","",E1461/G1461)</f>
        <v/>
      </c>
      <c r="I1461" s="19">
        <f>IF(G1461="","",F1461/G1461)</f>
        <v/>
      </c>
      <c r="J1461" s="26">
        <f>IFERROR(IF(OR(E1461="",INDEX(E:E,MATCH(DATE(YEAR($A1461)-1,MONTH($A1461),DAY($A1461)),$A:$A,0))=""),"",E1461/INDEX(E:E,MATCH(DATE(YEAR($A1461)-1,MONTH($A1461),DAY($A1461)),$A:$A,0))-1),"")</f>
        <v/>
      </c>
      <c r="K1461" s="19">
        <f>IFERROR(IF(OR(F1461="",INDEX(F:F,MATCH(DATE(YEAR($A1461)-1,MONTH($A1461),DAY($A1461)),$A:$A,0))=""),"",F1461/INDEX(F:F,MATCH(DATE(YEAR($A1461)-1,MONTH($A1461),DAY($A1461)),$A:$A,0))-1),"")</f>
        <v/>
      </c>
      <c r="L1461" s="19">
        <f>IFERROR(IF(OR(G1461="",INDEX(G:G,MATCH(DATE(YEAR($A1461)-1,MONTH($A1461),DAY($A1461)),$A:$A,0))=""),"",G1461/INDEX(G:G,MATCH(DATE(YEAR($A1461)-1,MONTH($A1461),DAY($A1461)),$A:$A,0))-1),"")</f>
        <v/>
      </c>
      <c r="M1461" s="19">
        <f>IF(OR(E1461="",E1460=""),"",E1461/E1460-1)</f>
        <v/>
      </c>
      <c r="N1461" s="19">
        <f>IF(OR(F1461="",F1460=""),"",F1461/F1460-1)</f>
        <v/>
      </c>
      <c r="O1461" s="19">
        <f>IF(OR(G1461="",G1460=""),"",G1461/G1460-1)</f>
        <v/>
      </c>
      <c r="P1461" s="22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IF(R1461="","",P1461/R1461)</f>
        <v/>
      </c>
      <c r="T1461" s="23">
        <f>IF(R1461="","",Q1461/R1461)</f>
        <v/>
      </c>
      <c r="U1461" s="24">
        <f>IF(SUMIFS('Daily NSE Equity Options'!$M:$M,'Daily NSE Equity Options'!$A:$A,$A1461)=0,"",SUMIFS('Daily NSE Equity Options'!$M:$M,'Daily NSE Equity Options'!$A:$A,$A1461))</f>
        <v/>
      </c>
      <c r="V1461" s="9">
        <f>IF(SUMIFS('Daily BSE Equity Options'!$M:$M,'Daily BSE Equity Options'!$A:$A,$A1461)=0,"",SUMIFS('Daily BSE Equity Options'!$M:$M,'Daily BSE Equity Options'!$A:$A,$A1461))</f>
        <v/>
      </c>
      <c r="W1461" s="9">
        <f>IF(OR(U1461="",V1461=""),"",U1461+V1461)</f>
        <v/>
      </c>
      <c r="X1461" s="25">
        <f>IF(W1461="","",U1461/W1461)</f>
        <v/>
      </c>
      <c r="Y1461" s="25">
        <f>IF(W1461="","",V1461/W1461)</f>
        <v/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19">
        <f>IF(G1462="","",E1462/G1462)</f>
        <v/>
      </c>
      <c r="I1462" s="19">
        <f>IF(G1462="","",F1462/G1462)</f>
        <v/>
      </c>
      <c r="J1462" s="26">
        <f>IFERROR(IF(OR(E1462="",INDEX(E:E,MATCH(DATE(YEAR($A1462)-1,MONTH($A1462),DAY($A1462)),$A:$A,0))=""),"",E1462/INDEX(E:E,MATCH(DATE(YEAR($A1462)-1,MONTH($A1462),DAY($A1462)),$A:$A,0))-1),"")</f>
        <v/>
      </c>
      <c r="K1462" s="19">
        <f>IFERROR(IF(OR(F1462="",INDEX(F:F,MATCH(DATE(YEAR($A1462)-1,MONTH($A1462),DAY($A1462)),$A:$A,0))=""),"",F1462/INDEX(F:F,MATCH(DATE(YEAR($A1462)-1,MONTH($A1462),DAY($A1462)),$A:$A,0))-1),"")</f>
        <v/>
      </c>
      <c r="L1462" s="19">
        <f>IFERROR(IF(OR(G1462="",INDEX(G:G,MATCH(DATE(YEAR($A1462)-1,MONTH($A1462),DAY($A1462)),$A:$A,0))=""),"",G1462/INDEX(G:G,MATCH(DATE(YEAR($A1462)-1,MONTH($A1462),DAY($A1462)),$A:$A,0))-1),"")</f>
        <v/>
      </c>
      <c r="M1462" s="19">
        <f>IF(OR(E1462="",E1461=""),"",E1462/E1461-1)</f>
        <v/>
      </c>
      <c r="N1462" s="19">
        <f>IF(OR(F1462="",F1461=""),"",F1462/F1461-1)</f>
        <v/>
      </c>
      <c r="O1462" s="19">
        <f>IF(OR(G1462="",G1461=""),"",G1462/G1461-1)</f>
        <v/>
      </c>
      <c r="P1462" s="22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IF(R1462="","",P1462/R1462)</f>
        <v/>
      </c>
      <c r="T1462" s="23">
        <f>IF(R1462="","",Q1462/R1462)</f>
        <v/>
      </c>
      <c r="U1462" s="24">
        <f>IF(SUMIFS('Daily NSE Equity Options'!$M:$M,'Daily NSE Equity Options'!$A:$A,$A1462)=0,"",SUMIFS('Daily NSE Equity Options'!$M:$M,'Daily NSE Equity Options'!$A:$A,$A1462))</f>
        <v/>
      </c>
      <c r="V1462" s="9">
        <f>IF(SUMIFS('Daily BSE Equity Options'!$M:$M,'Daily BSE Equity Options'!$A:$A,$A1462)=0,"",SUMIFS('Daily BSE Equity Options'!$M:$M,'Daily BSE Equity Options'!$A:$A,$A1462))</f>
        <v/>
      </c>
      <c r="W1462" s="9">
        <f>IF(OR(U1462="",V1462=""),"",U1462+V1462)</f>
        <v/>
      </c>
      <c r="X1462" s="25">
        <f>IF(W1462="","",U1462/W1462)</f>
        <v/>
      </c>
      <c r="Y1462" s="25">
        <f>IF(W1462="","",V1462/W1462)</f>
        <v/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19">
        <f>IF(G1463="","",E1463/G1463)</f>
        <v/>
      </c>
      <c r="I1463" s="19">
        <f>IF(G1463="","",F1463/G1463)</f>
        <v/>
      </c>
      <c r="J1463" s="26">
        <f>IFERROR(IF(OR(E1463="",INDEX(E:E,MATCH(DATE(YEAR($A1463)-1,MONTH($A1463),DAY($A1463)),$A:$A,0))=""),"",E1463/INDEX(E:E,MATCH(DATE(YEAR($A1463)-1,MONTH($A1463),DAY($A1463)),$A:$A,0))-1),"")</f>
        <v/>
      </c>
      <c r="K1463" s="19">
        <f>IFERROR(IF(OR(F1463="",INDEX(F:F,MATCH(DATE(YEAR($A1463)-1,MONTH($A1463),DAY($A1463)),$A:$A,0))=""),"",F1463/INDEX(F:F,MATCH(DATE(YEAR($A1463)-1,MONTH($A1463),DAY($A1463)),$A:$A,0))-1),"")</f>
        <v/>
      </c>
      <c r="L1463" s="19">
        <f>IFERROR(IF(OR(G1463="",INDEX(G:G,MATCH(DATE(YEAR($A1463)-1,MONTH($A1463),DAY($A1463)),$A:$A,0))=""),"",G1463/INDEX(G:G,MATCH(DATE(YEAR($A1463)-1,MONTH($A1463),DAY($A1463)),$A:$A,0))-1),"")</f>
        <v/>
      </c>
      <c r="M1463" s="19">
        <f>IF(OR(E1463="",E1462=""),"",E1463/E1462-1)</f>
        <v/>
      </c>
      <c r="N1463" s="19">
        <f>IF(OR(F1463="",F1462=""),"",F1463/F1462-1)</f>
        <v/>
      </c>
      <c r="O1463" s="19">
        <f>IF(OR(G1463="",G1462=""),"",G1463/G1462-1)</f>
        <v/>
      </c>
      <c r="P1463" s="22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IF(R1463="","",P1463/R1463)</f>
        <v/>
      </c>
      <c r="T1463" s="23">
        <f>IF(R1463="","",Q1463/R1463)</f>
        <v/>
      </c>
      <c r="U1463" s="24">
        <f>IF(SUMIFS('Daily NSE Equity Options'!$M:$M,'Daily NSE Equity Options'!$A:$A,$A1463)=0,"",SUMIFS('Daily NSE Equity Options'!$M:$M,'Daily NSE Equity Options'!$A:$A,$A1463))</f>
        <v/>
      </c>
      <c r="V1463" s="9">
        <f>IF(SUMIFS('Daily BSE Equity Options'!$M:$M,'Daily BSE Equity Options'!$A:$A,$A1463)=0,"",SUMIFS('Daily BSE Equity Options'!$M:$M,'Daily BSE Equity Options'!$A:$A,$A1463))</f>
        <v/>
      </c>
      <c r="W1463" s="9">
        <f>IF(OR(U1463="",V1463=""),"",U1463+V1463)</f>
        <v/>
      </c>
      <c r="X1463" s="25">
        <f>IF(W1463="","",U1463/W1463)</f>
        <v/>
      </c>
      <c r="Y1463" s="25">
        <f>IF(W1463="","",V1463/W1463)</f>
        <v/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19">
        <f>IF(G1464="","",E1464/G1464)</f>
        <v/>
      </c>
      <c r="I1464" s="19">
        <f>IF(G1464="","",F1464/G1464)</f>
        <v/>
      </c>
      <c r="J1464" s="26">
        <f>IFERROR(IF(OR(E1464="",INDEX(E:E,MATCH(DATE(YEAR($A1464)-1,MONTH($A1464),DAY($A1464)),$A:$A,0))=""),"",E1464/INDEX(E:E,MATCH(DATE(YEAR($A1464)-1,MONTH($A1464),DAY($A1464)),$A:$A,0))-1),"")</f>
        <v/>
      </c>
      <c r="K1464" s="19">
        <f>IFERROR(IF(OR(F1464="",INDEX(F:F,MATCH(DATE(YEAR($A1464)-1,MONTH($A1464),DAY($A1464)),$A:$A,0))=""),"",F1464/INDEX(F:F,MATCH(DATE(YEAR($A1464)-1,MONTH($A1464),DAY($A1464)),$A:$A,0))-1),"")</f>
        <v/>
      </c>
      <c r="L1464" s="19">
        <f>IFERROR(IF(OR(G1464="",INDEX(G:G,MATCH(DATE(YEAR($A1464)-1,MONTH($A1464),DAY($A1464)),$A:$A,0))=""),"",G1464/INDEX(G:G,MATCH(DATE(YEAR($A1464)-1,MONTH($A1464),DAY($A1464)),$A:$A,0))-1),"")</f>
        <v/>
      </c>
      <c r="M1464" s="19">
        <f>IF(OR(E1464="",E1463=""),"",E1464/E1463-1)</f>
        <v/>
      </c>
      <c r="N1464" s="19">
        <f>IF(OR(F1464="",F1463=""),"",F1464/F1463-1)</f>
        <v/>
      </c>
      <c r="O1464" s="19">
        <f>IF(OR(G1464="",G1463=""),"",G1464/G1463-1)</f>
        <v/>
      </c>
      <c r="P1464" s="22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IF(R1464="","",P1464/R1464)</f>
        <v/>
      </c>
      <c r="T1464" s="23">
        <f>IF(R1464="","",Q1464/R1464)</f>
        <v/>
      </c>
      <c r="U1464" s="24">
        <f>IF(SUMIFS('Daily NSE Equity Options'!$M:$M,'Daily NSE Equity Options'!$A:$A,$A1464)=0,"",SUMIFS('Daily NSE Equity Options'!$M:$M,'Daily NSE Equity Options'!$A:$A,$A1464))</f>
        <v/>
      </c>
      <c r="V1464" s="9">
        <f>IF(SUMIFS('Daily BSE Equity Options'!$M:$M,'Daily BSE Equity Options'!$A:$A,$A1464)=0,"",SUMIFS('Daily BSE Equity Options'!$M:$M,'Daily BSE Equity Options'!$A:$A,$A1464))</f>
        <v/>
      </c>
      <c r="W1464" s="9">
        <f>IF(OR(U1464="",V1464=""),"",U1464+V1464)</f>
        <v/>
      </c>
      <c r="X1464" s="25">
        <f>IF(W1464="","",U1464/W1464)</f>
        <v/>
      </c>
      <c r="Y1464" s="25">
        <f>IF(W1464="","",V1464/W1464)</f>
        <v/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19">
        <f>IF(G1465="","",E1465/G1465)</f>
        <v/>
      </c>
      <c r="I1465" s="19">
        <f>IF(G1465="","",F1465/G1465)</f>
        <v/>
      </c>
      <c r="J1465" s="26">
        <f>IFERROR(IF(OR(E1465="",INDEX(E:E,MATCH(DATE(YEAR($A1465)-1,MONTH($A1465),DAY($A1465)),$A:$A,0))=""),"",E1465/INDEX(E:E,MATCH(DATE(YEAR($A1465)-1,MONTH($A1465),DAY($A1465)),$A:$A,0))-1),"")</f>
        <v/>
      </c>
      <c r="K1465" s="19">
        <f>IFERROR(IF(OR(F1465="",INDEX(F:F,MATCH(DATE(YEAR($A1465)-1,MONTH($A1465),DAY($A1465)),$A:$A,0))=""),"",F1465/INDEX(F:F,MATCH(DATE(YEAR($A1465)-1,MONTH($A1465),DAY($A1465)),$A:$A,0))-1),"")</f>
        <v/>
      </c>
      <c r="L1465" s="19">
        <f>IFERROR(IF(OR(G1465="",INDEX(G:G,MATCH(DATE(YEAR($A1465)-1,MONTH($A1465),DAY($A1465)),$A:$A,0))=""),"",G1465/INDEX(G:G,MATCH(DATE(YEAR($A1465)-1,MONTH($A1465),DAY($A1465)),$A:$A,0))-1),"")</f>
        <v/>
      </c>
      <c r="M1465" s="19">
        <f>IF(OR(E1465="",E1464=""),"",E1465/E1464-1)</f>
        <v/>
      </c>
      <c r="N1465" s="19">
        <f>IF(OR(F1465="",F1464=""),"",F1465/F1464-1)</f>
        <v/>
      </c>
      <c r="O1465" s="19">
        <f>IF(OR(G1465="",G1464=""),"",G1465/G1464-1)</f>
        <v/>
      </c>
      <c r="P1465" s="22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IF(R1465="","",P1465/R1465)</f>
        <v/>
      </c>
      <c r="T1465" s="23">
        <f>IF(R1465="","",Q1465/R1465)</f>
        <v/>
      </c>
      <c r="U1465" s="24">
        <f>IF(SUMIFS('Daily NSE Equity Options'!$M:$M,'Daily NSE Equity Options'!$A:$A,$A1465)=0,"",SUMIFS('Daily NSE Equity Options'!$M:$M,'Daily NSE Equity Options'!$A:$A,$A1465))</f>
        <v/>
      </c>
      <c r="V1465" s="9">
        <f>IF(SUMIFS('Daily BSE Equity Options'!$M:$M,'Daily BSE Equity Options'!$A:$A,$A1465)=0,"",SUMIFS('Daily BSE Equity Options'!$M:$M,'Daily BSE Equity Options'!$A:$A,$A1465))</f>
        <v/>
      </c>
      <c r="W1465" s="9">
        <f>IF(OR(U1465="",V1465=""),"",U1465+V1465)</f>
        <v/>
      </c>
      <c r="X1465" s="25">
        <f>IF(W1465="","",U1465/W1465)</f>
        <v/>
      </c>
      <c r="Y1465" s="25">
        <f>IF(W1465="","",V1465/W1465)</f>
        <v/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19">
        <f>IF(G1466="","",E1466/G1466)</f>
        <v/>
      </c>
      <c r="I1466" s="19">
        <f>IF(G1466="","",F1466/G1466)</f>
        <v/>
      </c>
      <c r="J1466" s="26">
        <f>IFERROR(IF(OR(E1466="",INDEX(E:E,MATCH(DATE(YEAR($A1466)-1,MONTH($A1466),DAY($A1466)),$A:$A,0))=""),"",E1466/INDEX(E:E,MATCH(DATE(YEAR($A1466)-1,MONTH($A1466),DAY($A1466)),$A:$A,0))-1),"")</f>
        <v/>
      </c>
      <c r="K1466" s="19">
        <f>IFERROR(IF(OR(F1466="",INDEX(F:F,MATCH(DATE(YEAR($A1466)-1,MONTH($A1466),DAY($A1466)),$A:$A,0))=""),"",F1466/INDEX(F:F,MATCH(DATE(YEAR($A1466)-1,MONTH($A1466),DAY($A1466)),$A:$A,0))-1),"")</f>
        <v/>
      </c>
      <c r="L1466" s="19">
        <f>IFERROR(IF(OR(G1466="",INDEX(G:G,MATCH(DATE(YEAR($A1466)-1,MONTH($A1466),DAY($A1466)),$A:$A,0))=""),"",G1466/INDEX(G:G,MATCH(DATE(YEAR($A1466)-1,MONTH($A1466),DAY($A1466)),$A:$A,0))-1),"")</f>
        <v/>
      </c>
      <c r="M1466" s="19">
        <f>IF(OR(E1466="",E1465=""),"",E1466/E1465-1)</f>
        <v/>
      </c>
      <c r="N1466" s="19">
        <f>IF(OR(F1466="",F1465=""),"",F1466/F1465-1)</f>
        <v/>
      </c>
      <c r="O1466" s="19">
        <f>IF(OR(G1466="",G1465=""),"",G1466/G1465-1)</f>
        <v/>
      </c>
      <c r="P1466" s="22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IF(R1466="","",P1466/R1466)</f>
        <v/>
      </c>
      <c r="T1466" s="23">
        <f>IF(R1466="","",Q1466/R1466)</f>
        <v/>
      </c>
      <c r="U1466" s="24">
        <f>IF(SUMIFS('Daily NSE Equity Options'!$M:$M,'Daily NSE Equity Options'!$A:$A,$A1466)=0,"",SUMIFS('Daily NSE Equity Options'!$M:$M,'Daily NSE Equity Options'!$A:$A,$A1466))</f>
        <v/>
      </c>
      <c r="V1466" s="9">
        <f>IF(SUMIFS('Daily BSE Equity Options'!$M:$M,'Daily BSE Equity Options'!$A:$A,$A1466)=0,"",SUMIFS('Daily BSE Equity Options'!$M:$M,'Daily BSE Equity Options'!$A:$A,$A1466))</f>
        <v/>
      </c>
      <c r="W1466" s="9">
        <f>IF(OR(U1466="",V1466=""),"",U1466+V1466)</f>
        <v/>
      </c>
      <c r="X1466" s="25">
        <f>IF(W1466="","",U1466/W1466)</f>
        <v/>
      </c>
      <c r="Y1466" s="25">
        <f>IF(W1466="","",V1466/W1466)</f>
        <v/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19">
        <f>IF(G1467="","",E1467/G1467)</f>
        <v/>
      </c>
      <c r="I1467" s="19">
        <f>IF(G1467="","",F1467/G1467)</f>
        <v/>
      </c>
      <c r="J1467" s="26">
        <f>IFERROR(IF(OR(E1467="",INDEX(E:E,MATCH(DATE(YEAR($A1467)-1,MONTH($A1467),DAY($A1467)),$A:$A,0))=""),"",E1467/INDEX(E:E,MATCH(DATE(YEAR($A1467)-1,MONTH($A1467),DAY($A1467)),$A:$A,0))-1),"")</f>
        <v/>
      </c>
      <c r="K1467" s="19">
        <f>IFERROR(IF(OR(F1467="",INDEX(F:F,MATCH(DATE(YEAR($A1467)-1,MONTH($A1467),DAY($A1467)),$A:$A,0))=""),"",F1467/INDEX(F:F,MATCH(DATE(YEAR($A1467)-1,MONTH($A1467),DAY($A1467)),$A:$A,0))-1),"")</f>
        <v/>
      </c>
      <c r="L1467" s="19">
        <f>IFERROR(IF(OR(G1467="",INDEX(G:G,MATCH(DATE(YEAR($A1467)-1,MONTH($A1467),DAY($A1467)),$A:$A,0))=""),"",G1467/INDEX(G:G,MATCH(DATE(YEAR($A1467)-1,MONTH($A1467),DAY($A1467)),$A:$A,0))-1),"")</f>
        <v/>
      </c>
      <c r="M1467" s="19">
        <f>IF(OR(E1467="",E1466=""),"",E1467/E1466-1)</f>
        <v/>
      </c>
      <c r="N1467" s="19">
        <f>IF(OR(F1467="",F1466=""),"",F1467/F1466-1)</f>
        <v/>
      </c>
      <c r="O1467" s="19">
        <f>IF(OR(G1467="",G1466=""),"",G1467/G1466-1)</f>
        <v/>
      </c>
      <c r="P1467" s="22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IF(R1467="","",P1467/R1467)</f>
        <v/>
      </c>
      <c r="T1467" s="23">
        <f>IF(R1467="","",Q1467/R1467)</f>
        <v/>
      </c>
      <c r="U1467" s="24">
        <f>IF(SUMIFS('Daily NSE Equity Options'!$M:$M,'Daily NSE Equity Options'!$A:$A,$A1467)=0,"",SUMIFS('Daily NSE Equity Options'!$M:$M,'Daily NSE Equity Options'!$A:$A,$A1467))</f>
        <v/>
      </c>
      <c r="V1467" s="9">
        <f>IF(SUMIFS('Daily BSE Equity Options'!$M:$M,'Daily BSE Equity Options'!$A:$A,$A1467)=0,"",SUMIFS('Daily BSE Equity Options'!$M:$M,'Daily BSE Equity Options'!$A:$A,$A1467))</f>
        <v/>
      </c>
      <c r="W1467" s="9">
        <f>IF(OR(U1467="",V1467=""),"",U1467+V1467)</f>
        <v/>
      </c>
      <c r="X1467" s="25">
        <f>IF(W1467="","",U1467/W1467)</f>
        <v/>
      </c>
      <c r="Y1467" s="25">
        <f>IF(W1467="","",V1467/W1467)</f>
        <v/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19">
        <f>IF(G1468="","",E1468/G1468)</f>
        <v/>
      </c>
      <c r="I1468" s="19">
        <f>IF(G1468="","",F1468/G1468)</f>
        <v/>
      </c>
      <c r="J1468" s="26">
        <f>IFERROR(IF(OR(E1468="",INDEX(E:E,MATCH(DATE(YEAR($A1468)-1,MONTH($A1468),DAY($A1468)),$A:$A,0))=""),"",E1468/INDEX(E:E,MATCH(DATE(YEAR($A1468)-1,MONTH($A1468),DAY($A1468)),$A:$A,0))-1),"")</f>
        <v/>
      </c>
      <c r="K1468" s="19">
        <f>IFERROR(IF(OR(F1468="",INDEX(F:F,MATCH(DATE(YEAR($A1468)-1,MONTH($A1468),DAY($A1468)),$A:$A,0))=""),"",F1468/INDEX(F:F,MATCH(DATE(YEAR($A1468)-1,MONTH($A1468),DAY($A1468)),$A:$A,0))-1),"")</f>
        <v/>
      </c>
      <c r="L1468" s="19">
        <f>IFERROR(IF(OR(G1468="",INDEX(G:G,MATCH(DATE(YEAR($A1468)-1,MONTH($A1468),DAY($A1468)),$A:$A,0))=""),"",G1468/INDEX(G:G,MATCH(DATE(YEAR($A1468)-1,MONTH($A1468),DAY($A1468)),$A:$A,0))-1),"")</f>
        <v/>
      </c>
      <c r="M1468" s="19">
        <f>IF(OR(E1468="",E1467=""),"",E1468/E1467-1)</f>
        <v/>
      </c>
      <c r="N1468" s="19">
        <f>IF(OR(F1468="",F1467=""),"",F1468/F1467-1)</f>
        <v/>
      </c>
      <c r="O1468" s="19">
        <f>IF(OR(G1468="",G1467=""),"",G1468/G1467-1)</f>
        <v/>
      </c>
      <c r="P1468" s="22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IF(R1468="","",P1468/R1468)</f>
        <v/>
      </c>
      <c r="T1468" s="23">
        <f>IF(R1468="","",Q1468/R1468)</f>
        <v/>
      </c>
      <c r="U1468" s="24">
        <f>IF(SUMIFS('Daily NSE Equity Options'!$M:$M,'Daily NSE Equity Options'!$A:$A,$A1468)=0,"",SUMIFS('Daily NSE Equity Options'!$M:$M,'Daily NSE Equity Options'!$A:$A,$A1468))</f>
        <v/>
      </c>
      <c r="V1468" s="9">
        <f>IF(SUMIFS('Daily BSE Equity Options'!$M:$M,'Daily BSE Equity Options'!$A:$A,$A1468)=0,"",SUMIFS('Daily BSE Equity Options'!$M:$M,'Daily BSE Equity Options'!$A:$A,$A1468))</f>
        <v/>
      </c>
      <c r="W1468" s="9">
        <f>IF(OR(U1468="",V1468=""),"",U1468+V1468)</f>
        <v/>
      </c>
      <c r="X1468" s="25">
        <f>IF(W1468="","",U1468/W1468)</f>
        <v/>
      </c>
      <c r="Y1468" s="25">
        <f>IF(W1468="","",V1468/W1468)</f>
        <v/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19">
        <f>IF(G1469="","",E1469/G1469)</f>
        <v/>
      </c>
      <c r="I1469" s="19">
        <f>IF(G1469="","",F1469/G1469)</f>
        <v/>
      </c>
      <c r="J1469" s="26">
        <f>IFERROR(IF(OR(E1469="",INDEX(E:E,MATCH(DATE(YEAR($A1469)-1,MONTH($A1469),DAY($A1469)),$A:$A,0))=""),"",E1469/INDEX(E:E,MATCH(DATE(YEAR($A1469)-1,MONTH($A1469),DAY($A1469)),$A:$A,0))-1),"")</f>
        <v/>
      </c>
      <c r="K1469" s="19">
        <f>IFERROR(IF(OR(F1469="",INDEX(F:F,MATCH(DATE(YEAR($A1469)-1,MONTH($A1469),DAY($A1469)),$A:$A,0))=""),"",F1469/INDEX(F:F,MATCH(DATE(YEAR($A1469)-1,MONTH($A1469),DAY($A1469)),$A:$A,0))-1),"")</f>
        <v/>
      </c>
      <c r="L1469" s="19">
        <f>IFERROR(IF(OR(G1469="",INDEX(G:G,MATCH(DATE(YEAR($A1469)-1,MONTH($A1469),DAY($A1469)),$A:$A,0))=""),"",G1469/INDEX(G:G,MATCH(DATE(YEAR($A1469)-1,MONTH($A1469),DAY($A1469)),$A:$A,0))-1),"")</f>
        <v/>
      </c>
      <c r="M1469" s="19">
        <f>IF(OR(E1469="",E1468=""),"",E1469/E1468-1)</f>
        <v/>
      </c>
      <c r="N1469" s="19">
        <f>IF(OR(F1469="",F1468=""),"",F1469/F1468-1)</f>
        <v/>
      </c>
      <c r="O1469" s="19">
        <f>IF(OR(G1469="",G1468=""),"",G1469/G1468-1)</f>
        <v/>
      </c>
      <c r="P1469" s="22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IF(R1469="","",P1469/R1469)</f>
        <v/>
      </c>
      <c r="T1469" s="23">
        <f>IF(R1469="","",Q1469/R1469)</f>
        <v/>
      </c>
      <c r="U1469" s="24">
        <f>IF(SUMIFS('Daily NSE Equity Options'!$M:$M,'Daily NSE Equity Options'!$A:$A,$A1469)=0,"",SUMIFS('Daily NSE Equity Options'!$M:$M,'Daily NSE Equity Options'!$A:$A,$A1469))</f>
        <v/>
      </c>
      <c r="V1469" s="9">
        <f>IF(SUMIFS('Daily BSE Equity Options'!$M:$M,'Daily BSE Equity Options'!$A:$A,$A1469)=0,"",SUMIFS('Daily BSE Equity Options'!$M:$M,'Daily BSE Equity Options'!$A:$A,$A1469))</f>
        <v/>
      </c>
      <c r="W1469" s="9">
        <f>IF(OR(U1469="",V1469=""),"",U1469+V1469)</f>
        <v/>
      </c>
      <c r="X1469" s="25">
        <f>IF(W1469="","",U1469/W1469)</f>
        <v/>
      </c>
      <c r="Y1469" s="25">
        <f>IF(W1469="","",V1469/W1469)</f>
        <v/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19">
        <f>IF(G1470="","",E1470/G1470)</f>
        <v/>
      </c>
      <c r="I1470" s="19">
        <f>IF(G1470="","",F1470/G1470)</f>
        <v/>
      </c>
      <c r="J1470" s="26">
        <f>IFERROR(IF(OR(E1470="",INDEX(E:E,MATCH(DATE(YEAR($A1470)-1,MONTH($A1470),DAY($A1470)),$A:$A,0))=""),"",E1470/INDEX(E:E,MATCH(DATE(YEAR($A1470)-1,MONTH($A1470),DAY($A1470)),$A:$A,0))-1),"")</f>
        <v/>
      </c>
      <c r="K1470" s="19">
        <f>IFERROR(IF(OR(F1470="",INDEX(F:F,MATCH(DATE(YEAR($A1470)-1,MONTH($A1470),DAY($A1470)),$A:$A,0))=""),"",F1470/INDEX(F:F,MATCH(DATE(YEAR($A1470)-1,MONTH($A1470),DAY($A1470)),$A:$A,0))-1),"")</f>
        <v/>
      </c>
      <c r="L1470" s="19">
        <f>IFERROR(IF(OR(G1470="",INDEX(G:G,MATCH(DATE(YEAR($A1470)-1,MONTH($A1470),DAY($A1470)),$A:$A,0))=""),"",G1470/INDEX(G:G,MATCH(DATE(YEAR($A1470)-1,MONTH($A1470),DAY($A1470)),$A:$A,0))-1),"")</f>
        <v/>
      </c>
      <c r="M1470" s="19">
        <f>IF(OR(E1470="",E1469=""),"",E1470/E1469-1)</f>
        <v/>
      </c>
      <c r="N1470" s="19">
        <f>IF(OR(F1470="",F1469=""),"",F1470/F1469-1)</f>
        <v/>
      </c>
      <c r="O1470" s="19">
        <f>IF(OR(G1470="",G1469=""),"",G1470/G1469-1)</f>
        <v/>
      </c>
      <c r="P1470" s="22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IF(R1470="","",P1470/R1470)</f>
        <v/>
      </c>
      <c r="T1470" s="23">
        <f>IF(R1470="","",Q1470/R1470)</f>
        <v/>
      </c>
      <c r="U1470" s="24">
        <f>IF(SUMIFS('Daily NSE Equity Options'!$M:$M,'Daily NSE Equity Options'!$A:$A,$A1470)=0,"",SUMIFS('Daily NSE Equity Options'!$M:$M,'Daily NSE Equity Options'!$A:$A,$A1470))</f>
        <v/>
      </c>
      <c r="V1470" s="9">
        <f>IF(SUMIFS('Daily BSE Equity Options'!$M:$M,'Daily BSE Equity Options'!$A:$A,$A1470)=0,"",SUMIFS('Daily BSE Equity Options'!$M:$M,'Daily BSE Equity Options'!$A:$A,$A1470))</f>
        <v/>
      </c>
      <c r="W1470" s="9">
        <f>IF(OR(U1470="",V1470=""),"",U1470+V1470)</f>
        <v/>
      </c>
      <c r="X1470" s="25">
        <f>IF(W1470="","",U1470/W1470)</f>
        <v/>
      </c>
      <c r="Y1470" s="25">
        <f>IF(W1470="","",V1470/W1470)</f>
        <v/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19">
        <f>IF(G1471="","",E1471/G1471)</f>
        <v/>
      </c>
      <c r="I1471" s="19">
        <f>IF(G1471="","",F1471/G1471)</f>
        <v/>
      </c>
      <c r="J1471" s="26">
        <f>IFERROR(IF(OR(E1471="",INDEX(E:E,MATCH(DATE(YEAR($A1471)-1,MONTH($A1471),DAY($A1471)),$A:$A,0))=""),"",E1471/INDEX(E:E,MATCH(DATE(YEAR($A1471)-1,MONTH($A1471),DAY($A1471)),$A:$A,0))-1),"")</f>
        <v/>
      </c>
      <c r="K1471" s="19">
        <f>IFERROR(IF(OR(F1471="",INDEX(F:F,MATCH(DATE(YEAR($A1471)-1,MONTH($A1471),DAY($A1471)),$A:$A,0))=""),"",F1471/INDEX(F:F,MATCH(DATE(YEAR($A1471)-1,MONTH($A1471),DAY($A1471)),$A:$A,0))-1),"")</f>
        <v/>
      </c>
      <c r="L1471" s="19">
        <f>IFERROR(IF(OR(G1471="",INDEX(G:G,MATCH(DATE(YEAR($A1471)-1,MONTH($A1471),DAY($A1471)),$A:$A,0))=""),"",G1471/INDEX(G:G,MATCH(DATE(YEAR($A1471)-1,MONTH($A1471),DAY($A1471)),$A:$A,0))-1),"")</f>
        <v/>
      </c>
      <c r="M1471" s="19">
        <f>IF(OR(E1471="",E1470=""),"",E1471/E1470-1)</f>
        <v/>
      </c>
      <c r="N1471" s="19">
        <f>IF(OR(F1471="",F1470=""),"",F1471/F1470-1)</f>
        <v/>
      </c>
      <c r="O1471" s="19">
        <f>IF(OR(G1471="",G1470=""),"",G1471/G1470-1)</f>
        <v/>
      </c>
      <c r="P1471" s="22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IF(R1471="","",P1471/R1471)</f>
        <v/>
      </c>
      <c r="T1471" s="23">
        <f>IF(R1471="","",Q1471/R1471)</f>
        <v/>
      </c>
      <c r="U1471" s="24">
        <f>IF(SUMIFS('Daily NSE Equity Options'!$M:$M,'Daily NSE Equity Options'!$A:$A,$A1471)=0,"",SUMIFS('Daily NSE Equity Options'!$M:$M,'Daily NSE Equity Options'!$A:$A,$A1471))</f>
        <v/>
      </c>
      <c r="V1471" s="9">
        <f>IF(SUMIFS('Daily BSE Equity Options'!$M:$M,'Daily BSE Equity Options'!$A:$A,$A1471)=0,"",SUMIFS('Daily BSE Equity Options'!$M:$M,'Daily BSE Equity Options'!$A:$A,$A1471))</f>
        <v/>
      </c>
      <c r="W1471" s="9">
        <f>IF(OR(U1471="",V1471=""),"",U1471+V1471)</f>
        <v/>
      </c>
      <c r="X1471" s="25">
        <f>IF(W1471="","",U1471/W1471)</f>
        <v/>
      </c>
      <c r="Y1471" s="25">
        <f>IF(W1471="","",V1471/W1471)</f>
        <v/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19">
        <f>IF(G1472="","",E1472/G1472)</f>
        <v/>
      </c>
      <c r="I1472" s="19">
        <f>IF(G1472="","",F1472/G1472)</f>
        <v/>
      </c>
      <c r="J1472" s="26">
        <f>IFERROR(IF(OR(E1472="",INDEX(E:E,MATCH(DATE(YEAR($A1472)-1,MONTH($A1472),DAY($A1472)),$A:$A,0))=""),"",E1472/INDEX(E:E,MATCH(DATE(YEAR($A1472)-1,MONTH($A1472),DAY($A1472)),$A:$A,0))-1),"")</f>
        <v/>
      </c>
      <c r="K1472" s="19">
        <f>IFERROR(IF(OR(F1472="",INDEX(F:F,MATCH(DATE(YEAR($A1472)-1,MONTH($A1472),DAY($A1472)),$A:$A,0))=""),"",F1472/INDEX(F:F,MATCH(DATE(YEAR($A1472)-1,MONTH($A1472),DAY($A1472)),$A:$A,0))-1),"")</f>
        <v/>
      </c>
      <c r="L1472" s="19">
        <f>IFERROR(IF(OR(G1472="",INDEX(G:G,MATCH(DATE(YEAR($A1472)-1,MONTH($A1472),DAY($A1472)),$A:$A,0))=""),"",G1472/INDEX(G:G,MATCH(DATE(YEAR($A1472)-1,MONTH($A1472),DAY($A1472)),$A:$A,0))-1),"")</f>
        <v/>
      </c>
      <c r="M1472" s="19">
        <f>IF(OR(E1472="",E1471=""),"",E1472/E1471-1)</f>
        <v/>
      </c>
      <c r="N1472" s="19">
        <f>IF(OR(F1472="",F1471=""),"",F1472/F1471-1)</f>
        <v/>
      </c>
      <c r="O1472" s="19">
        <f>IF(OR(G1472="",G1471=""),"",G1472/G1471-1)</f>
        <v/>
      </c>
      <c r="P1472" s="22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IF(R1472="","",P1472/R1472)</f>
        <v/>
      </c>
      <c r="T1472" s="23">
        <f>IF(R1472="","",Q1472/R1472)</f>
        <v/>
      </c>
      <c r="U1472" s="24">
        <f>IF(SUMIFS('Daily NSE Equity Options'!$M:$M,'Daily NSE Equity Options'!$A:$A,$A1472)=0,"",SUMIFS('Daily NSE Equity Options'!$M:$M,'Daily NSE Equity Options'!$A:$A,$A1472))</f>
        <v/>
      </c>
      <c r="V1472" s="9">
        <f>IF(SUMIFS('Daily BSE Equity Options'!$M:$M,'Daily BSE Equity Options'!$A:$A,$A1472)=0,"",SUMIFS('Daily BSE Equity Options'!$M:$M,'Daily BSE Equity Options'!$A:$A,$A1472))</f>
        <v/>
      </c>
      <c r="W1472" s="9">
        <f>IF(OR(U1472="",V1472=""),"",U1472+V1472)</f>
        <v/>
      </c>
      <c r="X1472" s="25">
        <f>IF(W1472="","",U1472/W1472)</f>
        <v/>
      </c>
      <c r="Y1472" s="25">
        <f>IF(W1472="","",V1472/W1472)</f>
        <v/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19">
        <f>IF(G1473="","",E1473/G1473)</f>
        <v/>
      </c>
      <c r="I1473" s="19">
        <f>IF(G1473="","",F1473/G1473)</f>
        <v/>
      </c>
      <c r="J1473" s="26">
        <f>IFERROR(IF(OR(E1473="",INDEX(E:E,MATCH(DATE(YEAR($A1473)-1,MONTH($A1473),DAY($A1473)),$A:$A,0))=""),"",E1473/INDEX(E:E,MATCH(DATE(YEAR($A1473)-1,MONTH($A1473),DAY($A1473)),$A:$A,0))-1),"")</f>
        <v/>
      </c>
      <c r="K1473" s="19">
        <f>IFERROR(IF(OR(F1473="",INDEX(F:F,MATCH(DATE(YEAR($A1473)-1,MONTH($A1473),DAY($A1473)),$A:$A,0))=""),"",F1473/INDEX(F:F,MATCH(DATE(YEAR($A1473)-1,MONTH($A1473),DAY($A1473)),$A:$A,0))-1),"")</f>
        <v/>
      </c>
      <c r="L1473" s="19">
        <f>IFERROR(IF(OR(G1473="",INDEX(G:G,MATCH(DATE(YEAR($A1473)-1,MONTH($A1473),DAY($A1473)),$A:$A,0))=""),"",G1473/INDEX(G:G,MATCH(DATE(YEAR($A1473)-1,MONTH($A1473),DAY($A1473)),$A:$A,0))-1),"")</f>
        <v/>
      </c>
      <c r="M1473" s="19">
        <f>IF(OR(E1473="",E1472=""),"",E1473/E1472-1)</f>
        <v/>
      </c>
      <c r="N1473" s="19">
        <f>IF(OR(F1473="",F1472=""),"",F1473/F1472-1)</f>
        <v/>
      </c>
      <c r="O1473" s="19">
        <f>IF(OR(G1473="",G1472=""),"",G1473/G1472-1)</f>
        <v/>
      </c>
      <c r="P1473" s="22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IF(R1473="","",P1473/R1473)</f>
        <v/>
      </c>
      <c r="T1473" s="23">
        <f>IF(R1473="","",Q1473/R1473)</f>
        <v/>
      </c>
      <c r="U1473" s="24">
        <f>IF(SUMIFS('Daily NSE Equity Options'!$M:$M,'Daily NSE Equity Options'!$A:$A,$A1473)=0,"",SUMIFS('Daily NSE Equity Options'!$M:$M,'Daily NSE Equity Options'!$A:$A,$A1473))</f>
        <v/>
      </c>
      <c r="V1473" s="9">
        <f>IF(SUMIFS('Daily BSE Equity Options'!$M:$M,'Daily BSE Equity Options'!$A:$A,$A1473)=0,"",SUMIFS('Daily BSE Equity Options'!$M:$M,'Daily BSE Equity Options'!$A:$A,$A1473))</f>
        <v/>
      </c>
      <c r="W1473" s="9">
        <f>IF(OR(U1473="",V1473=""),"",U1473+V1473)</f>
        <v/>
      </c>
      <c r="X1473" s="25">
        <f>IF(W1473="","",U1473/W1473)</f>
        <v/>
      </c>
      <c r="Y1473" s="25">
        <f>IF(W1473="","",V1473/W1473)</f>
        <v/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19">
        <f>IF(G1474="","",E1474/G1474)</f>
        <v/>
      </c>
      <c r="I1474" s="19">
        <f>IF(G1474="","",F1474/G1474)</f>
        <v/>
      </c>
      <c r="J1474" s="26">
        <f>IFERROR(IF(OR(E1474="",INDEX(E:E,MATCH(DATE(YEAR($A1474)-1,MONTH($A1474),DAY($A1474)),$A:$A,0))=""),"",E1474/INDEX(E:E,MATCH(DATE(YEAR($A1474)-1,MONTH($A1474),DAY($A1474)),$A:$A,0))-1),"")</f>
        <v/>
      </c>
      <c r="K1474" s="19">
        <f>IFERROR(IF(OR(F1474="",INDEX(F:F,MATCH(DATE(YEAR($A1474)-1,MONTH($A1474),DAY($A1474)),$A:$A,0))=""),"",F1474/INDEX(F:F,MATCH(DATE(YEAR($A1474)-1,MONTH($A1474),DAY($A1474)),$A:$A,0))-1),"")</f>
        <v/>
      </c>
      <c r="L1474" s="19">
        <f>IFERROR(IF(OR(G1474="",INDEX(G:G,MATCH(DATE(YEAR($A1474)-1,MONTH($A1474),DAY($A1474)),$A:$A,0))=""),"",G1474/INDEX(G:G,MATCH(DATE(YEAR($A1474)-1,MONTH($A1474),DAY($A1474)),$A:$A,0))-1),"")</f>
        <v/>
      </c>
      <c r="M1474" s="19">
        <f>IF(OR(E1474="",E1473=""),"",E1474/E1473-1)</f>
        <v/>
      </c>
      <c r="N1474" s="19">
        <f>IF(OR(F1474="",F1473=""),"",F1474/F1473-1)</f>
        <v/>
      </c>
      <c r="O1474" s="19">
        <f>IF(OR(G1474="",G1473=""),"",G1474/G1473-1)</f>
        <v/>
      </c>
      <c r="P1474" s="22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IF(R1474="","",P1474/R1474)</f>
        <v/>
      </c>
      <c r="T1474" s="23">
        <f>IF(R1474="","",Q1474/R1474)</f>
        <v/>
      </c>
      <c r="U1474" s="24">
        <f>IF(SUMIFS('Daily NSE Equity Options'!$M:$M,'Daily NSE Equity Options'!$A:$A,$A1474)=0,"",SUMIFS('Daily NSE Equity Options'!$M:$M,'Daily NSE Equity Options'!$A:$A,$A1474))</f>
        <v/>
      </c>
      <c r="V1474" s="9">
        <f>IF(SUMIFS('Daily BSE Equity Options'!$M:$M,'Daily BSE Equity Options'!$A:$A,$A1474)=0,"",SUMIFS('Daily BSE Equity Options'!$M:$M,'Daily BSE Equity Options'!$A:$A,$A1474))</f>
        <v/>
      </c>
      <c r="W1474" s="9">
        <f>IF(OR(U1474="",V1474=""),"",U1474+V1474)</f>
        <v/>
      </c>
      <c r="X1474" s="25">
        <f>IF(W1474="","",U1474/W1474)</f>
        <v/>
      </c>
      <c r="Y1474" s="25">
        <f>IF(W1474="","",V1474/W1474)</f>
        <v/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19">
        <f>IF(G1475="","",E1475/G1475)</f>
        <v/>
      </c>
      <c r="I1475" s="19">
        <f>IF(G1475="","",F1475/G1475)</f>
        <v/>
      </c>
      <c r="J1475" s="26">
        <f>IFERROR(IF(OR(E1475="",INDEX(E:E,MATCH(DATE(YEAR($A1475)-1,MONTH($A1475),DAY($A1475)),$A:$A,0))=""),"",E1475/INDEX(E:E,MATCH(DATE(YEAR($A1475)-1,MONTH($A1475),DAY($A1475)),$A:$A,0))-1),"")</f>
        <v/>
      </c>
      <c r="K1475" s="19">
        <f>IFERROR(IF(OR(F1475="",INDEX(F:F,MATCH(DATE(YEAR($A1475)-1,MONTH($A1475),DAY($A1475)),$A:$A,0))=""),"",F1475/INDEX(F:F,MATCH(DATE(YEAR($A1475)-1,MONTH($A1475),DAY($A1475)),$A:$A,0))-1),"")</f>
        <v/>
      </c>
      <c r="L1475" s="19">
        <f>IFERROR(IF(OR(G1475="",INDEX(G:G,MATCH(DATE(YEAR($A1475)-1,MONTH($A1475),DAY($A1475)),$A:$A,0))=""),"",G1475/INDEX(G:G,MATCH(DATE(YEAR($A1475)-1,MONTH($A1475),DAY($A1475)),$A:$A,0))-1),"")</f>
        <v/>
      </c>
      <c r="M1475" s="19">
        <f>IF(OR(E1475="",E1474=""),"",E1475/E1474-1)</f>
        <v/>
      </c>
      <c r="N1475" s="19">
        <f>IF(OR(F1475="",F1474=""),"",F1475/F1474-1)</f>
        <v/>
      </c>
      <c r="O1475" s="19">
        <f>IF(OR(G1475="",G1474=""),"",G1475/G1474-1)</f>
        <v/>
      </c>
      <c r="P1475" s="22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IF(R1475="","",P1475/R1475)</f>
        <v/>
      </c>
      <c r="T1475" s="23">
        <f>IF(R1475="","",Q1475/R1475)</f>
        <v/>
      </c>
      <c r="U1475" s="24">
        <f>IF(SUMIFS('Daily NSE Equity Options'!$M:$M,'Daily NSE Equity Options'!$A:$A,$A1475)=0,"",SUMIFS('Daily NSE Equity Options'!$M:$M,'Daily NSE Equity Options'!$A:$A,$A1475))</f>
        <v/>
      </c>
      <c r="V1475" s="9">
        <f>IF(SUMIFS('Daily BSE Equity Options'!$M:$M,'Daily BSE Equity Options'!$A:$A,$A1475)=0,"",SUMIFS('Daily BSE Equity Options'!$M:$M,'Daily BSE Equity Options'!$A:$A,$A1475))</f>
        <v/>
      </c>
      <c r="W1475" s="9">
        <f>IF(OR(U1475="",V1475=""),"",U1475+V1475)</f>
        <v/>
      </c>
      <c r="X1475" s="25">
        <f>IF(W1475="","",U1475/W1475)</f>
        <v/>
      </c>
      <c r="Y1475" s="25">
        <f>IF(W1475="","",V1475/W1475)</f>
        <v/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19">
        <f>IF(G1476="","",E1476/G1476)</f>
        <v/>
      </c>
      <c r="I1476" s="19">
        <f>IF(G1476="","",F1476/G1476)</f>
        <v/>
      </c>
      <c r="J1476" s="26">
        <f>IFERROR(IF(OR(E1476="",INDEX(E:E,MATCH(DATE(YEAR($A1476)-1,MONTH($A1476),DAY($A1476)),$A:$A,0))=""),"",E1476/INDEX(E:E,MATCH(DATE(YEAR($A1476)-1,MONTH($A1476),DAY($A1476)),$A:$A,0))-1),"")</f>
        <v/>
      </c>
      <c r="K1476" s="19">
        <f>IFERROR(IF(OR(F1476="",INDEX(F:F,MATCH(DATE(YEAR($A1476)-1,MONTH($A1476),DAY($A1476)),$A:$A,0))=""),"",F1476/INDEX(F:F,MATCH(DATE(YEAR($A1476)-1,MONTH($A1476),DAY($A1476)),$A:$A,0))-1),"")</f>
        <v/>
      </c>
      <c r="L1476" s="19">
        <f>IFERROR(IF(OR(G1476="",INDEX(G:G,MATCH(DATE(YEAR($A1476)-1,MONTH($A1476),DAY($A1476)),$A:$A,0))=""),"",G1476/INDEX(G:G,MATCH(DATE(YEAR($A1476)-1,MONTH($A1476),DAY($A1476)),$A:$A,0))-1),"")</f>
        <v/>
      </c>
      <c r="M1476" s="19">
        <f>IF(OR(E1476="",E1475=""),"",E1476/E1475-1)</f>
        <v/>
      </c>
      <c r="N1476" s="19">
        <f>IF(OR(F1476="",F1475=""),"",F1476/F1475-1)</f>
        <v/>
      </c>
      <c r="O1476" s="19">
        <f>IF(OR(G1476="",G1475=""),"",G1476/G1475-1)</f>
        <v/>
      </c>
      <c r="P1476" s="22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IF(R1476="","",P1476/R1476)</f>
        <v/>
      </c>
      <c r="T1476" s="23">
        <f>IF(R1476="","",Q1476/R1476)</f>
        <v/>
      </c>
      <c r="U1476" s="24">
        <f>IF(SUMIFS('Daily NSE Equity Options'!$M:$M,'Daily NSE Equity Options'!$A:$A,$A1476)=0,"",SUMIFS('Daily NSE Equity Options'!$M:$M,'Daily NSE Equity Options'!$A:$A,$A1476))</f>
        <v/>
      </c>
      <c r="V1476" s="9">
        <f>IF(SUMIFS('Daily BSE Equity Options'!$M:$M,'Daily BSE Equity Options'!$A:$A,$A1476)=0,"",SUMIFS('Daily BSE Equity Options'!$M:$M,'Daily BSE Equity Options'!$A:$A,$A1476))</f>
        <v/>
      </c>
      <c r="W1476" s="9">
        <f>IF(OR(U1476="",V1476=""),"",U1476+V1476)</f>
        <v/>
      </c>
      <c r="X1476" s="25">
        <f>IF(W1476="","",U1476/W1476)</f>
        <v/>
      </c>
      <c r="Y1476" s="25">
        <f>IF(W1476="","",V1476/W1476)</f>
        <v/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19">
        <f>IF(G1477="","",E1477/G1477)</f>
        <v/>
      </c>
      <c r="I1477" s="19">
        <f>IF(G1477="","",F1477/G1477)</f>
        <v/>
      </c>
      <c r="J1477" s="26">
        <f>IFERROR(IF(OR(E1477="",INDEX(E:E,MATCH(DATE(YEAR($A1477)-1,MONTH($A1477),DAY($A1477)),$A:$A,0))=""),"",E1477/INDEX(E:E,MATCH(DATE(YEAR($A1477)-1,MONTH($A1477),DAY($A1477)),$A:$A,0))-1),"")</f>
        <v/>
      </c>
      <c r="K1477" s="19">
        <f>IFERROR(IF(OR(F1477="",INDEX(F:F,MATCH(DATE(YEAR($A1477)-1,MONTH($A1477),DAY($A1477)),$A:$A,0))=""),"",F1477/INDEX(F:F,MATCH(DATE(YEAR($A1477)-1,MONTH($A1477),DAY($A1477)),$A:$A,0))-1),"")</f>
        <v/>
      </c>
      <c r="L1477" s="19">
        <f>IFERROR(IF(OR(G1477="",INDEX(G:G,MATCH(DATE(YEAR($A1477)-1,MONTH($A1477),DAY($A1477)),$A:$A,0))=""),"",G1477/INDEX(G:G,MATCH(DATE(YEAR($A1477)-1,MONTH($A1477),DAY($A1477)),$A:$A,0))-1),"")</f>
        <v/>
      </c>
      <c r="M1477" s="19">
        <f>IF(OR(E1477="",E1476=""),"",E1477/E1476-1)</f>
        <v/>
      </c>
      <c r="N1477" s="19">
        <f>IF(OR(F1477="",F1476=""),"",F1477/F1476-1)</f>
        <v/>
      </c>
      <c r="O1477" s="19">
        <f>IF(OR(G1477="",G1476=""),"",G1477/G1476-1)</f>
        <v/>
      </c>
      <c r="P1477" s="22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IF(R1477="","",P1477/R1477)</f>
        <v/>
      </c>
      <c r="T1477" s="23">
        <f>IF(R1477="","",Q1477/R1477)</f>
        <v/>
      </c>
      <c r="U1477" s="24">
        <f>IF(SUMIFS('Daily NSE Equity Options'!$M:$M,'Daily NSE Equity Options'!$A:$A,$A1477)=0,"",SUMIFS('Daily NSE Equity Options'!$M:$M,'Daily NSE Equity Options'!$A:$A,$A1477))</f>
        <v/>
      </c>
      <c r="V1477" s="9">
        <f>IF(SUMIFS('Daily BSE Equity Options'!$M:$M,'Daily BSE Equity Options'!$A:$A,$A1477)=0,"",SUMIFS('Daily BSE Equity Options'!$M:$M,'Daily BSE Equity Options'!$A:$A,$A1477))</f>
        <v/>
      </c>
      <c r="W1477" s="9">
        <f>IF(OR(U1477="",V1477=""),"",U1477+V1477)</f>
        <v/>
      </c>
      <c r="X1477" s="25">
        <f>IF(W1477="","",U1477/W1477)</f>
        <v/>
      </c>
      <c r="Y1477" s="25">
        <f>IF(W1477="","",V1477/W1477)</f>
        <v/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19">
        <f>IF(G1478="","",E1478/G1478)</f>
        <v/>
      </c>
      <c r="I1478" s="19">
        <f>IF(G1478="","",F1478/G1478)</f>
        <v/>
      </c>
      <c r="J1478" s="26">
        <f>IFERROR(IF(OR(E1478="",INDEX(E:E,MATCH(DATE(YEAR($A1478)-1,MONTH($A1478),DAY($A1478)),$A:$A,0))=""),"",E1478/INDEX(E:E,MATCH(DATE(YEAR($A1478)-1,MONTH($A1478),DAY($A1478)),$A:$A,0))-1),"")</f>
        <v/>
      </c>
      <c r="K1478" s="19">
        <f>IFERROR(IF(OR(F1478="",INDEX(F:F,MATCH(DATE(YEAR($A1478)-1,MONTH($A1478),DAY($A1478)),$A:$A,0))=""),"",F1478/INDEX(F:F,MATCH(DATE(YEAR($A1478)-1,MONTH($A1478),DAY($A1478)),$A:$A,0))-1),"")</f>
        <v/>
      </c>
      <c r="L1478" s="19">
        <f>IFERROR(IF(OR(G1478="",INDEX(G:G,MATCH(DATE(YEAR($A1478)-1,MONTH($A1478),DAY($A1478)),$A:$A,0))=""),"",G1478/INDEX(G:G,MATCH(DATE(YEAR($A1478)-1,MONTH($A1478),DAY($A1478)),$A:$A,0))-1),"")</f>
        <v/>
      </c>
      <c r="M1478" s="19">
        <f>IF(OR(E1478="",E1477=""),"",E1478/E1477-1)</f>
        <v/>
      </c>
      <c r="N1478" s="19">
        <f>IF(OR(F1478="",F1477=""),"",F1478/F1477-1)</f>
        <v/>
      </c>
      <c r="O1478" s="19">
        <f>IF(OR(G1478="",G1477=""),"",G1478/G1477-1)</f>
        <v/>
      </c>
      <c r="P1478" s="22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IF(R1478="","",P1478/R1478)</f>
        <v/>
      </c>
      <c r="T1478" s="23">
        <f>IF(R1478="","",Q1478/R1478)</f>
        <v/>
      </c>
      <c r="U1478" s="24">
        <f>IF(SUMIFS('Daily NSE Equity Options'!$M:$M,'Daily NSE Equity Options'!$A:$A,$A1478)=0,"",SUMIFS('Daily NSE Equity Options'!$M:$M,'Daily NSE Equity Options'!$A:$A,$A1478))</f>
        <v/>
      </c>
      <c r="V1478" s="9">
        <f>IF(SUMIFS('Daily BSE Equity Options'!$M:$M,'Daily BSE Equity Options'!$A:$A,$A1478)=0,"",SUMIFS('Daily BSE Equity Options'!$M:$M,'Daily BSE Equity Options'!$A:$A,$A1478))</f>
        <v/>
      </c>
      <c r="W1478" s="9">
        <f>IF(OR(U1478="",V1478=""),"",U1478+V1478)</f>
        <v/>
      </c>
      <c r="X1478" s="25">
        <f>IF(W1478="","",U1478/W1478)</f>
        <v/>
      </c>
      <c r="Y1478" s="25">
        <f>IF(W1478="","",V1478/W1478)</f>
        <v/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19">
        <f>IF(G1479="","",E1479/G1479)</f>
        <v/>
      </c>
      <c r="I1479" s="19">
        <f>IF(G1479="","",F1479/G1479)</f>
        <v/>
      </c>
      <c r="J1479" s="26">
        <f>IFERROR(IF(OR(E1479="",INDEX(E:E,MATCH(DATE(YEAR($A1479)-1,MONTH($A1479),DAY($A1479)),$A:$A,0))=""),"",E1479/INDEX(E:E,MATCH(DATE(YEAR($A1479)-1,MONTH($A1479),DAY($A1479)),$A:$A,0))-1),"")</f>
        <v/>
      </c>
      <c r="K1479" s="19">
        <f>IFERROR(IF(OR(F1479="",INDEX(F:F,MATCH(DATE(YEAR($A1479)-1,MONTH($A1479),DAY($A1479)),$A:$A,0))=""),"",F1479/INDEX(F:F,MATCH(DATE(YEAR($A1479)-1,MONTH($A1479),DAY($A1479)),$A:$A,0))-1),"")</f>
        <v/>
      </c>
      <c r="L1479" s="19">
        <f>IFERROR(IF(OR(G1479="",INDEX(G:G,MATCH(DATE(YEAR($A1479)-1,MONTH($A1479),DAY($A1479)),$A:$A,0))=""),"",G1479/INDEX(G:G,MATCH(DATE(YEAR($A1479)-1,MONTH($A1479),DAY($A1479)),$A:$A,0))-1),"")</f>
        <v/>
      </c>
      <c r="M1479" s="19">
        <f>IF(OR(E1479="",E1478=""),"",E1479/E1478-1)</f>
        <v/>
      </c>
      <c r="N1479" s="19">
        <f>IF(OR(F1479="",F1478=""),"",F1479/F1478-1)</f>
        <v/>
      </c>
      <c r="O1479" s="19">
        <f>IF(OR(G1479="",G1478=""),"",G1479/G1478-1)</f>
        <v/>
      </c>
      <c r="P1479" s="22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IF(R1479="","",P1479/R1479)</f>
        <v/>
      </c>
      <c r="T1479" s="23">
        <f>IF(R1479="","",Q1479/R1479)</f>
        <v/>
      </c>
      <c r="U1479" s="24">
        <f>IF(SUMIFS('Daily NSE Equity Options'!$M:$M,'Daily NSE Equity Options'!$A:$A,$A1479)=0,"",SUMIFS('Daily NSE Equity Options'!$M:$M,'Daily NSE Equity Options'!$A:$A,$A1479))</f>
        <v/>
      </c>
      <c r="V1479" s="9">
        <f>IF(SUMIFS('Daily BSE Equity Options'!$M:$M,'Daily BSE Equity Options'!$A:$A,$A1479)=0,"",SUMIFS('Daily BSE Equity Options'!$M:$M,'Daily BSE Equity Options'!$A:$A,$A1479))</f>
        <v/>
      </c>
      <c r="W1479" s="9">
        <f>IF(OR(U1479="",V1479=""),"",U1479+V1479)</f>
        <v/>
      </c>
      <c r="X1479" s="25">
        <f>IF(W1479="","",U1479/W1479)</f>
        <v/>
      </c>
      <c r="Y1479" s="25">
        <f>IF(W1479="","",V1479/W1479)</f>
        <v/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19">
        <f>IF(G1480="","",E1480/G1480)</f>
        <v/>
      </c>
      <c r="I1480" s="19">
        <f>IF(G1480="","",F1480/G1480)</f>
        <v/>
      </c>
      <c r="J1480" s="26">
        <f>IFERROR(IF(OR(E1480="",INDEX(E:E,MATCH(DATE(YEAR($A1480)-1,MONTH($A1480),DAY($A1480)),$A:$A,0))=""),"",E1480/INDEX(E:E,MATCH(DATE(YEAR($A1480)-1,MONTH($A1480),DAY($A1480)),$A:$A,0))-1),"")</f>
        <v/>
      </c>
      <c r="K1480" s="19">
        <f>IFERROR(IF(OR(F1480="",INDEX(F:F,MATCH(DATE(YEAR($A1480)-1,MONTH($A1480),DAY($A1480)),$A:$A,0))=""),"",F1480/INDEX(F:F,MATCH(DATE(YEAR($A1480)-1,MONTH($A1480),DAY($A1480)),$A:$A,0))-1),"")</f>
        <v/>
      </c>
      <c r="L1480" s="19">
        <f>IFERROR(IF(OR(G1480="",INDEX(G:G,MATCH(DATE(YEAR($A1480)-1,MONTH($A1480),DAY($A1480)),$A:$A,0))=""),"",G1480/INDEX(G:G,MATCH(DATE(YEAR($A1480)-1,MONTH($A1480),DAY($A1480)),$A:$A,0))-1),"")</f>
        <v/>
      </c>
      <c r="M1480" s="19">
        <f>IF(OR(E1480="",E1479=""),"",E1480/E1479-1)</f>
        <v/>
      </c>
      <c r="N1480" s="19">
        <f>IF(OR(F1480="",F1479=""),"",F1480/F1479-1)</f>
        <v/>
      </c>
      <c r="O1480" s="19">
        <f>IF(OR(G1480="",G1479=""),"",G1480/G1479-1)</f>
        <v/>
      </c>
      <c r="P1480" s="22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IF(R1480="","",P1480/R1480)</f>
        <v/>
      </c>
      <c r="T1480" s="23">
        <f>IF(R1480="","",Q1480/R1480)</f>
        <v/>
      </c>
      <c r="U1480" s="24">
        <f>IF(SUMIFS('Daily NSE Equity Options'!$M:$M,'Daily NSE Equity Options'!$A:$A,$A1480)=0,"",SUMIFS('Daily NSE Equity Options'!$M:$M,'Daily NSE Equity Options'!$A:$A,$A1480))</f>
        <v/>
      </c>
      <c r="V1480" s="9">
        <f>IF(SUMIFS('Daily BSE Equity Options'!$M:$M,'Daily BSE Equity Options'!$A:$A,$A1480)=0,"",SUMIFS('Daily BSE Equity Options'!$M:$M,'Daily BSE Equity Options'!$A:$A,$A1480))</f>
        <v/>
      </c>
      <c r="W1480" s="9">
        <f>IF(OR(U1480="",V1480=""),"",U1480+V1480)</f>
        <v/>
      </c>
      <c r="X1480" s="25">
        <f>IF(W1480="","",U1480/W1480)</f>
        <v/>
      </c>
      <c r="Y1480" s="25">
        <f>IF(W1480="","",V1480/W1480)</f>
        <v/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19">
        <f>IF(G1481="","",E1481/G1481)</f>
        <v/>
      </c>
      <c r="I1481" s="19">
        <f>IF(G1481="","",F1481/G1481)</f>
        <v/>
      </c>
      <c r="J1481" s="26">
        <f>IFERROR(IF(OR(E1481="",INDEX(E:E,MATCH(DATE(YEAR($A1481)-1,MONTH($A1481),DAY($A1481)),$A:$A,0))=""),"",E1481/INDEX(E:E,MATCH(DATE(YEAR($A1481)-1,MONTH($A1481),DAY($A1481)),$A:$A,0))-1),"")</f>
        <v/>
      </c>
      <c r="K1481" s="19">
        <f>IFERROR(IF(OR(F1481="",INDEX(F:F,MATCH(DATE(YEAR($A1481)-1,MONTH($A1481),DAY($A1481)),$A:$A,0))=""),"",F1481/INDEX(F:F,MATCH(DATE(YEAR($A1481)-1,MONTH($A1481),DAY($A1481)),$A:$A,0))-1),"")</f>
        <v/>
      </c>
      <c r="L1481" s="19">
        <f>IFERROR(IF(OR(G1481="",INDEX(G:G,MATCH(DATE(YEAR($A1481)-1,MONTH($A1481),DAY($A1481)),$A:$A,0))=""),"",G1481/INDEX(G:G,MATCH(DATE(YEAR($A1481)-1,MONTH($A1481),DAY($A1481)),$A:$A,0))-1),"")</f>
        <v/>
      </c>
      <c r="M1481" s="19">
        <f>IF(OR(E1481="",E1480=""),"",E1481/E1480-1)</f>
        <v/>
      </c>
      <c r="N1481" s="19">
        <f>IF(OR(F1481="",F1480=""),"",F1481/F1480-1)</f>
        <v/>
      </c>
      <c r="O1481" s="19">
        <f>IF(OR(G1481="",G1480=""),"",G1481/G1480-1)</f>
        <v/>
      </c>
      <c r="P1481" s="22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IF(R1481="","",P1481/R1481)</f>
        <v/>
      </c>
      <c r="T1481" s="23">
        <f>IF(R1481="","",Q1481/R1481)</f>
        <v/>
      </c>
      <c r="U1481" s="24">
        <f>IF(SUMIFS('Daily NSE Equity Options'!$M:$M,'Daily NSE Equity Options'!$A:$A,$A1481)=0,"",SUMIFS('Daily NSE Equity Options'!$M:$M,'Daily NSE Equity Options'!$A:$A,$A1481))</f>
        <v/>
      </c>
      <c r="V1481" s="9">
        <f>IF(SUMIFS('Daily BSE Equity Options'!$M:$M,'Daily BSE Equity Options'!$A:$A,$A1481)=0,"",SUMIFS('Daily BSE Equity Options'!$M:$M,'Daily BSE Equity Options'!$A:$A,$A1481))</f>
        <v/>
      </c>
      <c r="W1481" s="9">
        <f>IF(OR(U1481="",V1481=""),"",U1481+V1481)</f>
        <v/>
      </c>
      <c r="X1481" s="25">
        <f>IF(W1481="","",U1481/W1481)</f>
        <v/>
      </c>
      <c r="Y1481" s="25">
        <f>IF(W1481="","",V1481/W1481)</f>
        <v/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19">
        <f>IF(G1482="","",E1482/G1482)</f>
        <v/>
      </c>
      <c r="I1482" s="19">
        <f>IF(G1482="","",F1482/G1482)</f>
        <v/>
      </c>
      <c r="J1482" s="26">
        <f>IFERROR(IF(OR(E1482="",INDEX(E:E,MATCH(DATE(YEAR($A1482)-1,MONTH($A1482),DAY($A1482)),$A:$A,0))=""),"",E1482/INDEX(E:E,MATCH(DATE(YEAR($A1482)-1,MONTH($A1482),DAY($A1482)),$A:$A,0))-1),"")</f>
        <v/>
      </c>
      <c r="K1482" s="19">
        <f>IFERROR(IF(OR(F1482="",INDEX(F:F,MATCH(DATE(YEAR($A1482)-1,MONTH($A1482),DAY($A1482)),$A:$A,0))=""),"",F1482/INDEX(F:F,MATCH(DATE(YEAR($A1482)-1,MONTH($A1482),DAY($A1482)),$A:$A,0))-1),"")</f>
        <v/>
      </c>
      <c r="L1482" s="19">
        <f>IFERROR(IF(OR(G1482="",INDEX(G:G,MATCH(DATE(YEAR($A1482)-1,MONTH($A1482),DAY($A1482)),$A:$A,0))=""),"",G1482/INDEX(G:G,MATCH(DATE(YEAR($A1482)-1,MONTH($A1482),DAY($A1482)),$A:$A,0))-1),"")</f>
        <v/>
      </c>
      <c r="M1482" s="19">
        <f>IF(OR(E1482="",E1481=""),"",E1482/E1481-1)</f>
        <v/>
      </c>
      <c r="N1482" s="19">
        <f>IF(OR(F1482="",F1481=""),"",F1482/F1481-1)</f>
        <v/>
      </c>
      <c r="O1482" s="19">
        <f>IF(OR(G1482="",G1481=""),"",G1482/G1481-1)</f>
        <v/>
      </c>
      <c r="P1482" s="22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IF(R1482="","",P1482/R1482)</f>
        <v/>
      </c>
      <c r="T1482" s="23">
        <f>IF(R1482="","",Q1482/R1482)</f>
        <v/>
      </c>
      <c r="U1482" s="24">
        <f>IF(SUMIFS('Daily NSE Equity Options'!$M:$M,'Daily NSE Equity Options'!$A:$A,$A1482)=0,"",SUMIFS('Daily NSE Equity Options'!$M:$M,'Daily NSE Equity Options'!$A:$A,$A1482))</f>
        <v/>
      </c>
      <c r="V1482" s="9">
        <f>IF(SUMIFS('Daily BSE Equity Options'!$M:$M,'Daily BSE Equity Options'!$A:$A,$A1482)=0,"",SUMIFS('Daily BSE Equity Options'!$M:$M,'Daily BSE Equity Options'!$A:$A,$A1482))</f>
        <v/>
      </c>
      <c r="W1482" s="9">
        <f>IF(OR(U1482="",V1482=""),"",U1482+V1482)</f>
        <v/>
      </c>
      <c r="X1482" s="25">
        <f>IF(W1482="","",U1482/W1482)</f>
        <v/>
      </c>
      <c r="Y1482" s="25">
        <f>IF(W1482="","",V1482/W1482)</f>
        <v/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19">
        <f>IF(G1483="","",E1483/G1483)</f>
        <v/>
      </c>
      <c r="I1483" s="19">
        <f>IF(G1483="","",F1483/G1483)</f>
        <v/>
      </c>
      <c r="J1483" s="26">
        <f>IFERROR(IF(OR(E1483="",INDEX(E:E,MATCH(DATE(YEAR($A1483)-1,MONTH($A1483),DAY($A1483)),$A:$A,0))=""),"",E1483/INDEX(E:E,MATCH(DATE(YEAR($A1483)-1,MONTH($A1483),DAY($A1483)),$A:$A,0))-1),"")</f>
        <v/>
      </c>
      <c r="K1483" s="19">
        <f>IFERROR(IF(OR(F1483="",INDEX(F:F,MATCH(DATE(YEAR($A1483)-1,MONTH($A1483),DAY($A1483)),$A:$A,0))=""),"",F1483/INDEX(F:F,MATCH(DATE(YEAR($A1483)-1,MONTH($A1483),DAY($A1483)),$A:$A,0))-1),"")</f>
        <v/>
      </c>
      <c r="L1483" s="19">
        <f>IFERROR(IF(OR(G1483="",INDEX(G:G,MATCH(DATE(YEAR($A1483)-1,MONTH($A1483),DAY($A1483)),$A:$A,0))=""),"",G1483/INDEX(G:G,MATCH(DATE(YEAR($A1483)-1,MONTH($A1483),DAY($A1483)),$A:$A,0))-1),"")</f>
        <v/>
      </c>
      <c r="M1483" s="19">
        <f>IF(OR(E1483="",E1482=""),"",E1483/E1482-1)</f>
        <v/>
      </c>
      <c r="N1483" s="19">
        <f>IF(OR(F1483="",F1482=""),"",F1483/F1482-1)</f>
        <v/>
      </c>
      <c r="O1483" s="19">
        <f>IF(OR(G1483="",G1482=""),"",G1483/G1482-1)</f>
        <v/>
      </c>
      <c r="P1483" s="22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IF(R1483="","",P1483/R1483)</f>
        <v/>
      </c>
      <c r="T1483" s="23">
        <f>IF(R1483="","",Q1483/R1483)</f>
        <v/>
      </c>
      <c r="U1483" s="24">
        <f>IF(SUMIFS('Daily NSE Equity Options'!$M:$M,'Daily NSE Equity Options'!$A:$A,$A1483)=0,"",SUMIFS('Daily NSE Equity Options'!$M:$M,'Daily NSE Equity Options'!$A:$A,$A1483))</f>
        <v/>
      </c>
      <c r="V1483" s="9">
        <f>IF(SUMIFS('Daily BSE Equity Options'!$M:$M,'Daily BSE Equity Options'!$A:$A,$A1483)=0,"",SUMIFS('Daily BSE Equity Options'!$M:$M,'Daily BSE Equity Options'!$A:$A,$A1483))</f>
        <v/>
      </c>
      <c r="W1483" s="9">
        <f>IF(OR(U1483="",V1483=""),"",U1483+V1483)</f>
        <v/>
      </c>
      <c r="X1483" s="25">
        <f>IF(W1483="","",U1483/W1483)</f>
        <v/>
      </c>
      <c r="Y1483" s="25">
        <f>IF(W1483="","",V1483/W1483)</f>
        <v/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19">
        <f>IF(G1484="","",E1484/G1484)</f>
        <v/>
      </c>
      <c r="I1484" s="19">
        <f>IF(G1484="","",F1484/G1484)</f>
        <v/>
      </c>
      <c r="J1484" s="26">
        <f>IFERROR(IF(OR(E1484="",INDEX(E:E,MATCH(DATE(YEAR($A1484)-1,MONTH($A1484),DAY($A1484)),$A:$A,0))=""),"",E1484/INDEX(E:E,MATCH(DATE(YEAR($A1484)-1,MONTH($A1484),DAY($A1484)),$A:$A,0))-1),"")</f>
        <v/>
      </c>
      <c r="K1484" s="19">
        <f>IFERROR(IF(OR(F1484="",INDEX(F:F,MATCH(DATE(YEAR($A1484)-1,MONTH($A1484),DAY($A1484)),$A:$A,0))=""),"",F1484/INDEX(F:F,MATCH(DATE(YEAR($A1484)-1,MONTH($A1484),DAY($A1484)),$A:$A,0))-1),"")</f>
        <v/>
      </c>
      <c r="L1484" s="19">
        <f>IFERROR(IF(OR(G1484="",INDEX(G:G,MATCH(DATE(YEAR($A1484)-1,MONTH($A1484),DAY($A1484)),$A:$A,0))=""),"",G1484/INDEX(G:G,MATCH(DATE(YEAR($A1484)-1,MONTH($A1484),DAY($A1484)),$A:$A,0))-1),"")</f>
        <v/>
      </c>
      <c r="M1484" s="19">
        <f>IF(OR(E1484="",E1483=""),"",E1484/E1483-1)</f>
        <v/>
      </c>
      <c r="N1484" s="19">
        <f>IF(OR(F1484="",F1483=""),"",F1484/F1483-1)</f>
        <v/>
      </c>
      <c r="O1484" s="19">
        <f>IF(OR(G1484="",G1483=""),"",G1484/G1483-1)</f>
        <v/>
      </c>
      <c r="P1484" s="22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IF(R1484="","",P1484/R1484)</f>
        <v/>
      </c>
      <c r="T1484" s="23">
        <f>IF(R1484="","",Q1484/R1484)</f>
        <v/>
      </c>
      <c r="U1484" s="24">
        <f>IF(SUMIFS('Daily NSE Equity Options'!$M:$M,'Daily NSE Equity Options'!$A:$A,$A1484)=0,"",SUMIFS('Daily NSE Equity Options'!$M:$M,'Daily NSE Equity Options'!$A:$A,$A1484))</f>
        <v/>
      </c>
      <c r="V1484" s="9">
        <f>IF(SUMIFS('Daily BSE Equity Options'!$M:$M,'Daily BSE Equity Options'!$A:$A,$A1484)=0,"",SUMIFS('Daily BSE Equity Options'!$M:$M,'Daily BSE Equity Options'!$A:$A,$A1484))</f>
        <v/>
      </c>
      <c r="W1484" s="9">
        <f>IF(OR(U1484="",V1484=""),"",U1484+V1484)</f>
        <v/>
      </c>
      <c r="X1484" s="25">
        <f>IF(W1484="","",U1484/W1484)</f>
        <v/>
      </c>
      <c r="Y1484" s="25">
        <f>IF(W1484="","",V1484/W1484)</f>
        <v/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19">
        <f>IF(G1485="","",E1485/G1485)</f>
        <v/>
      </c>
      <c r="I1485" s="19">
        <f>IF(G1485="","",F1485/G1485)</f>
        <v/>
      </c>
      <c r="J1485" s="26">
        <f>IFERROR(IF(OR(E1485="",INDEX(E:E,MATCH(DATE(YEAR($A1485)-1,MONTH($A1485),DAY($A1485)),$A:$A,0))=""),"",E1485/INDEX(E:E,MATCH(DATE(YEAR($A1485)-1,MONTH($A1485),DAY($A1485)),$A:$A,0))-1),"")</f>
        <v/>
      </c>
      <c r="K1485" s="19">
        <f>IFERROR(IF(OR(F1485="",INDEX(F:F,MATCH(DATE(YEAR($A1485)-1,MONTH($A1485),DAY($A1485)),$A:$A,0))=""),"",F1485/INDEX(F:F,MATCH(DATE(YEAR($A1485)-1,MONTH($A1485),DAY($A1485)),$A:$A,0))-1),"")</f>
        <v/>
      </c>
      <c r="L1485" s="19">
        <f>IFERROR(IF(OR(G1485="",INDEX(G:G,MATCH(DATE(YEAR($A1485)-1,MONTH($A1485),DAY($A1485)),$A:$A,0))=""),"",G1485/INDEX(G:G,MATCH(DATE(YEAR($A1485)-1,MONTH($A1485),DAY($A1485)),$A:$A,0))-1),"")</f>
        <v/>
      </c>
      <c r="M1485" s="19">
        <f>IF(OR(E1485="",E1484=""),"",E1485/E1484-1)</f>
        <v/>
      </c>
      <c r="N1485" s="19">
        <f>IF(OR(F1485="",F1484=""),"",F1485/F1484-1)</f>
        <v/>
      </c>
      <c r="O1485" s="19">
        <f>IF(OR(G1485="",G1484=""),"",G1485/G1484-1)</f>
        <v/>
      </c>
      <c r="P1485" s="22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IF(R1485="","",P1485/R1485)</f>
        <v/>
      </c>
      <c r="T1485" s="23">
        <f>IF(R1485="","",Q1485/R1485)</f>
        <v/>
      </c>
      <c r="U1485" s="24">
        <f>IF(SUMIFS('Daily NSE Equity Options'!$M:$M,'Daily NSE Equity Options'!$A:$A,$A1485)=0,"",SUMIFS('Daily NSE Equity Options'!$M:$M,'Daily NSE Equity Options'!$A:$A,$A1485))</f>
        <v/>
      </c>
      <c r="V1485" s="9">
        <f>IF(SUMIFS('Daily BSE Equity Options'!$M:$M,'Daily BSE Equity Options'!$A:$A,$A1485)=0,"",SUMIFS('Daily BSE Equity Options'!$M:$M,'Daily BSE Equity Options'!$A:$A,$A1485))</f>
        <v/>
      </c>
      <c r="W1485" s="9">
        <f>IF(OR(U1485="",V1485=""),"",U1485+V1485)</f>
        <v/>
      </c>
      <c r="X1485" s="25">
        <f>IF(W1485="","",U1485/W1485)</f>
        <v/>
      </c>
      <c r="Y1485" s="25">
        <f>IF(W1485="","",V1485/W1485)</f>
        <v/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19">
        <f>IF(G1486="","",E1486/G1486)</f>
        <v/>
      </c>
      <c r="I1486" s="19">
        <f>IF(G1486="","",F1486/G1486)</f>
        <v/>
      </c>
      <c r="J1486" s="26">
        <f>IFERROR(IF(OR(E1486="",INDEX(E:E,MATCH(DATE(YEAR($A1486)-1,MONTH($A1486),DAY($A1486)),$A:$A,0))=""),"",E1486/INDEX(E:E,MATCH(DATE(YEAR($A1486)-1,MONTH($A1486),DAY($A1486)),$A:$A,0))-1),"")</f>
        <v/>
      </c>
      <c r="K1486" s="19">
        <f>IFERROR(IF(OR(F1486="",INDEX(F:F,MATCH(DATE(YEAR($A1486)-1,MONTH($A1486),DAY($A1486)),$A:$A,0))=""),"",F1486/INDEX(F:F,MATCH(DATE(YEAR($A1486)-1,MONTH($A1486),DAY($A1486)),$A:$A,0))-1),"")</f>
        <v/>
      </c>
      <c r="L1486" s="19">
        <f>IFERROR(IF(OR(G1486="",INDEX(G:G,MATCH(DATE(YEAR($A1486)-1,MONTH($A1486),DAY($A1486)),$A:$A,0))=""),"",G1486/INDEX(G:G,MATCH(DATE(YEAR($A1486)-1,MONTH($A1486),DAY($A1486)),$A:$A,0))-1),"")</f>
        <v/>
      </c>
      <c r="M1486" s="19">
        <f>IF(OR(E1486="",E1485=""),"",E1486/E1485-1)</f>
        <v/>
      </c>
      <c r="N1486" s="19">
        <f>IF(OR(F1486="",F1485=""),"",F1486/F1485-1)</f>
        <v/>
      </c>
      <c r="O1486" s="19">
        <f>IF(OR(G1486="",G1485=""),"",G1486/G1485-1)</f>
        <v/>
      </c>
      <c r="P1486" s="22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IF(R1486="","",P1486/R1486)</f>
        <v/>
      </c>
      <c r="T1486" s="23">
        <f>IF(R1486="","",Q1486/R1486)</f>
        <v/>
      </c>
      <c r="U1486" s="24">
        <f>IF(SUMIFS('Daily NSE Equity Options'!$M:$M,'Daily NSE Equity Options'!$A:$A,$A1486)=0,"",SUMIFS('Daily NSE Equity Options'!$M:$M,'Daily NSE Equity Options'!$A:$A,$A1486))</f>
        <v/>
      </c>
      <c r="V1486" s="9">
        <f>IF(SUMIFS('Daily BSE Equity Options'!$M:$M,'Daily BSE Equity Options'!$A:$A,$A1486)=0,"",SUMIFS('Daily BSE Equity Options'!$M:$M,'Daily BSE Equity Options'!$A:$A,$A1486))</f>
        <v/>
      </c>
      <c r="W1486" s="9">
        <f>IF(OR(U1486="",V1486=""),"",U1486+V1486)</f>
        <v/>
      </c>
      <c r="X1486" s="25">
        <f>IF(W1486="","",U1486/W1486)</f>
        <v/>
      </c>
      <c r="Y1486" s="25">
        <f>IF(W1486="","",V1486/W1486)</f>
        <v/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19">
        <f>IF(G1487="","",E1487/G1487)</f>
        <v/>
      </c>
      <c r="I1487" s="19">
        <f>IF(G1487="","",F1487/G1487)</f>
        <v/>
      </c>
      <c r="J1487" s="26">
        <f>IFERROR(IF(OR(E1487="",INDEX(E:E,MATCH(DATE(YEAR($A1487)-1,MONTH($A1487),DAY($A1487)),$A:$A,0))=""),"",E1487/INDEX(E:E,MATCH(DATE(YEAR($A1487)-1,MONTH($A1487),DAY($A1487)),$A:$A,0))-1),"")</f>
        <v/>
      </c>
      <c r="K1487" s="19">
        <f>IFERROR(IF(OR(F1487="",INDEX(F:F,MATCH(DATE(YEAR($A1487)-1,MONTH($A1487),DAY($A1487)),$A:$A,0))=""),"",F1487/INDEX(F:F,MATCH(DATE(YEAR($A1487)-1,MONTH($A1487),DAY($A1487)),$A:$A,0))-1),"")</f>
        <v/>
      </c>
      <c r="L1487" s="19">
        <f>IFERROR(IF(OR(G1487="",INDEX(G:G,MATCH(DATE(YEAR($A1487)-1,MONTH($A1487),DAY($A1487)),$A:$A,0))=""),"",G1487/INDEX(G:G,MATCH(DATE(YEAR($A1487)-1,MONTH($A1487),DAY($A1487)),$A:$A,0))-1),"")</f>
        <v/>
      </c>
      <c r="M1487" s="19">
        <f>IF(OR(E1487="",E1486=""),"",E1487/E1486-1)</f>
        <v/>
      </c>
      <c r="N1487" s="19">
        <f>IF(OR(F1487="",F1486=""),"",F1487/F1486-1)</f>
        <v/>
      </c>
      <c r="O1487" s="19">
        <f>IF(OR(G1487="",G1486=""),"",G1487/G1486-1)</f>
        <v/>
      </c>
      <c r="P1487" s="22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IF(R1487="","",P1487/R1487)</f>
        <v/>
      </c>
      <c r="T1487" s="23">
        <f>IF(R1487="","",Q1487/R1487)</f>
        <v/>
      </c>
      <c r="U1487" s="24">
        <f>IF(SUMIFS('Daily NSE Equity Options'!$M:$M,'Daily NSE Equity Options'!$A:$A,$A1487)=0,"",SUMIFS('Daily NSE Equity Options'!$M:$M,'Daily NSE Equity Options'!$A:$A,$A1487))</f>
        <v/>
      </c>
      <c r="V1487" s="9">
        <f>IF(SUMIFS('Daily BSE Equity Options'!$M:$M,'Daily BSE Equity Options'!$A:$A,$A1487)=0,"",SUMIFS('Daily BSE Equity Options'!$M:$M,'Daily BSE Equity Options'!$A:$A,$A1487))</f>
        <v/>
      </c>
      <c r="W1487" s="9">
        <f>IF(OR(U1487="",V1487=""),"",U1487+V1487)</f>
        <v/>
      </c>
      <c r="X1487" s="25">
        <f>IF(W1487="","",U1487/W1487)</f>
        <v/>
      </c>
      <c r="Y1487" s="25">
        <f>IF(W1487="","",V1487/W1487)</f>
        <v/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19">
        <f>IF(G1488="","",E1488/G1488)</f>
        <v/>
      </c>
      <c r="I1488" s="19">
        <f>IF(G1488="","",F1488/G1488)</f>
        <v/>
      </c>
      <c r="J1488" s="26">
        <f>IFERROR(IF(OR(E1488="",INDEX(E:E,MATCH(DATE(YEAR($A1488)-1,MONTH($A1488),DAY($A1488)),$A:$A,0))=""),"",E1488/INDEX(E:E,MATCH(DATE(YEAR($A1488)-1,MONTH($A1488),DAY($A1488)),$A:$A,0))-1),"")</f>
        <v/>
      </c>
      <c r="K1488" s="19">
        <f>IFERROR(IF(OR(F1488="",INDEX(F:F,MATCH(DATE(YEAR($A1488)-1,MONTH($A1488),DAY($A1488)),$A:$A,0))=""),"",F1488/INDEX(F:F,MATCH(DATE(YEAR($A1488)-1,MONTH($A1488),DAY($A1488)),$A:$A,0))-1),"")</f>
        <v/>
      </c>
      <c r="L1488" s="19">
        <f>IFERROR(IF(OR(G1488="",INDEX(G:G,MATCH(DATE(YEAR($A1488)-1,MONTH($A1488),DAY($A1488)),$A:$A,0))=""),"",G1488/INDEX(G:G,MATCH(DATE(YEAR($A1488)-1,MONTH($A1488),DAY($A1488)),$A:$A,0))-1),"")</f>
        <v/>
      </c>
      <c r="M1488" s="19">
        <f>IF(OR(E1488="",E1487=""),"",E1488/E1487-1)</f>
        <v/>
      </c>
      <c r="N1488" s="19">
        <f>IF(OR(F1488="",F1487=""),"",F1488/F1487-1)</f>
        <v/>
      </c>
      <c r="O1488" s="19">
        <f>IF(OR(G1488="",G1487=""),"",G1488/G1487-1)</f>
        <v/>
      </c>
      <c r="P1488" s="22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IF(R1488="","",P1488/R1488)</f>
        <v/>
      </c>
      <c r="T1488" s="23">
        <f>IF(R1488="","",Q1488/R1488)</f>
        <v/>
      </c>
      <c r="U1488" s="24">
        <f>IF(SUMIFS('Daily NSE Equity Options'!$M:$M,'Daily NSE Equity Options'!$A:$A,$A1488)=0,"",SUMIFS('Daily NSE Equity Options'!$M:$M,'Daily NSE Equity Options'!$A:$A,$A1488))</f>
        <v/>
      </c>
      <c r="V1488" s="9">
        <f>IF(SUMIFS('Daily BSE Equity Options'!$M:$M,'Daily BSE Equity Options'!$A:$A,$A1488)=0,"",SUMIFS('Daily BSE Equity Options'!$M:$M,'Daily BSE Equity Options'!$A:$A,$A1488))</f>
        <v/>
      </c>
      <c r="W1488" s="9">
        <f>IF(OR(U1488="",V1488=""),"",U1488+V1488)</f>
        <v/>
      </c>
      <c r="X1488" s="25">
        <f>IF(W1488="","",U1488/W1488)</f>
        <v/>
      </c>
      <c r="Y1488" s="25">
        <f>IF(W1488="","",V1488/W1488)</f>
        <v/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19">
        <f>IF(G1489="","",E1489/G1489)</f>
        <v/>
      </c>
      <c r="I1489" s="19">
        <f>IF(G1489="","",F1489/G1489)</f>
        <v/>
      </c>
      <c r="J1489" s="26">
        <f>IFERROR(IF(OR(E1489="",INDEX(E:E,MATCH(DATE(YEAR($A1489)-1,MONTH($A1489),DAY($A1489)),$A:$A,0))=""),"",E1489/INDEX(E:E,MATCH(DATE(YEAR($A1489)-1,MONTH($A1489),DAY($A1489)),$A:$A,0))-1),"")</f>
        <v/>
      </c>
      <c r="K1489" s="19">
        <f>IFERROR(IF(OR(F1489="",INDEX(F:F,MATCH(DATE(YEAR($A1489)-1,MONTH($A1489),DAY($A1489)),$A:$A,0))=""),"",F1489/INDEX(F:F,MATCH(DATE(YEAR($A1489)-1,MONTH($A1489),DAY($A1489)),$A:$A,0))-1),"")</f>
        <v/>
      </c>
      <c r="L1489" s="19">
        <f>IFERROR(IF(OR(G1489="",INDEX(G:G,MATCH(DATE(YEAR($A1489)-1,MONTH($A1489),DAY($A1489)),$A:$A,0))=""),"",G1489/INDEX(G:G,MATCH(DATE(YEAR($A1489)-1,MONTH($A1489),DAY($A1489)),$A:$A,0))-1),"")</f>
        <v/>
      </c>
      <c r="M1489" s="19">
        <f>IF(OR(E1489="",E1488=""),"",E1489/E1488-1)</f>
        <v/>
      </c>
      <c r="N1489" s="19">
        <f>IF(OR(F1489="",F1488=""),"",F1489/F1488-1)</f>
        <v/>
      </c>
      <c r="O1489" s="19">
        <f>IF(OR(G1489="",G1488=""),"",G1489/G1488-1)</f>
        <v/>
      </c>
      <c r="P1489" s="22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IF(R1489="","",P1489/R1489)</f>
        <v/>
      </c>
      <c r="T1489" s="23">
        <f>IF(R1489="","",Q1489/R1489)</f>
        <v/>
      </c>
      <c r="U1489" s="24">
        <f>IF(SUMIFS('Daily NSE Equity Options'!$M:$M,'Daily NSE Equity Options'!$A:$A,$A1489)=0,"",SUMIFS('Daily NSE Equity Options'!$M:$M,'Daily NSE Equity Options'!$A:$A,$A1489))</f>
        <v/>
      </c>
      <c r="V1489" s="9">
        <f>IF(SUMIFS('Daily BSE Equity Options'!$M:$M,'Daily BSE Equity Options'!$A:$A,$A1489)=0,"",SUMIFS('Daily BSE Equity Options'!$M:$M,'Daily BSE Equity Options'!$A:$A,$A1489))</f>
        <v/>
      </c>
      <c r="W1489" s="9">
        <f>IF(OR(U1489="",V1489=""),"",U1489+V1489)</f>
        <v/>
      </c>
      <c r="X1489" s="25">
        <f>IF(W1489="","",U1489/W1489)</f>
        <v/>
      </c>
      <c r="Y1489" s="25">
        <f>IF(W1489="","",V1489/W1489)</f>
        <v/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19">
        <f>IF(G1490="","",E1490/G1490)</f>
        <v/>
      </c>
      <c r="I1490" s="19">
        <f>IF(G1490="","",F1490/G1490)</f>
        <v/>
      </c>
      <c r="J1490" s="26">
        <f>IFERROR(IF(OR(E1490="",INDEX(E:E,MATCH(DATE(YEAR($A1490)-1,MONTH($A1490),DAY($A1490)),$A:$A,0))=""),"",E1490/INDEX(E:E,MATCH(DATE(YEAR($A1490)-1,MONTH($A1490),DAY($A1490)),$A:$A,0))-1),"")</f>
        <v/>
      </c>
      <c r="K1490" s="19">
        <f>IFERROR(IF(OR(F1490="",INDEX(F:F,MATCH(DATE(YEAR($A1490)-1,MONTH($A1490),DAY($A1490)),$A:$A,0))=""),"",F1490/INDEX(F:F,MATCH(DATE(YEAR($A1490)-1,MONTH($A1490),DAY($A1490)),$A:$A,0))-1),"")</f>
        <v/>
      </c>
      <c r="L1490" s="19">
        <f>IFERROR(IF(OR(G1490="",INDEX(G:G,MATCH(DATE(YEAR($A1490)-1,MONTH($A1490),DAY($A1490)),$A:$A,0))=""),"",G1490/INDEX(G:G,MATCH(DATE(YEAR($A1490)-1,MONTH($A1490),DAY($A1490)),$A:$A,0))-1),"")</f>
        <v/>
      </c>
      <c r="M1490" s="19">
        <f>IF(OR(E1490="",E1489=""),"",E1490/E1489-1)</f>
        <v/>
      </c>
      <c r="N1490" s="19">
        <f>IF(OR(F1490="",F1489=""),"",F1490/F1489-1)</f>
        <v/>
      </c>
      <c r="O1490" s="19">
        <f>IF(OR(G1490="",G1489=""),"",G1490/G1489-1)</f>
        <v/>
      </c>
      <c r="P1490" s="22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IF(R1490="","",P1490/R1490)</f>
        <v/>
      </c>
      <c r="T1490" s="23">
        <f>IF(R1490="","",Q1490/R1490)</f>
        <v/>
      </c>
      <c r="U1490" s="24">
        <f>IF(SUMIFS('Daily NSE Equity Options'!$M:$M,'Daily NSE Equity Options'!$A:$A,$A1490)=0,"",SUMIFS('Daily NSE Equity Options'!$M:$M,'Daily NSE Equity Options'!$A:$A,$A1490))</f>
        <v/>
      </c>
      <c r="V1490" s="9">
        <f>IF(SUMIFS('Daily BSE Equity Options'!$M:$M,'Daily BSE Equity Options'!$A:$A,$A1490)=0,"",SUMIFS('Daily BSE Equity Options'!$M:$M,'Daily BSE Equity Options'!$A:$A,$A1490))</f>
        <v/>
      </c>
      <c r="W1490" s="9">
        <f>IF(OR(U1490="",V1490=""),"",U1490+V1490)</f>
        <v/>
      </c>
      <c r="X1490" s="25">
        <f>IF(W1490="","",U1490/W1490)</f>
        <v/>
      </c>
      <c r="Y1490" s="25">
        <f>IF(W1490="","",V1490/W1490)</f>
        <v/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19">
        <f>IF(G1491="","",E1491/G1491)</f>
        <v/>
      </c>
      <c r="I1491" s="19">
        <f>IF(G1491="","",F1491/G1491)</f>
        <v/>
      </c>
      <c r="J1491" s="26">
        <f>IFERROR(IF(OR(E1491="",INDEX(E:E,MATCH(DATE(YEAR($A1491)-1,MONTH($A1491),DAY($A1491)),$A:$A,0))=""),"",E1491/INDEX(E:E,MATCH(DATE(YEAR($A1491)-1,MONTH($A1491),DAY($A1491)),$A:$A,0))-1),"")</f>
        <v/>
      </c>
      <c r="K1491" s="19">
        <f>IFERROR(IF(OR(F1491="",INDEX(F:F,MATCH(DATE(YEAR($A1491)-1,MONTH($A1491),DAY($A1491)),$A:$A,0))=""),"",F1491/INDEX(F:F,MATCH(DATE(YEAR($A1491)-1,MONTH($A1491),DAY($A1491)),$A:$A,0))-1),"")</f>
        <v/>
      </c>
      <c r="L1491" s="19">
        <f>IFERROR(IF(OR(G1491="",INDEX(G:G,MATCH(DATE(YEAR($A1491)-1,MONTH($A1491),DAY($A1491)),$A:$A,0))=""),"",G1491/INDEX(G:G,MATCH(DATE(YEAR($A1491)-1,MONTH($A1491),DAY($A1491)),$A:$A,0))-1),"")</f>
        <v/>
      </c>
      <c r="M1491" s="19">
        <f>IF(OR(E1491="",E1490=""),"",E1491/E1490-1)</f>
        <v/>
      </c>
      <c r="N1491" s="19">
        <f>IF(OR(F1491="",F1490=""),"",F1491/F1490-1)</f>
        <v/>
      </c>
      <c r="O1491" s="19">
        <f>IF(OR(G1491="",G1490=""),"",G1491/G1490-1)</f>
        <v/>
      </c>
      <c r="P1491" s="22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IF(R1491="","",P1491/R1491)</f>
        <v/>
      </c>
      <c r="T1491" s="23">
        <f>IF(R1491="","",Q1491/R1491)</f>
        <v/>
      </c>
      <c r="U1491" s="24">
        <f>IF(SUMIFS('Daily NSE Equity Options'!$M:$M,'Daily NSE Equity Options'!$A:$A,$A1491)=0,"",SUMIFS('Daily NSE Equity Options'!$M:$M,'Daily NSE Equity Options'!$A:$A,$A1491))</f>
        <v/>
      </c>
      <c r="V1491" s="9">
        <f>IF(SUMIFS('Daily BSE Equity Options'!$M:$M,'Daily BSE Equity Options'!$A:$A,$A1491)=0,"",SUMIFS('Daily BSE Equity Options'!$M:$M,'Daily BSE Equity Options'!$A:$A,$A1491))</f>
        <v/>
      </c>
      <c r="W1491" s="9">
        <f>IF(OR(U1491="",V1491=""),"",U1491+V1491)</f>
        <v/>
      </c>
      <c r="X1491" s="25">
        <f>IF(W1491="","",U1491/W1491)</f>
        <v/>
      </c>
      <c r="Y1491" s="25">
        <f>IF(W1491="","",V1491/W1491)</f>
        <v/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19">
        <f>IF(G1492="","",E1492/G1492)</f>
        <v/>
      </c>
      <c r="I1492" s="19">
        <f>IF(G1492="","",F1492/G1492)</f>
        <v/>
      </c>
      <c r="J1492" s="26">
        <f>IFERROR(IF(OR(E1492="",INDEX(E:E,MATCH(DATE(YEAR($A1492)-1,MONTH($A1492),DAY($A1492)),$A:$A,0))=""),"",E1492/INDEX(E:E,MATCH(DATE(YEAR($A1492)-1,MONTH($A1492),DAY($A1492)),$A:$A,0))-1),"")</f>
        <v/>
      </c>
      <c r="K1492" s="19">
        <f>IFERROR(IF(OR(F1492="",INDEX(F:F,MATCH(DATE(YEAR($A1492)-1,MONTH($A1492),DAY($A1492)),$A:$A,0))=""),"",F1492/INDEX(F:F,MATCH(DATE(YEAR($A1492)-1,MONTH($A1492),DAY($A1492)),$A:$A,0))-1),"")</f>
        <v/>
      </c>
      <c r="L1492" s="19">
        <f>IFERROR(IF(OR(G1492="",INDEX(G:G,MATCH(DATE(YEAR($A1492)-1,MONTH($A1492),DAY($A1492)),$A:$A,0))=""),"",G1492/INDEX(G:G,MATCH(DATE(YEAR($A1492)-1,MONTH($A1492),DAY($A1492)),$A:$A,0))-1),"")</f>
        <v/>
      </c>
      <c r="M1492" s="19">
        <f>IF(OR(E1492="",E1491=""),"",E1492/E1491-1)</f>
        <v/>
      </c>
      <c r="N1492" s="19">
        <f>IF(OR(F1492="",F1491=""),"",F1492/F1491-1)</f>
        <v/>
      </c>
      <c r="O1492" s="19">
        <f>IF(OR(G1492="",G1491=""),"",G1492/G1491-1)</f>
        <v/>
      </c>
      <c r="P1492" s="22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IF(R1492="","",P1492/R1492)</f>
        <v/>
      </c>
      <c r="T1492" s="23">
        <f>IF(R1492="","",Q1492/R1492)</f>
        <v/>
      </c>
      <c r="U1492" s="24">
        <f>IF(SUMIFS('Daily NSE Equity Options'!$M:$M,'Daily NSE Equity Options'!$A:$A,$A1492)=0,"",SUMIFS('Daily NSE Equity Options'!$M:$M,'Daily NSE Equity Options'!$A:$A,$A1492))</f>
        <v/>
      </c>
      <c r="V1492" s="9">
        <f>IF(SUMIFS('Daily BSE Equity Options'!$M:$M,'Daily BSE Equity Options'!$A:$A,$A1492)=0,"",SUMIFS('Daily BSE Equity Options'!$M:$M,'Daily BSE Equity Options'!$A:$A,$A1492))</f>
        <v/>
      </c>
      <c r="W1492" s="9">
        <f>IF(OR(U1492="",V1492=""),"",U1492+V1492)</f>
        <v/>
      </c>
      <c r="X1492" s="25">
        <f>IF(W1492="","",U1492/W1492)</f>
        <v/>
      </c>
      <c r="Y1492" s="25">
        <f>IF(W1492="","",V1492/W1492)</f>
        <v/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19">
        <f>IF(G1493="","",E1493/G1493)</f>
        <v/>
      </c>
      <c r="I1493" s="19">
        <f>IF(G1493="","",F1493/G1493)</f>
        <v/>
      </c>
      <c r="J1493" s="26">
        <f>IFERROR(IF(OR(E1493="",INDEX(E:E,MATCH(DATE(YEAR($A1493)-1,MONTH($A1493),DAY($A1493)),$A:$A,0))=""),"",E1493/INDEX(E:E,MATCH(DATE(YEAR($A1493)-1,MONTH($A1493),DAY($A1493)),$A:$A,0))-1),"")</f>
        <v/>
      </c>
      <c r="K1493" s="19">
        <f>IFERROR(IF(OR(F1493="",INDEX(F:F,MATCH(DATE(YEAR($A1493)-1,MONTH($A1493),DAY($A1493)),$A:$A,0))=""),"",F1493/INDEX(F:F,MATCH(DATE(YEAR($A1493)-1,MONTH($A1493),DAY($A1493)),$A:$A,0))-1),"")</f>
        <v/>
      </c>
      <c r="L1493" s="19">
        <f>IFERROR(IF(OR(G1493="",INDEX(G:G,MATCH(DATE(YEAR($A1493)-1,MONTH($A1493),DAY($A1493)),$A:$A,0))=""),"",G1493/INDEX(G:G,MATCH(DATE(YEAR($A1493)-1,MONTH($A1493),DAY($A1493)),$A:$A,0))-1),"")</f>
        <v/>
      </c>
      <c r="M1493" s="19">
        <f>IF(OR(E1493="",E1492=""),"",E1493/E1492-1)</f>
        <v/>
      </c>
      <c r="N1493" s="19">
        <f>IF(OR(F1493="",F1492=""),"",F1493/F1492-1)</f>
        <v/>
      </c>
      <c r="O1493" s="19">
        <f>IF(OR(G1493="",G1492=""),"",G1493/G1492-1)</f>
        <v/>
      </c>
      <c r="P1493" s="22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IF(R1493="","",P1493/R1493)</f>
        <v/>
      </c>
      <c r="T1493" s="23">
        <f>IF(R1493="","",Q1493/R1493)</f>
        <v/>
      </c>
      <c r="U1493" s="24">
        <f>IF(SUMIFS('Daily NSE Equity Options'!$M:$M,'Daily NSE Equity Options'!$A:$A,$A1493)=0,"",SUMIFS('Daily NSE Equity Options'!$M:$M,'Daily NSE Equity Options'!$A:$A,$A1493))</f>
        <v/>
      </c>
      <c r="V1493" s="9">
        <f>IF(SUMIFS('Daily BSE Equity Options'!$M:$M,'Daily BSE Equity Options'!$A:$A,$A1493)=0,"",SUMIFS('Daily BSE Equity Options'!$M:$M,'Daily BSE Equity Options'!$A:$A,$A1493))</f>
        <v/>
      </c>
      <c r="W1493" s="9">
        <f>IF(OR(U1493="",V1493=""),"",U1493+V1493)</f>
        <v/>
      </c>
      <c r="X1493" s="25">
        <f>IF(W1493="","",U1493/W1493)</f>
        <v/>
      </c>
      <c r="Y1493" s="25">
        <f>IF(W1493="","",V1493/W1493)</f>
        <v/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19">
        <f>IF(G1494="","",E1494/G1494)</f>
        <v/>
      </c>
      <c r="I1494" s="19">
        <f>IF(G1494="","",F1494/G1494)</f>
        <v/>
      </c>
      <c r="J1494" s="26">
        <f>IFERROR(IF(OR(E1494="",INDEX(E:E,MATCH(DATE(YEAR($A1494)-1,MONTH($A1494),DAY($A1494)),$A:$A,0))=""),"",E1494/INDEX(E:E,MATCH(DATE(YEAR($A1494)-1,MONTH($A1494),DAY($A1494)),$A:$A,0))-1),"")</f>
        <v/>
      </c>
      <c r="K1494" s="19">
        <f>IFERROR(IF(OR(F1494="",INDEX(F:F,MATCH(DATE(YEAR($A1494)-1,MONTH($A1494),DAY($A1494)),$A:$A,0))=""),"",F1494/INDEX(F:F,MATCH(DATE(YEAR($A1494)-1,MONTH($A1494),DAY($A1494)),$A:$A,0))-1),"")</f>
        <v/>
      </c>
      <c r="L1494" s="19">
        <f>IFERROR(IF(OR(G1494="",INDEX(G:G,MATCH(DATE(YEAR($A1494)-1,MONTH($A1494),DAY($A1494)),$A:$A,0))=""),"",G1494/INDEX(G:G,MATCH(DATE(YEAR($A1494)-1,MONTH($A1494),DAY($A1494)),$A:$A,0))-1),"")</f>
        <v/>
      </c>
      <c r="M1494" s="19">
        <f>IF(OR(E1494="",E1493=""),"",E1494/E1493-1)</f>
        <v/>
      </c>
      <c r="N1494" s="19">
        <f>IF(OR(F1494="",F1493=""),"",F1494/F1493-1)</f>
        <v/>
      </c>
      <c r="O1494" s="19">
        <f>IF(OR(G1494="",G1493=""),"",G1494/G1493-1)</f>
        <v/>
      </c>
      <c r="P1494" s="22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IF(R1494="","",P1494/R1494)</f>
        <v/>
      </c>
      <c r="T1494" s="23">
        <f>IF(R1494="","",Q1494/R1494)</f>
        <v/>
      </c>
      <c r="U1494" s="24">
        <f>IF(SUMIFS('Daily NSE Equity Options'!$M:$M,'Daily NSE Equity Options'!$A:$A,$A1494)=0,"",SUMIFS('Daily NSE Equity Options'!$M:$M,'Daily NSE Equity Options'!$A:$A,$A1494))</f>
        <v/>
      </c>
      <c r="V1494" s="9">
        <f>IF(SUMIFS('Daily BSE Equity Options'!$M:$M,'Daily BSE Equity Options'!$A:$A,$A1494)=0,"",SUMIFS('Daily BSE Equity Options'!$M:$M,'Daily BSE Equity Options'!$A:$A,$A1494))</f>
        <v/>
      </c>
      <c r="W1494" s="9">
        <f>IF(OR(U1494="",V1494=""),"",U1494+V1494)</f>
        <v/>
      </c>
      <c r="X1494" s="25">
        <f>IF(W1494="","",U1494/W1494)</f>
        <v/>
      </c>
      <c r="Y1494" s="25">
        <f>IF(W1494="","",V1494/W1494)</f>
        <v/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19">
        <f>IF(G1495="","",E1495/G1495)</f>
        <v/>
      </c>
      <c r="I1495" s="19">
        <f>IF(G1495="","",F1495/G1495)</f>
        <v/>
      </c>
      <c r="J1495" s="26">
        <f>IFERROR(IF(OR(E1495="",INDEX(E:E,MATCH(DATE(YEAR($A1495)-1,MONTH($A1495),DAY($A1495)),$A:$A,0))=""),"",E1495/INDEX(E:E,MATCH(DATE(YEAR($A1495)-1,MONTH($A1495),DAY($A1495)),$A:$A,0))-1),"")</f>
        <v/>
      </c>
      <c r="K1495" s="19">
        <f>IFERROR(IF(OR(F1495="",INDEX(F:F,MATCH(DATE(YEAR($A1495)-1,MONTH($A1495),DAY($A1495)),$A:$A,0))=""),"",F1495/INDEX(F:F,MATCH(DATE(YEAR($A1495)-1,MONTH($A1495),DAY($A1495)),$A:$A,0))-1),"")</f>
        <v/>
      </c>
      <c r="L1495" s="19">
        <f>IFERROR(IF(OR(G1495="",INDEX(G:G,MATCH(DATE(YEAR($A1495)-1,MONTH($A1495),DAY($A1495)),$A:$A,0))=""),"",G1495/INDEX(G:G,MATCH(DATE(YEAR($A1495)-1,MONTH($A1495),DAY($A1495)),$A:$A,0))-1),"")</f>
        <v/>
      </c>
      <c r="M1495" s="19">
        <f>IF(OR(E1495="",E1494=""),"",E1495/E1494-1)</f>
        <v/>
      </c>
      <c r="N1495" s="19">
        <f>IF(OR(F1495="",F1494=""),"",F1495/F1494-1)</f>
        <v/>
      </c>
      <c r="O1495" s="19">
        <f>IF(OR(G1495="",G1494=""),"",G1495/G1494-1)</f>
        <v/>
      </c>
      <c r="P1495" s="22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IF(R1495="","",P1495/R1495)</f>
        <v/>
      </c>
      <c r="T1495" s="23">
        <f>IF(R1495="","",Q1495/R1495)</f>
        <v/>
      </c>
      <c r="U1495" s="24">
        <f>IF(SUMIFS('Daily NSE Equity Options'!$M:$M,'Daily NSE Equity Options'!$A:$A,$A1495)=0,"",SUMIFS('Daily NSE Equity Options'!$M:$M,'Daily NSE Equity Options'!$A:$A,$A1495))</f>
        <v/>
      </c>
      <c r="V1495" s="9">
        <f>IF(SUMIFS('Daily BSE Equity Options'!$M:$M,'Daily BSE Equity Options'!$A:$A,$A1495)=0,"",SUMIFS('Daily BSE Equity Options'!$M:$M,'Daily BSE Equity Options'!$A:$A,$A1495))</f>
        <v/>
      </c>
      <c r="W1495" s="9">
        <f>IF(OR(U1495="",V1495=""),"",U1495+V1495)</f>
        <v/>
      </c>
      <c r="X1495" s="25">
        <f>IF(W1495="","",U1495/W1495)</f>
        <v/>
      </c>
      <c r="Y1495" s="25">
        <f>IF(W1495="","",V1495/W1495)</f>
        <v/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19">
        <f>IF(G1496="","",E1496/G1496)</f>
        <v/>
      </c>
      <c r="I1496" s="19">
        <f>IF(G1496="","",F1496/G1496)</f>
        <v/>
      </c>
      <c r="J1496" s="26">
        <f>IFERROR(IF(OR(E1496="",INDEX(E:E,MATCH(DATE(YEAR($A1496)-1,MONTH($A1496),DAY($A1496)),$A:$A,0))=""),"",E1496/INDEX(E:E,MATCH(DATE(YEAR($A1496)-1,MONTH($A1496),DAY($A1496)),$A:$A,0))-1),"")</f>
        <v/>
      </c>
      <c r="K1496" s="19">
        <f>IFERROR(IF(OR(F1496="",INDEX(F:F,MATCH(DATE(YEAR($A1496)-1,MONTH($A1496),DAY($A1496)),$A:$A,0))=""),"",F1496/INDEX(F:F,MATCH(DATE(YEAR($A1496)-1,MONTH($A1496),DAY($A1496)),$A:$A,0))-1),"")</f>
        <v/>
      </c>
      <c r="L1496" s="19">
        <f>IFERROR(IF(OR(G1496="",INDEX(G:G,MATCH(DATE(YEAR($A1496)-1,MONTH($A1496),DAY($A1496)),$A:$A,0))=""),"",G1496/INDEX(G:G,MATCH(DATE(YEAR($A1496)-1,MONTH($A1496),DAY($A1496)),$A:$A,0))-1),"")</f>
        <v/>
      </c>
      <c r="M1496" s="19">
        <f>IF(OR(E1496="",E1495=""),"",E1496/E1495-1)</f>
        <v/>
      </c>
      <c r="N1496" s="19">
        <f>IF(OR(F1496="",F1495=""),"",F1496/F1495-1)</f>
        <v/>
      </c>
      <c r="O1496" s="19">
        <f>IF(OR(G1496="",G1495=""),"",G1496/G1495-1)</f>
        <v/>
      </c>
      <c r="P1496" s="22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IF(R1496="","",P1496/R1496)</f>
        <v/>
      </c>
      <c r="T1496" s="23">
        <f>IF(R1496="","",Q1496/R1496)</f>
        <v/>
      </c>
      <c r="U1496" s="24">
        <f>IF(SUMIFS('Daily NSE Equity Options'!$M:$M,'Daily NSE Equity Options'!$A:$A,$A1496)=0,"",SUMIFS('Daily NSE Equity Options'!$M:$M,'Daily NSE Equity Options'!$A:$A,$A1496))</f>
        <v/>
      </c>
      <c r="V1496" s="9">
        <f>IF(SUMIFS('Daily BSE Equity Options'!$M:$M,'Daily BSE Equity Options'!$A:$A,$A1496)=0,"",SUMIFS('Daily BSE Equity Options'!$M:$M,'Daily BSE Equity Options'!$A:$A,$A1496))</f>
        <v/>
      </c>
      <c r="W1496" s="9">
        <f>IF(OR(U1496="",V1496=""),"",U1496+V1496)</f>
        <v/>
      </c>
      <c r="X1496" s="25">
        <f>IF(W1496="","",U1496/W1496)</f>
        <v/>
      </c>
      <c r="Y1496" s="25">
        <f>IF(W1496="","",V1496/W1496)</f>
        <v/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19">
        <f>IF(G1497="","",E1497/G1497)</f>
        <v/>
      </c>
      <c r="I1497" s="19">
        <f>IF(G1497="","",F1497/G1497)</f>
        <v/>
      </c>
      <c r="J1497" s="26">
        <f>IFERROR(IF(OR(E1497="",INDEX(E:E,MATCH(DATE(YEAR($A1497)-1,MONTH($A1497),DAY($A1497)),$A:$A,0))=""),"",E1497/INDEX(E:E,MATCH(DATE(YEAR($A1497)-1,MONTH($A1497),DAY($A1497)),$A:$A,0))-1),"")</f>
        <v/>
      </c>
      <c r="K1497" s="19">
        <f>IFERROR(IF(OR(F1497="",INDEX(F:F,MATCH(DATE(YEAR($A1497)-1,MONTH($A1497),DAY($A1497)),$A:$A,0))=""),"",F1497/INDEX(F:F,MATCH(DATE(YEAR($A1497)-1,MONTH($A1497),DAY($A1497)),$A:$A,0))-1),"")</f>
        <v/>
      </c>
      <c r="L1497" s="19">
        <f>IFERROR(IF(OR(G1497="",INDEX(G:G,MATCH(DATE(YEAR($A1497)-1,MONTH($A1497),DAY($A1497)),$A:$A,0))=""),"",G1497/INDEX(G:G,MATCH(DATE(YEAR($A1497)-1,MONTH($A1497),DAY($A1497)),$A:$A,0))-1),"")</f>
        <v/>
      </c>
      <c r="M1497" s="19">
        <f>IF(OR(E1497="",E1496=""),"",E1497/E1496-1)</f>
        <v/>
      </c>
      <c r="N1497" s="19">
        <f>IF(OR(F1497="",F1496=""),"",F1497/F1496-1)</f>
        <v/>
      </c>
      <c r="O1497" s="19">
        <f>IF(OR(G1497="",G1496=""),"",G1497/G1496-1)</f>
        <v/>
      </c>
      <c r="P1497" s="22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IF(R1497="","",P1497/R1497)</f>
        <v/>
      </c>
      <c r="T1497" s="23">
        <f>IF(R1497="","",Q1497/R1497)</f>
        <v/>
      </c>
      <c r="U1497" s="24">
        <f>IF(SUMIFS('Daily NSE Equity Options'!$M:$M,'Daily NSE Equity Options'!$A:$A,$A1497)=0,"",SUMIFS('Daily NSE Equity Options'!$M:$M,'Daily NSE Equity Options'!$A:$A,$A1497))</f>
        <v/>
      </c>
      <c r="V1497" s="9">
        <f>IF(SUMIFS('Daily BSE Equity Options'!$M:$M,'Daily BSE Equity Options'!$A:$A,$A1497)=0,"",SUMIFS('Daily BSE Equity Options'!$M:$M,'Daily BSE Equity Options'!$A:$A,$A1497))</f>
        <v/>
      </c>
      <c r="W1497" s="9">
        <f>IF(OR(U1497="",V1497=""),"",U1497+V1497)</f>
        <v/>
      </c>
      <c r="X1497" s="25">
        <f>IF(W1497="","",U1497/W1497)</f>
        <v/>
      </c>
      <c r="Y1497" s="25">
        <f>IF(W1497="","",V1497/W1497)</f>
        <v/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19">
        <f>IF(G1498="","",E1498/G1498)</f>
        <v/>
      </c>
      <c r="I1498" s="19">
        <f>IF(G1498="","",F1498/G1498)</f>
        <v/>
      </c>
      <c r="J1498" s="26">
        <f>IFERROR(IF(OR(E1498="",INDEX(E:E,MATCH(DATE(YEAR($A1498)-1,MONTH($A1498),DAY($A1498)),$A:$A,0))=""),"",E1498/INDEX(E:E,MATCH(DATE(YEAR($A1498)-1,MONTH($A1498),DAY($A1498)),$A:$A,0))-1),"")</f>
        <v/>
      </c>
      <c r="K1498" s="19">
        <f>IFERROR(IF(OR(F1498="",INDEX(F:F,MATCH(DATE(YEAR($A1498)-1,MONTH($A1498),DAY($A1498)),$A:$A,0))=""),"",F1498/INDEX(F:F,MATCH(DATE(YEAR($A1498)-1,MONTH($A1498),DAY($A1498)),$A:$A,0))-1),"")</f>
        <v/>
      </c>
      <c r="L1498" s="19">
        <f>IFERROR(IF(OR(G1498="",INDEX(G:G,MATCH(DATE(YEAR($A1498)-1,MONTH($A1498),DAY($A1498)),$A:$A,0))=""),"",G1498/INDEX(G:G,MATCH(DATE(YEAR($A1498)-1,MONTH($A1498),DAY($A1498)),$A:$A,0))-1),"")</f>
        <v/>
      </c>
      <c r="M1498" s="19">
        <f>IF(OR(E1498="",E1497=""),"",E1498/E1497-1)</f>
        <v/>
      </c>
      <c r="N1498" s="19">
        <f>IF(OR(F1498="",F1497=""),"",F1498/F1497-1)</f>
        <v/>
      </c>
      <c r="O1498" s="19">
        <f>IF(OR(G1498="",G1497=""),"",G1498/G1497-1)</f>
        <v/>
      </c>
      <c r="P1498" s="22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IF(R1498="","",P1498/R1498)</f>
        <v/>
      </c>
      <c r="T1498" s="23">
        <f>IF(R1498="","",Q1498/R1498)</f>
        <v/>
      </c>
      <c r="U1498" s="24">
        <f>IF(SUMIFS('Daily NSE Equity Options'!$M:$M,'Daily NSE Equity Options'!$A:$A,$A1498)=0,"",SUMIFS('Daily NSE Equity Options'!$M:$M,'Daily NSE Equity Options'!$A:$A,$A1498))</f>
        <v/>
      </c>
      <c r="V1498" s="9">
        <f>IF(SUMIFS('Daily BSE Equity Options'!$M:$M,'Daily BSE Equity Options'!$A:$A,$A1498)=0,"",SUMIFS('Daily BSE Equity Options'!$M:$M,'Daily BSE Equity Options'!$A:$A,$A1498))</f>
        <v/>
      </c>
      <c r="W1498" s="9">
        <f>IF(OR(U1498="",V1498=""),"",U1498+V1498)</f>
        <v/>
      </c>
      <c r="X1498" s="25">
        <f>IF(W1498="","",U1498/W1498)</f>
        <v/>
      </c>
      <c r="Y1498" s="25">
        <f>IF(W1498="","",V1498/W1498)</f>
        <v/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19">
        <f>IF(G1499="","",E1499/G1499)</f>
        <v/>
      </c>
      <c r="I1499" s="19">
        <f>IF(G1499="","",F1499/G1499)</f>
        <v/>
      </c>
      <c r="J1499" s="26">
        <f>IFERROR(IF(OR(E1499="",INDEX(E:E,MATCH(DATE(YEAR($A1499)-1,MONTH($A1499),DAY($A1499)),$A:$A,0))=""),"",E1499/INDEX(E:E,MATCH(DATE(YEAR($A1499)-1,MONTH($A1499),DAY($A1499)),$A:$A,0))-1),"")</f>
        <v/>
      </c>
      <c r="K1499" s="19">
        <f>IFERROR(IF(OR(F1499="",INDEX(F:F,MATCH(DATE(YEAR($A1499)-1,MONTH($A1499),DAY($A1499)),$A:$A,0))=""),"",F1499/INDEX(F:F,MATCH(DATE(YEAR($A1499)-1,MONTH($A1499),DAY($A1499)),$A:$A,0))-1),"")</f>
        <v/>
      </c>
      <c r="L1499" s="19">
        <f>IFERROR(IF(OR(G1499="",INDEX(G:G,MATCH(DATE(YEAR($A1499)-1,MONTH($A1499),DAY($A1499)),$A:$A,0))=""),"",G1499/INDEX(G:G,MATCH(DATE(YEAR($A1499)-1,MONTH($A1499),DAY($A1499)),$A:$A,0))-1),"")</f>
        <v/>
      </c>
      <c r="M1499" s="19">
        <f>IF(OR(E1499="",E1498=""),"",E1499/E1498-1)</f>
        <v/>
      </c>
      <c r="N1499" s="19">
        <f>IF(OR(F1499="",F1498=""),"",F1499/F1498-1)</f>
        <v/>
      </c>
      <c r="O1499" s="19">
        <f>IF(OR(G1499="",G1498=""),"",G1499/G1498-1)</f>
        <v/>
      </c>
      <c r="P1499" s="22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IF(R1499="","",P1499/R1499)</f>
        <v/>
      </c>
      <c r="T1499" s="23">
        <f>IF(R1499="","",Q1499/R1499)</f>
        <v/>
      </c>
      <c r="U1499" s="24">
        <f>IF(SUMIFS('Daily NSE Equity Options'!$M:$M,'Daily NSE Equity Options'!$A:$A,$A1499)=0,"",SUMIFS('Daily NSE Equity Options'!$M:$M,'Daily NSE Equity Options'!$A:$A,$A1499))</f>
        <v/>
      </c>
      <c r="V1499" s="9">
        <f>IF(SUMIFS('Daily BSE Equity Options'!$M:$M,'Daily BSE Equity Options'!$A:$A,$A1499)=0,"",SUMIFS('Daily BSE Equity Options'!$M:$M,'Daily BSE Equity Options'!$A:$A,$A1499))</f>
        <v/>
      </c>
      <c r="W1499" s="9">
        <f>IF(OR(U1499="",V1499=""),"",U1499+V1499)</f>
        <v/>
      </c>
      <c r="X1499" s="25">
        <f>IF(W1499="","",U1499/W1499)</f>
        <v/>
      </c>
      <c r="Y1499" s="25">
        <f>IF(W1499="","",V1499/W1499)</f>
        <v/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19">
        <f>IF(G1500="","",E1500/G1500)</f>
        <v/>
      </c>
      <c r="I1500" s="19">
        <f>IF(G1500="","",F1500/G1500)</f>
        <v/>
      </c>
      <c r="J1500" s="26">
        <f>IFERROR(IF(OR(E1500="",INDEX(E:E,MATCH(DATE(YEAR($A1500)-1,MONTH($A1500),DAY($A1500)),$A:$A,0))=""),"",E1500/INDEX(E:E,MATCH(DATE(YEAR($A1500)-1,MONTH($A1500),DAY($A1500)),$A:$A,0))-1),"")</f>
        <v/>
      </c>
      <c r="K1500" s="19">
        <f>IFERROR(IF(OR(F1500="",INDEX(F:F,MATCH(DATE(YEAR($A1500)-1,MONTH($A1500),DAY($A1500)),$A:$A,0))=""),"",F1500/INDEX(F:F,MATCH(DATE(YEAR($A1500)-1,MONTH($A1500),DAY($A1500)),$A:$A,0))-1),"")</f>
        <v/>
      </c>
      <c r="L1500" s="19">
        <f>IFERROR(IF(OR(G1500="",INDEX(G:G,MATCH(DATE(YEAR($A1500)-1,MONTH($A1500),DAY($A1500)),$A:$A,0))=""),"",G1500/INDEX(G:G,MATCH(DATE(YEAR($A1500)-1,MONTH($A1500),DAY($A1500)),$A:$A,0))-1),"")</f>
        <v/>
      </c>
      <c r="M1500" s="19">
        <f>IF(OR(E1500="",E1499=""),"",E1500/E1499-1)</f>
        <v/>
      </c>
      <c r="N1500" s="19">
        <f>IF(OR(F1500="",F1499=""),"",F1500/F1499-1)</f>
        <v/>
      </c>
      <c r="O1500" s="19">
        <f>IF(OR(G1500="",G1499=""),"",G1500/G1499-1)</f>
        <v/>
      </c>
      <c r="P1500" s="22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IF(R1500="","",P1500/R1500)</f>
        <v/>
      </c>
      <c r="T1500" s="23">
        <f>IF(R1500="","",Q1500/R1500)</f>
        <v/>
      </c>
      <c r="U1500" s="24">
        <f>IF(SUMIFS('Daily NSE Equity Options'!$M:$M,'Daily NSE Equity Options'!$A:$A,$A1500)=0,"",SUMIFS('Daily NSE Equity Options'!$M:$M,'Daily NSE Equity Options'!$A:$A,$A1500))</f>
        <v/>
      </c>
      <c r="V1500" s="9">
        <f>IF(SUMIFS('Daily BSE Equity Options'!$M:$M,'Daily BSE Equity Options'!$A:$A,$A1500)=0,"",SUMIFS('Daily BSE Equity Options'!$M:$M,'Daily BSE Equity Options'!$A:$A,$A1500))</f>
        <v/>
      </c>
      <c r="W1500" s="9">
        <f>IF(OR(U1500="",V1500=""),"",U1500+V1500)</f>
        <v/>
      </c>
      <c r="X1500" s="25">
        <f>IF(W1500="","",U1500/W1500)</f>
        <v/>
      </c>
      <c r="Y1500" s="25">
        <f>IF(W1500="","",V1500/W1500)</f>
        <v/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19">
        <f>IF(G1501="","",E1501/G1501)</f>
        <v/>
      </c>
      <c r="I1501" s="19">
        <f>IF(G1501="","",F1501/G1501)</f>
        <v/>
      </c>
      <c r="J1501" s="26">
        <f>IFERROR(IF(OR(E1501="",INDEX(E:E,MATCH(DATE(YEAR($A1501)-1,MONTH($A1501),DAY($A1501)),$A:$A,0))=""),"",E1501/INDEX(E:E,MATCH(DATE(YEAR($A1501)-1,MONTH($A1501),DAY($A1501)),$A:$A,0))-1),"")</f>
        <v/>
      </c>
      <c r="K1501" s="19">
        <f>IFERROR(IF(OR(F1501="",INDEX(F:F,MATCH(DATE(YEAR($A1501)-1,MONTH($A1501),DAY($A1501)),$A:$A,0))=""),"",F1501/INDEX(F:F,MATCH(DATE(YEAR($A1501)-1,MONTH($A1501),DAY($A1501)),$A:$A,0))-1),"")</f>
        <v/>
      </c>
      <c r="L1501" s="19">
        <f>IFERROR(IF(OR(G1501="",INDEX(G:G,MATCH(DATE(YEAR($A1501)-1,MONTH($A1501),DAY($A1501)),$A:$A,0))=""),"",G1501/INDEX(G:G,MATCH(DATE(YEAR($A1501)-1,MONTH($A1501),DAY($A1501)),$A:$A,0))-1),"")</f>
        <v/>
      </c>
      <c r="M1501" s="19">
        <f>IF(OR(E1501="",E1500=""),"",E1501/E1500-1)</f>
        <v/>
      </c>
      <c r="N1501" s="19">
        <f>IF(OR(F1501="",F1500=""),"",F1501/F1500-1)</f>
        <v/>
      </c>
      <c r="O1501" s="19">
        <f>IF(OR(G1501="",G1500=""),"",G1501/G1500-1)</f>
        <v/>
      </c>
      <c r="P1501" s="22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IF(R1501="","",P1501/R1501)</f>
        <v/>
      </c>
      <c r="T1501" s="23">
        <f>IF(R1501="","",Q1501/R1501)</f>
        <v/>
      </c>
      <c r="U1501" s="24">
        <f>IF(SUMIFS('Daily NSE Equity Options'!$M:$M,'Daily NSE Equity Options'!$A:$A,$A1501)=0,"",SUMIFS('Daily NSE Equity Options'!$M:$M,'Daily NSE Equity Options'!$A:$A,$A1501))</f>
        <v/>
      </c>
      <c r="V1501" s="9">
        <f>IF(SUMIFS('Daily BSE Equity Options'!$M:$M,'Daily BSE Equity Options'!$A:$A,$A1501)=0,"",SUMIFS('Daily BSE Equity Options'!$M:$M,'Daily BSE Equity Options'!$A:$A,$A1501))</f>
        <v/>
      </c>
      <c r="W1501" s="9">
        <f>IF(OR(U1501="",V1501=""),"",U1501+V1501)</f>
        <v/>
      </c>
      <c r="X1501" s="25">
        <f>IF(W1501="","",U1501/W1501)</f>
        <v/>
      </c>
      <c r="Y1501" s="25">
        <f>IF(W1501="","",V1501/W1501)</f>
        <v/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19">
        <f>IF(G1502="","",E1502/G1502)</f>
        <v/>
      </c>
      <c r="I1502" s="19">
        <f>IF(G1502="","",F1502/G1502)</f>
        <v/>
      </c>
      <c r="J1502" s="26">
        <f>IFERROR(IF(OR(E1502="",INDEX(E:E,MATCH(DATE(YEAR($A1502)-1,MONTH($A1502),DAY($A1502)),$A:$A,0))=""),"",E1502/INDEX(E:E,MATCH(DATE(YEAR($A1502)-1,MONTH($A1502),DAY($A1502)),$A:$A,0))-1),"")</f>
        <v/>
      </c>
      <c r="K1502" s="19">
        <f>IFERROR(IF(OR(F1502="",INDEX(F:F,MATCH(DATE(YEAR($A1502)-1,MONTH($A1502),DAY($A1502)),$A:$A,0))=""),"",F1502/INDEX(F:F,MATCH(DATE(YEAR($A1502)-1,MONTH($A1502),DAY($A1502)),$A:$A,0))-1),"")</f>
        <v/>
      </c>
      <c r="L1502" s="19">
        <f>IFERROR(IF(OR(G1502="",INDEX(G:G,MATCH(DATE(YEAR($A1502)-1,MONTH($A1502),DAY($A1502)),$A:$A,0))=""),"",G1502/INDEX(G:G,MATCH(DATE(YEAR($A1502)-1,MONTH($A1502),DAY($A1502)),$A:$A,0))-1),"")</f>
        <v/>
      </c>
      <c r="M1502" s="19">
        <f>IF(OR(E1502="",E1501=""),"",E1502/E1501-1)</f>
        <v/>
      </c>
      <c r="N1502" s="19">
        <f>IF(OR(F1502="",F1501=""),"",F1502/F1501-1)</f>
        <v/>
      </c>
      <c r="O1502" s="19">
        <f>IF(OR(G1502="",G1501=""),"",G1502/G1501-1)</f>
        <v/>
      </c>
      <c r="P1502" s="22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IF(R1502="","",P1502/R1502)</f>
        <v/>
      </c>
      <c r="T1502" s="23">
        <f>IF(R1502="","",Q1502/R1502)</f>
        <v/>
      </c>
      <c r="U1502" s="24">
        <f>IF(SUMIFS('Daily NSE Equity Options'!$M:$M,'Daily NSE Equity Options'!$A:$A,$A1502)=0,"",SUMIFS('Daily NSE Equity Options'!$M:$M,'Daily NSE Equity Options'!$A:$A,$A1502))</f>
        <v/>
      </c>
      <c r="V1502" s="9">
        <f>IF(SUMIFS('Daily BSE Equity Options'!$M:$M,'Daily BSE Equity Options'!$A:$A,$A1502)=0,"",SUMIFS('Daily BSE Equity Options'!$M:$M,'Daily BSE Equity Options'!$A:$A,$A1502))</f>
        <v/>
      </c>
      <c r="W1502" s="9">
        <f>IF(OR(U1502="",V1502=""),"",U1502+V1502)</f>
        <v/>
      </c>
      <c r="X1502" s="25">
        <f>IF(W1502="","",U1502/W1502)</f>
        <v/>
      </c>
      <c r="Y1502" s="25">
        <f>IF(W1502="","",V1502/W1502)</f>
        <v/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19">
        <f>IF(G1503="","",E1503/G1503)</f>
        <v/>
      </c>
      <c r="I1503" s="19">
        <f>IF(G1503="","",F1503/G1503)</f>
        <v/>
      </c>
      <c r="J1503" s="26">
        <f>IFERROR(IF(OR(E1503="",INDEX(E:E,MATCH(DATE(YEAR($A1503)-1,MONTH($A1503),DAY($A1503)),$A:$A,0))=""),"",E1503/INDEX(E:E,MATCH(DATE(YEAR($A1503)-1,MONTH($A1503),DAY($A1503)),$A:$A,0))-1),"")</f>
        <v/>
      </c>
      <c r="K1503" s="19">
        <f>IFERROR(IF(OR(F1503="",INDEX(F:F,MATCH(DATE(YEAR($A1503)-1,MONTH($A1503),DAY($A1503)),$A:$A,0))=""),"",F1503/INDEX(F:F,MATCH(DATE(YEAR($A1503)-1,MONTH($A1503),DAY($A1503)),$A:$A,0))-1),"")</f>
        <v/>
      </c>
      <c r="L1503" s="19">
        <f>IFERROR(IF(OR(G1503="",INDEX(G:G,MATCH(DATE(YEAR($A1503)-1,MONTH($A1503),DAY($A1503)),$A:$A,0))=""),"",G1503/INDEX(G:G,MATCH(DATE(YEAR($A1503)-1,MONTH($A1503),DAY($A1503)),$A:$A,0))-1),"")</f>
        <v/>
      </c>
      <c r="M1503" s="19">
        <f>IF(OR(E1503="",E1502=""),"",E1503/E1502-1)</f>
        <v/>
      </c>
      <c r="N1503" s="19">
        <f>IF(OR(F1503="",F1502=""),"",F1503/F1502-1)</f>
        <v/>
      </c>
      <c r="O1503" s="19">
        <f>IF(OR(G1503="",G1502=""),"",G1503/G1502-1)</f>
        <v/>
      </c>
      <c r="P1503" s="22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IF(R1503="","",P1503/R1503)</f>
        <v/>
      </c>
      <c r="T1503" s="23">
        <f>IF(R1503="","",Q1503/R1503)</f>
        <v/>
      </c>
      <c r="U1503" s="24">
        <f>IF(SUMIFS('Daily NSE Equity Options'!$M:$M,'Daily NSE Equity Options'!$A:$A,$A1503)=0,"",SUMIFS('Daily NSE Equity Options'!$M:$M,'Daily NSE Equity Options'!$A:$A,$A1503))</f>
        <v/>
      </c>
      <c r="V1503" s="9">
        <f>IF(SUMIFS('Daily BSE Equity Options'!$M:$M,'Daily BSE Equity Options'!$A:$A,$A1503)=0,"",SUMIFS('Daily BSE Equity Options'!$M:$M,'Daily BSE Equity Options'!$A:$A,$A1503))</f>
        <v/>
      </c>
      <c r="W1503" s="9">
        <f>IF(OR(U1503="",V1503=""),"",U1503+V1503)</f>
        <v/>
      </c>
      <c r="X1503" s="25">
        <f>IF(W1503="","",U1503/W1503)</f>
        <v/>
      </c>
      <c r="Y1503" s="25">
        <f>IF(W1503="","",V1503/W1503)</f>
        <v/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19">
        <f>IF(G1504="","",E1504/G1504)</f>
        <v/>
      </c>
      <c r="I1504" s="19">
        <f>IF(G1504="","",F1504/G1504)</f>
        <v/>
      </c>
      <c r="J1504" s="26">
        <f>IFERROR(IF(OR(E1504="",INDEX(E:E,MATCH(DATE(YEAR($A1504)-1,MONTH($A1504),DAY($A1504)),$A:$A,0))=""),"",E1504/INDEX(E:E,MATCH(DATE(YEAR($A1504)-1,MONTH($A1504),DAY($A1504)),$A:$A,0))-1),"")</f>
        <v/>
      </c>
      <c r="K1504" s="19">
        <f>IFERROR(IF(OR(F1504="",INDEX(F:F,MATCH(DATE(YEAR($A1504)-1,MONTH($A1504),DAY($A1504)),$A:$A,0))=""),"",F1504/INDEX(F:F,MATCH(DATE(YEAR($A1504)-1,MONTH($A1504),DAY($A1504)),$A:$A,0))-1),"")</f>
        <v/>
      </c>
      <c r="L1504" s="19">
        <f>IFERROR(IF(OR(G1504="",INDEX(G:G,MATCH(DATE(YEAR($A1504)-1,MONTH($A1504),DAY($A1504)),$A:$A,0))=""),"",G1504/INDEX(G:G,MATCH(DATE(YEAR($A1504)-1,MONTH($A1504),DAY($A1504)),$A:$A,0))-1),"")</f>
        <v/>
      </c>
      <c r="M1504" s="19">
        <f>IF(OR(E1504="",E1503=""),"",E1504/E1503-1)</f>
        <v/>
      </c>
      <c r="N1504" s="19">
        <f>IF(OR(F1504="",F1503=""),"",F1504/F1503-1)</f>
        <v/>
      </c>
      <c r="O1504" s="19">
        <f>IF(OR(G1504="",G1503=""),"",G1504/G1503-1)</f>
        <v/>
      </c>
      <c r="P1504" s="22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IF(R1504="","",P1504/R1504)</f>
        <v/>
      </c>
      <c r="T1504" s="23">
        <f>IF(R1504="","",Q1504/R1504)</f>
        <v/>
      </c>
      <c r="U1504" s="24">
        <f>IF(SUMIFS('Daily NSE Equity Options'!$M:$M,'Daily NSE Equity Options'!$A:$A,$A1504)=0,"",SUMIFS('Daily NSE Equity Options'!$M:$M,'Daily NSE Equity Options'!$A:$A,$A1504))</f>
        <v/>
      </c>
      <c r="V1504" s="9">
        <f>IF(SUMIFS('Daily BSE Equity Options'!$M:$M,'Daily BSE Equity Options'!$A:$A,$A1504)=0,"",SUMIFS('Daily BSE Equity Options'!$M:$M,'Daily BSE Equity Options'!$A:$A,$A1504))</f>
        <v/>
      </c>
      <c r="W1504" s="9">
        <f>IF(OR(U1504="",V1504=""),"",U1504+V1504)</f>
        <v/>
      </c>
      <c r="X1504" s="25">
        <f>IF(W1504="","",U1504/W1504)</f>
        <v/>
      </c>
      <c r="Y1504" s="25">
        <f>IF(W1504="","",V1504/W1504)</f>
        <v/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19">
        <f>IF(G1505="","",E1505/G1505)</f>
        <v/>
      </c>
      <c r="I1505" s="19">
        <f>IF(G1505="","",F1505/G1505)</f>
        <v/>
      </c>
      <c r="J1505" s="26">
        <f>IFERROR(IF(OR(E1505="",INDEX(E:E,MATCH(DATE(YEAR($A1505)-1,MONTH($A1505),DAY($A1505)),$A:$A,0))=""),"",E1505/INDEX(E:E,MATCH(DATE(YEAR($A1505)-1,MONTH($A1505),DAY($A1505)),$A:$A,0))-1),"")</f>
        <v/>
      </c>
      <c r="K1505" s="19">
        <f>IFERROR(IF(OR(F1505="",INDEX(F:F,MATCH(DATE(YEAR($A1505)-1,MONTH($A1505),DAY($A1505)),$A:$A,0))=""),"",F1505/INDEX(F:F,MATCH(DATE(YEAR($A1505)-1,MONTH($A1505),DAY($A1505)),$A:$A,0))-1),"")</f>
        <v/>
      </c>
      <c r="L1505" s="19">
        <f>IFERROR(IF(OR(G1505="",INDEX(G:G,MATCH(DATE(YEAR($A1505)-1,MONTH($A1505),DAY($A1505)),$A:$A,0))=""),"",G1505/INDEX(G:G,MATCH(DATE(YEAR($A1505)-1,MONTH($A1505),DAY($A1505)),$A:$A,0))-1),"")</f>
        <v/>
      </c>
      <c r="M1505" s="19">
        <f>IF(OR(E1505="",E1504=""),"",E1505/E1504-1)</f>
        <v/>
      </c>
      <c r="N1505" s="19">
        <f>IF(OR(F1505="",F1504=""),"",F1505/F1504-1)</f>
        <v/>
      </c>
      <c r="O1505" s="19">
        <f>IF(OR(G1505="",G1504=""),"",G1505/G1504-1)</f>
        <v/>
      </c>
      <c r="P1505" s="22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IF(R1505="","",P1505/R1505)</f>
        <v/>
      </c>
      <c r="T1505" s="23">
        <f>IF(R1505="","",Q1505/R1505)</f>
        <v/>
      </c>
      <c r="U1505" s="24">
        <f>IF(SUMIFS('Daily NSE Equity Options'!$M:$M,'Daily NSE Equity Options'!$A:$A,$A1505)=0,"",SUMIFS('Daily NSE Equity Options'!$M:$M,'Daily NSE Equity Options'!$A:$A,$A1505))</f>
        <v/>
      </c>
      <c r="V1505" s="9">
        <f>IF(SUMIFS('Daily BSE Equity Options'!$M:$M,'Daily BSE Equity Options'!$A:$A,$A1505)=0,"",SUMIFS('Daily BSE Equity Options'!$M:$M,'Daily BSE Equity Options'!$A:$A,$A1505))</f>
        <v/>
      </c>
      <c r="W1505" s="9">
        <f>IF(OR(U1505="",V1505=""),"",U1505+V1505)</f>
        <v/>
      </c>
      <c r="X1505" s="25">
        <f>IF(W1505="","",U1505/W1505)</f>
        <v/>
      </c>
      <c r="Y1505" s="25">
        <f>IF(W1505="","",V1505/W1505)</f>
        <v/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19">
        <f>IF(G1506="","",E1506/G1506)</f>
        <v/>
      </c>
      <c r="I1506" s="19">
        <f>IF(G1506="","",F1506/G1506)</f>
        <v/>
      </c>
      <c r="J1506" s="26">
        <f>IFERROR(IF(OR(E1506="",INDEX(E:E,MATCH(DATE(YEAR($A1506)-1,MONTH($A1506),DAY($A1506)),$A:$A,0))=""),"",E1506/INDEX(E:E,MATCH(DATE(YEAR($A1506)-1,MONTH($A1506),DAY($A1506)),$A:$A,0))-1),"")</f>
        <v/>
      </c>
      <c r="K1506" s="19">
        <f>IFERROR(IF(OR(F1506="",INDEX(F:F,MATCH(DATE(YEAR($A1506)-1,MONTH($A1506),DAY($A1506)),$A:$A,0))=""),"",F1506/INDEX(F:F,MATCH(DATE(YEAR($A1506)-1,MONTH($A1506),DAY($A1506)),$A:$A,0))-1),"")</f>
        <v/>
      </c>
      <c r="L1506" s="19">
        <f>IFERROR(IF(OR(G1506="",INDEX(G:G,MATCH(DATE(YEAR($A1506)-1,MONTH($A1506),DAY($A1506)),$A:$A,0))=""),"",G1506/INDEX(G:G,MATCH(DATE(YEAR($A1506)-1,MONTH($A1506),DAY($A1506)),$A:$A,0))-1),"")</f>
        <v/>
      </c>
      <c r="M1506" s="19">
        <f>IF(OR(E1506="",E1505=""),"",E1506/E1505-1)</f>
        <v/>
      </c>
      <c r="N1506" s="19">
        <f>IF(OR(F1506="",F1505=""),"",F1506/F1505-1)</f>
        <v/>
      </c>
      <c r="O1506" s="19">
        <f>IF(OR(G1506="",G1505=""),"",G1506/G1505-1)</f>
        <v/>
      </c>
      <c r="P1506" s="22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IF(R1506="","",P1506/R1506)</f>
        <v/>
      </c>
      <c r="T1506" s="23">
        <f>IF(R1506="","",Q1506/R1506)</f>
        <v/>
      </c>
      <c r="U1506" s="24">
        <f>IF(SUMIFS('Daily NSE Equity Options'!$M:$M,'Daily NSE Equity Options'!$A:$A,$A1506)=0,"",SUMIFS('Daily NSE Equity Options'!$M:$M,'Daily NSE Equity Options'!$A:$A,$A1506))</f>
        <v/>
      </c>
      <c r="V1506" s="9">
        <f>IF(SUMIFS('Daily BSE Equity Options'!$M:$M,'Daily BSE Equity Options'!$A:$A,$A1506)=0,"",SUMIFS('Daily BSE Equity Options'!$M:$M,'Daily BSE Equity Options'!$A:$A,$A1506))</f>
        <v/>
      </c>
      <c r="W1506" s="9">
        <f>IF(OR(U1506="",V1506=""),"",U1506+V1506)</f>
        <v/>
      </c>
      <c r="X1506" s="25">
        <f>IF(W1506="","",U1506/W1506)</f>
        <v/>
      </c>
      <c r="Y1506" s="25">
        <f>IF(W1506="","",V1506/W1506)</f>
        <v/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19">
        <f>IF(G1507="","",E1507/G1507)</f>
        <v/>
      </c>
      <c r="I1507" s="19">
        <f>IF(G1507="","",F1507/G1507)</f>
        <v/>
      </c>
      <c r="J1507" s="26">
        <f>IFERROR(IF(OR(E1507="",INDEX(E:E,MATCH(DATE(YEAR($A1507)-1,MONTH($A1507),DAY($A1507)),$A:$A,0))=""),"",E1507/INDEX(E:E,MATCH(DATE(YEAR($A1507)-1,MONTH($A1507),DAY($A1507)),$A:$A,0))-1),"")</f>
        <v/>
      </c>
      <c r="K1507" s="19">
        <f>IFERROR(IF(OR(F1507="",INDEX(F:F,MATCH(DATE(YEAR($A1507)-1,MONTH($A1507),DAY($A1507)),$A:$A,0))=""),"",F1507/INDEX(F:F,MATCH(DATE(YEAR($A1507)-1,MONTH($A1507),DAY($A1507)),$A:$A,0))-1),"")</f>
        <v/>
      </c>
      <c r="L1507" s="19">
        <f>IFERROR(IF(OR(G1507="",INDEX(G:G,MATCH(DATE(YEAR($A1507)-1,MONTH($A1507),DAY($A1507)),$A:$A,0))=""),"",G1507/INDEX(G:G,MATCH(DATE(YEAR($A1507)-1,MONTH($A1507),DAY($A1507)),$A:$A,0))-1),"")</f>
        <v/>
      </c>
      <c r="M1507" s="19">
        <f>IF(OR(E1507="",E1506=""),"",E1507/E1506-1)</f>
        <v/>
      </c>
      <c r="N1507" s="19">
        <f>IF(OR(F1507="",F1506=""),"",F1507/F1506-1)</f>
        <v/>
      </c>
      <c r="O1507" s="19">
        <f>IF(OR(G1507="",G1506=""),"",G1507/G1506-1)</f>
        <v/>
      </c>
      <c r="P1507" s="22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IF(R1507="","",P1507/R1507)</f>
        <v/>
      </c>
      <c r="T1507" s="23">
        <f>IF(R1507="","",Q1507/R1507)</f>
        <v/>
      </c>
      <c r="U1507" s="24">
        <f>IF(SUMIFS('Daily NSE Equity Options'!$M:$M,'Daily NSE Equity Options'!$A:$A,$A1507)=0,"",SUMIFS('Daily NSE Equity Options'!$M:$M,'Daily NSE Equity Options'!$A:$A,$A1507))</f>
        <v/>
      </c>
      <c r="V1507" s="9">
        <f>IF(SUMIFS('Daily BSE Equity Options'!$M:$M,'Daily BSE Equity Options'!$A:$A,$A1507)=0,"",SUMIFS('Daily BSE Equity Options'!$M:$M,'Daily BSE Equity Options'!$A:$A,$A1507))</f>
        <v/>
      </c>
      <c r="W1507" s="9">
        <f>IF(OR(U1507="",V1507=""),"",U1507+V1507)</f>
        <v/>
      </c>
      <c r="X1507" s="25">
        <f>IF(W1507="","",U1507/W1507)</f>
        <v/>
      </c>
      <c r="Y1507" s="25">
        <f>IF(W1507="","",V1507/W1507)</f>
        <v/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19">
        <f>IF(G1508="","",E1508/G1508)</f>
        <v/>
      </c>
      <c r="I1508" s="19">
        <f>IF(G1508="","",F1508/G1508)</f>
        <v/>
      </c>
      <c r="J1508" s="26">
        <f>IFERROR(IF(OR(E1508="",INDEX(E:E,MATCH(DATE(YEAR($A1508)-1,MONTH($A1508),DAY($A1508)),$A:$A,0))=""),"",E1508/INDEX(E:E,MATCH(DATE(YEAR($A1508)-1,MONTH($A1508),DAY($A1508)),$A:$A,0))-1),"")</f>
        <v/>
      </c>
      <c r="K1508" s="19">
        <f>IFERROR(IF(OR(F1508="",INDEX(F:F,MATCH(DATE(YEAR($A1508)-1,MONTH($A1508),DAY($A1508)),$A:$A,0))=""),"",F1508/INDEX(F:F,MATCH(DATE(YEAR($A1508)-1,MONTH($A1508),DAY($A1508)),$A:$A,0))-1),"")</f>
        <v/>
      </c>
      <c r="L1508" s="19">
        <f>IFERROR(IF(OR(G1508="",INDEX(G:G,MATCH(DATE(YEAR($A1508)-1,MONTH($A1508),DAY($A1508)),$A:$A,0))=""),"",G1508/INDEX(G:G,MATCH(DATE(YEAR($A1508)-1,MONTH($A1508),DAY($A1508)),$A:$A,0))-1),"")</f>
        <v/>
      </c>
      <c r="M1508" s="19">
        <f>IF(OR(E1508="",E1507=""),"",E1508/E1507-1)</f>
        <v/>
      </c>
      <c r="N1508" s="19">
        <f>IF(OR(F1508="",F1507=""),"",F1508/F1507-1)</f>
        <v/>
      </c>
      <c r="O1508" s="19">
        <f>IF(OR(G1508="",G1507=""),"",G1508/G1507-1)</f>
        <v/>
      </c>
      <c r="P1508" s="22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IF(R1508="","",P1508/R1508)</f>
        <v/>
      </c>
      <c r="T1508" s="23">
        <f>IF(R1508="","",Q1508/R1508)</f>
        <v/>
      </c>
      <c r="U1508" s="24">
        <f>IF(SUMIFS('Daily NSE Equity Options'!$M:$M,'Daily NSE Equity Options'!$A:$A,$A1508)=0,"",SUMIFS('Daily NSE Equity Options'!$M:$M,'Daily NSE Equity Options'!$A:$A,$A1508))</f>
        <v/>
      </c>
      <c r="V1508" s="9">
        <f>IF(SUMIFS('Daily BSE Equity Options'!$M:$M,'Daily BSE Equity Options'!$A:$A,$A1508)=0,"",SUMIFS('Daily BSE Equity Options'!$M:$M,'Daily BSE Equity Options'!$A:$A,$A1508))</f>
        <v/>
      </c>
      <c r="W1508" s="9">
        <f>IF(OR(U1508="",V1508=""),"",U1508+V1508)</f>
        <v/>
      </c>
      <c r="X1508" s="25">
        <f>IF(W1508="","",U1508/W1508)</f>
        <v/>
      </c>
      <c r="Y1508" s="25">
        <f>IF(W1508="","",V1508/W1508)</f>
        <v/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19">
        <f>IF(G1509="","",E1509/G1509)</f>
        <v/>
      </c>
      <c r="I1509" s="19">
        <f>IF(G1509="","",F1509/G1509)</f>
        <v/>
      </c>
      <c r="J1509" s="26">
        <f>IFERROR(IF(OR(E1509="",INDEX(E:E,MATCH(DATE(YEAR($A1509)-1,MONTH($A1509),DAY($A1509)),$A:$A,0))=""),"",E1509/INDEX(E:E,MATCH(DATE(YEAR($A1509)-1,MONTH($A1509),DAY($A1509)),$A:$A,0))-1),"")</f>
        <v/>
      </c>
      <c r="K1509" s="19">
        <f>IFERROR(IF(OR(F1509="",INDEX(F:F,MATCH(DATE(YEAR($A1509)-1,MONTH($A1509),DAY($A1509)),$A:$A,0))=""),"",F1509/INDEX(F:F,MATCH(DATE(YEAR($A1509)-1,MONTH($A1509),DAY($A1509)),$A:$A,0))-1),"")</f>
        <v/>
      </c>
      <c r="L1509" s="19">
        <f>IFERROR(IF(OR(G1509="",INDEX(G:G,MATCH(DATE(YEAR($A1509)-1,MONTH($A1509),DAY($A1509)),$A:$A,0))=""),"",G1509/INDEX(G:G,MATCH(DATE(YEAR($A1509)-1,MONTH($A1509),DAY($A1509)),$A:$A,0))-1),"")</f>
        <v/>
      </c>
      <c r="M1509" s="19">
        <f>IF(OR(E1509="",E1508=""),"",E1509/E1508-1)</f>
        <v/>
      </c>
      <c r="N1509" s="19">
        <f>IF(OR(F1509="",F1508=""),"",F1509/F1508-1)</f>
        <v/>
      </c>
      <c r="O1509" s="19">
        <f>IF(OR(G1509="",G1508=""),"",G1509/G1508-1)</f>
        <v/>
      </c>
      <c r="P1509" s="22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IF(R1509="","",P1509/R1509)</f>
        <v/>
      </c>
      <c r="T1509" s="23">
        <f>IF(R1509="","",Q1509/R1509)</f>
        <v/>
      </c>
      <c r="U1509" s="24">
        <f>IF(SUMIFS('Daily NSE Equity Options'!$M:$M,'Daily NSE Equity Options'!$A:$A,$A1509)=0,"",SUMIFS('Daily NSE Equity Options'!$M:$M,'Daily NSE Equity Options'!$A:$A,$A1509))</f>
        <v/>
      </c>
      <c r="V1509" s="9">
        <f>IF(SUMIFS('Daily BSE Equity Options'!$M:$M,'Daily BSE Equity Options'!$A:$A,$A1509)=0,"",SUMIFS('Daily BSE Equity Options'!$M:$M,'Daily BSE Equity Options'!$A:$A,$A1509))</f>
        <v/>
      </c>
      <c r="W1509" s="9">
        <f>IF(OR(U1509="",V1509=""),"",U1509+V1509)</f>
        <v/>
      </c>
      <c r="X1509" s="25">
        <f>IF(W1509="","",U1509/W1509)</f>
        <v/>
      </c>
      <c r="Y1509" s="25">
        <f>IF(W1509="","",V1509/W1509)</f>
        <v/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19">
        <f>IF(G1510="","",E1510/G1510)</f>
        <v/>
      </c>
      <c r="I1510" s="19">
        <f>IF(G1510="","",F1510/G1510)</f>
        <v/>
      </c>
      <c r="J1510" s="26">
        <f>IFERROR(IF(OR(E1510="",INDEX(E:E,MATCH(DATE(YEAR($A1510)-1,MONTH($A1510),DAY($A1510)),$A:$A,0))=""),"",E1510/INDEX(E:E,MATCH(DATE(YEAR($A1510)-1,MONTH($A1510),DAY($A1510)),$A:$A,0))-1),"")</f>
        <v/>
      </c>
      <c r="K1510" s="19">
        <f>IFERROR(IF(OR(F1510="",INDEX(F:F,MATCH(DATE(YEAR($A1510)-1,MONTH($A1510),DAY($A1510)),$A:$A,0))=""),"",F1510/INDEX(F:F,MATCH(DATE(YEAR($A1510)-1,MONTH($A1510),DAY($A1510)),$A:$A,0))-1),"")</f>
        <v/>
      </c>
      <c r="L1510" s="19">
        <f>IFERROR(IF(OR(G1510="",INDEX(G:G,MATCH(DATE(YEAR($A1510)-1,MONTH($A1510),DAY($A1510)),$A:$A,0))=""),"",G1510/INDEX(G:G,MATCH(DATE(YEAR($A1510)-1,MONTH($A1510),DAY($A1510)),$A:$A,0))-1),"")</f>
        <v/>
      </c>
      <c r="M1510" s="19">
        <f>IF(OR(E1510="",E1509=""),"",E1510/E1509-1)</f>
        <v/>
      </c>
      <c r="N1510" s="19">
        <f>IF(OR(F1510="",F1509=""),"",F1510/F1509-1)</f>
        <v/>
      </c>
      <c r="O1510" s="19">
        <f>IF(OR(G1510="",G1509=""),"",G1510/G1509-1)</f>
        <v/>
      </c>
      <c r="P1510" s="22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IF(R1510="","",P1510/R1510)</f>
        <v/>
      </c>
      <c r="T1510" s="23">
        <f>IF(R1510="","",Q1510/R1510)</f>
        <v/>
      </c>
      <c r="U1510" s="24">
        <f>IF(SUMIFS('Daily NSE Equity Options'!$M:$M,'Daily NSE Equity Options'!$A:$A,$A1510)=0,"",SUMIFS('Daily NSE Equity Options'!$M:$M,'Daily NSE Equity Options'!$A:$A,$A1510))</f>
        <v/>
      </c>
      <c r="V1510" s="9">
        <f>IF(SUMIFS('Daily BSE Equity Options'!$M:$M,'Daily BSE Equity Options'!$A:$A,$A1510)=0,"",SUMIFS('Daily BSE Equity Options'!$M:$M,'Daily BSE Equity Options'!$A:$A,$A1510))</f>
        <v/>
      </c>
      <c r="W1510" s="9">
        <f>IF(OR(U1510="",V1510=""),"",U1510+V1510)</f>
        <v/>
      </c>
      <c r="X1510" s="25">
        <f>IF(W1510="","",U1510/W1510)</f>
        <v/>
      </c>
      <c r="Y1510" s="25">
        <f>IF(W1510="","",V1510/W1510)</f>
        <v/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19">
        <f>IF(G1511="","",E1511/G1511)</f>
        <v/>
      </c>
      <c r="I1511" s="19">
        <f>IF(G1511="","",F1511/G1511)</f>
        <v/>
      </c>
      <c r="J1511" s="26">
        <f>IFERROR(IF(OR(E1511="",INDEX(E:E,MATCH(DATE(YEAR($A1511)-1,MONTH($A1511),DAY($A1511)),$A:$A,0))=""),"",E1511/INDEX(E:E,MATCH(DATE(YEAR($A1511)-1,MONTH($A1511),DAY($A1511)),$A:$A,0))-1),"")</f>
        <v/>
      </c>
      <c r="K1511" s="19">
        <f>IFERROR(IF(OR(F1511="",INDEX(F:F,MATCH(DATE(YEAR($A1511)-1,MONTH($A1511),DAY($A1511)),$A:$A,0))=""),"",F1511/INDEX(F:F,MATCH(DATE(YEAR($A1511)-1,MONTH($A1511),DAY($A1511)),$A:$A,0))-1),"")</f>
        <v/>
      </c>
      <c r="L1511" s="19">
        <f>IFERROR(IF(OR(G1511="",INDEX(G:G,MATCH(DATE(YEAR($A1511)-1,MONTH($A1511),DAY($A1511)),$A:$A,0))=""),"",G1511/INDEX(G:G,MATCH(DATE(YEAR($A1511)-1,MONTH($A1511),DAY($A1511)),$A:$A,0))-1),"")</f>
        <v/>
      </c>
      <c r="M1511" s="19">
        <f>IF(OR(E1511="",E1510=""),"",E1511/E1510-1)</f>
        <v/>
      </c>
      <c r="N1511" s="19">
        <f>IF(OR(F1511="",F1510=""),"",F1511/F1510-1)</f>
        <v/>
      </c>
      <c r="O1511" s="19">
        <f>IF(OR(G1511="",G1510=""),"",G1511/G1510-1)</f>
        <v/>
      </c>
      <c r="P1511" s="22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IF(R1511="","",P1511/R1511)</f>
        <v/>
      </c>
      <c r="T1511" s="23">
        <f>IF(R1511="","",Q1511/R1511)</f>
        <v/>
      </c>
      <c r="U1511" s="24">
        <f>IF(SUMIFS('Daily NSE Equity Options'!$M:$M,'Daily NSE Equity Options'!$A:$A,$A1511)=0,"",SUMIFS('Daily NSE Equity Options'!$M:$M,'Daily NSE Equity Options'!$A:$A,$A1511))</f>
        <v/>
      </c>
      <c r="V1511" s="9">
        <f>IF(SUMIFS('Daily BSE Equity Options'!$M:$M,'Daily BSE Equity Options'!$A:$A,$A1511)=0,"",SUMIFS('Daily BSE Equity Options'!$M:$M,'Daily BSE Equity Options'!$A:$A,$A1511))</f>
        <v/>
      </c>
      <c r="W1511" s="9">
        <f>IF(OR(U1511="",V1511=""),"",U1511+V1511)</f>
        <v/>
      </c>
      <c r="X1511" s="25">
        <f>IF(W1511="","",U1511/W1511)</f>
        <v/>
      </c>
      <c r="Y1511" s="25">
        <f>IF(W1511="","",V1511/W1511)</f>
        <v/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19">
        <f>IF(G1512="","",E1512/G1512)</f>
        <v/>
      </c>
      <c r="I1512" s="19">
        <f>IF(G1512="","",F1512/G1512)</f>
        <v/>
      </c>
      <c r="J1512" s="26">
        <f>IFERROR(IF(OR(E1512="",INDEX(E:E,MATCH(DATE(YEAR($A1512)-1,MONTH($A1512),DAY($A1512)),$A:$A,0))=""),"",E1512/INDEX(E:E,MATCH(DATE(YEAR($A1512)-1,MONTH($A1512),DAY($A1512)),$A:$A,0))-1),"")</f>
        <v/>
      </c>
      <c r="K1512" s="19">
        <f>IFERROR(IF(OR(F1512="",INDEX(F:F,MATCH(DATE(YEAR($A1512)-1,MONTH($A1512),DAY($A1512)),$A:$A,0))=""),"",F1512/INDEX(F:F,MATCH(DATE(YEAR($A1512)-1,MONTH($A1512),DAY($A1512)),$A:$A,0))-1),"")</f>
        <v/>
      </c>
      <c r="L1512" s="19">
        <f>IFERROR(IF(OR(G1512="",INDEX(G:G,MATCH(DATE(YEAR($A1512)-1,MONTH($A1512),DAY($A1512)),$A:$A,0))=""),"",G1512/INDEX(G:G,MATCH(DATE(YEAR($A1512)-1,MONTH($A1512),DAY($A1512)),$A:$A,0))-1),"")</f>
        <v/>
      </c>
      <c r="M1512" s="19">
        <f>IF(OR(E1512="",E1511=""),"",E1512/E1511-1)</f>
        <v/>
      </c>
      <c r="N1512" s="19">
        <f>IF(OR(F1512="",F1511=""),"",F1512/F1511-1)</f>
        <v/>
      </c>
      <c r="O1512" s="19">
        <f>IF(OR(G1512="",G1511=""),"",G1512/G1511-1)</f>
        <v/>
      </c>
      <c r="P1512" s="22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IF(R1512="","",P1512/R1512)</f>
        <v/>
      </c>
      <c r="T1512" s="23">
        <f>IF(R1512="","",Q1512/R1512)</f>
        <v/>
      </c>
      <c r="U1512" s="24">
        <f>IF(SUMIFS('Daily NSE Equity Options'!$M:$M,'Daily NSE Equity Options'!$A:$A,$A1512)=0,"",SUMIFS('Daily NSE Equity Options'!$M:$M,'Daily NSE Equity Options'!$A:$A,$A1512))</f>
        <v/>
      </c>
      <c r="V1512" s="9">
        <f>IF(SUMIFS('Daily BSE Equity Options'!$M:$M,'Daily BSE Equity Options'!$A:$A,$A1512)=0,"",SUMIFS('Daily BSE Equity Options'!$M:$M,'Daily BSE Equity Options'!$A:$A,$A1512))</f>
        <v/>
      </c>
      <c r="W1512" s="9">
        <f>IF(OR(U1512="",V1512=""),"",U1512+V1512)</f>
        <v/>
      </c>
      <c r="X1512" s="25">
        <f>IF(W1512="","",U1512/W1512)</f>
        <v/>
      </c>
      <c r="Y1512" s="25">
        <f>IF(W1512="","",V1512/W1512)</f>
        <v/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19">
        <f>IF(G1513="","",E1513/G1513)</f>
        <v/>
      </c>
      <c r="I1513" s="19">
        <f>IF(G1513="","",F1513/G1513)</f>
        <v/>
      </c>
      <c r="J1513" s="26">
        <f>IFERROR(IF(OR(E1513="",INDEX(E:E,MATCH(DATE(YEAR($A1513)-1,MONTH($A1513),DAY($A1513)),$A:$A,0))=""),"",E1513/INDEX(E:E,MATCH(DATE(YEAR($A1513)-1,MONTH($A1513),DAY($A1513)),$A:$A,0))-1),"")</f>
        <v/>
      </c>
      <c r="K1513" s="19">
        <f>IFERROR(IF(OR(F1513="",INDEX(F:F,MATCH(DATE(YEAR($A1513)-1,MONTH($A1513),DAY($A1513)),$A:$A,0))=""),"",F1513/INDEX(F:F,MATCH(DATE(YEAR($A1513)-1,MONTH($A1513),DAY($A1513)),$A:$A,0))-1),"")</f>
        <v/>
      </c>
      <c r="L1513" s="19">
        <f>IFERROR(IF(OR(G1513="",INDEX(G:G,MATCH(DATE(YEAR($A1513)-1,MONTH($A1513),DAY($A1513)),$A:$A,0))=""),"",G1513/INDEX(G:G,MATCH(DATE(YEAR($A1513)-1,MONTH($A1513),DAY($A1513)),$A:$A,0))-1),"")</f>
        <v/>
      </c>
      <c r="M1513" s="19">
        <f>IF(OR(E1513="",E1512=""),"",E1513/E1512-1)</f>
        <v/>
      </c>
      <c r="N1513" s="19">
        <f>IF(OR(F1513="",F1512=""),"",F1513/F1512-1)</f>
        <v/>
      </c>
      <c r="O1513" s="19">
        <f>IF(OR(G1513="",G1512=""),"",G1513/G1512-1)</f>
        <v/>
      </c>
      <c r="P1513" s="22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IF(R1513="","",P1513/R1513)</f>
        <v/>
      </c>
      <c r="T1513" s="23">
        <f>IF(R1513="","",Q1513/R1513)</f>
        <v/>
      </c>
      <c r="U1513" s="24">
        <f>IF(SUMIFS('Daily NSE Equity Options'!$M:$M,'Daily NSE Equity Options'!$A:$A,$A1513)=0,"",SUMIFS('Daily NSE Equity Options'!$M:$M,'Daily NSE Equity Options'!$A:$A,$A1513))</f>
        <v/>
      </c>
      <c r="V1513" s="9">
        <f>IF(SUMIFS('Daily BSE Equity Options'!$M:$M,'Daily BSE Equity Options'!$A:$A,$A1513)=0,"",SUMIFS('Daily BSE Equity Options'!$M:$M,'Daily BSE Equity Options'!$A:$A,$A1513))</f>
        <v/>
      </c>
      <c r="W1513" s="9">
        <f>IF(OR(U1513="",V1513=""),"",U1513+V1513)</f>
        <v/>
      </c>
      <c r="X1513" s="25">
        <f>IF(W1513="","",U1513/W1513)</f>
        <v/>
      </c>
      <c r="Y1513" s="25">
        <f>IF(W1513="","",V1513/W1513)</f>
        <v/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19">
        <f>IF(G1514="","",E1514/G1514)</f>
        <v/>
      </c>
      <c r="I1514" s="19">
        <f>IF(G1514="","",F1514/G1514)</f>
        <v/>
      </c>
      <c r="J1514" s="26">
        <f>IFERROR(IF(OR(E1514="",INDEX(E:E,MATCH(DATE(YEAR($A1514)-1,MONTH($A1514),DAY($A1514)),$A:$A,0))=""),"",E1514/INDEX(E:E,MATCH(DATE(YEAR($A1514)-1,MONTH($A1514),DAY($A1514)),$A:$A,0))-1),"")</f>
        <v/>
      </c>
      <c r="K1514" s="19">
        <f>IFERROR(IF(OR(F1514="",INDEX(F:F,MATCH(DATE(YEAR($A1514)-1,MONTH($A1514),DAY($A1514)),$A:$A,0))=""),"",F1514/INDEX(F:F,MATCH(DATE(YEAR($A1514)-1,MONTH($A1514),DAY($A1514)),$A:$A,0))-1),"")</f>
        <v/>
      </c>
      <c r="L1514" s="19">
        <f>IFERROR(IF(OR(G1514="",INDEX(G:G,MATCH(DATE(YEAR($A1514)-1,MONTH($A1514),DAY($A1514)),$A:$A,0))=""),"",G1514/INDEX(G:G,MATCH(DATE(YEAR($A1514)-1,MONTH($A1514),DAY($A1514)),$A:$A,0))-1),"")</f>
        <v/>
      </c>
      <c r="M1514" s="19">
        <f>IF(OR(E1514="",E1513=""),"",E1514/E1513-1)</f>
        <v/>
      </c>
      <c r="N1514" s="19">
        <f>IF(OR(F1514="",F1513=""),"",F1514/F1513-1)</f>
        <v/>
      </c>
      <c r="O1514" s="19">
        <f>IF(OR(G1514="",G1513=""),"",G1514/G1513-1)</f>
        <v/>
      </c>
      <c r="P1514" s="22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IF(R1514="","",P1514/R1514)</f>
        <v/>
      </c>
      <c r="T1514" s="23">
        <f>IF(R1514="","",Q1514/R1514)</f>
        <v/>
      </c>
      <c r="U1514" s="24">
        <f>IF(SUMIFS('Daily NSE Equity Options'!$M:$M,'Daily NSE Equity Options'!$A:$A,$A1514)=0,"",SUMIFS('Daily NSE Equity Options'!$M:$M,'Daily NSE Equity Options'!$A:$A,$A1514))</f>
        <v/>
      </c>
      <c r="V1514" s="9">
        <f>IF(SUMIFS('Daily BSE Equity Options'!$M:$M,'Daily BSE Equity Options'!$A:$A,$A1514)=0,"",SUMIFS('Daily BSE Equity Options'!$M:$M,'Daily BSE Equity Options'!$A:$A,$A1514))</f>
        <v/>
      </c>
      <c r="W1514" s="9">
        <f>IF(OR(U1514="",V1514=""),"",U1514+V1514)</f>
        <v/>
      </c>
      <c r="X1514" s="25">
        <f>IF(W1514="","",U1514/W1514)</f>
        <v/>
      </c>
      <c r="Y1514" s="25">
        <f>IF(W1514="","",V1514/W1514)</f>
        <v/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19">
        <f>IF(G1515="","",E1515/G1515)</f>
        <v/>
      </c>
      <c r="I1515" s="19">
        <f>IF(G1515="","",F1515/G1515)</f>
        <v/>
      </c>
      <c r="J1515" s="26">
        <f>IFERROR(IF(OR(E1515="",INDEX(E:E,MATCH(DATE(YEAR($A1515)-1,MONTH($A1515),DAY($A1515)),$A:$A,0))=""),"",E1515/INDEX(E:E,MATCH(DATE(YEAR($A1515)-1,MONTH($A1515),DAY($A1515)),$A:$A,0))-1),"")</f>
        <v/>
      </c>
      <c r="K1515" s="19">
        <f>IFERROR(IF(OR(F1515="",INDEX(F:F,MATCH(DATE(YEAR($A1515)-1,MONTH($A1515),DAY($A1515)),$A:$A,0))=""),"",F1515/INDEX(F:F,MATCH(DATE(YEAR($A1515)-1,MONTH($A1515),DAY($A1515)),$A:$A,0))-1),"")</f>
        <v/>
      </c>
      <c r="L1515" s="19">
        <f>IFERROR(IF(OR(G1515="",INDEX(G:G,MATCH(DATE(YEAR($A1515)-1,MONTH($A1515),DAY($A1515)),$A:$A,0))=""),"",G1515/INDEX(G:G,MATCH(DATE(YEAR($A1515)-1,MONTH($A1515),DAY($A1515)),$A:$A,0))-1),"")</f>
        <v/>
      </c>
      <c r="M1515" s="19">
        <f>IF(OR(E1515="",E1514=""),"",E1515/E1514-1)</f>
        <v/>
      </c>
      <c r="N1515" s="19">
        <f>IF(OR(F1515="",F1514=""),"",F1515/F1514-1)</f>
        <v/>
      </c>
      <c r="O1515" s="19">
        <f>IF(OR(G1515="",G1514=""),"",G1515/G1514-1)</f>
        <v/>
      </c>
      <c r="P1515" s="22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IF(R1515="","",P1515/R1515)</f>
        <v/>
      </c>
      <c r="T1515" s="23">
        <f>IF(R1515="","",Q1515/R1515)</f>
        <v/>
      </c>
      <c r="U1515" s="24">
        <f>IF(SUMIFS('Daily NSE Equity Options'!$M:$M,'Daily NSE Equity Options'!$A:$A,$A1515)=0,"",SUMIFS('Daily NSE Equity Options'!$M:$M,'Daily NSE Equity Options'!$A:$A,$A1515))</f>
        <v/>
      </c>
      <c r="V1515" s="9">
        <f>IF(SUMIFS('Daily BSE Equity Options'!$M:$M,'Daily BSE Equity Options'!$A:$A,$A1515)=0,"",SUMIFS('Daily BSE Equity Options'!$M:$M,'Daily BSE Equity Options'!$A:$A,$A1515))</f>
        <v/>
      </c>
      <c r="W1515" s="9">
        <f>IF(OR(U1515="",V1515=""),"",U1515+V1515)</f>
        <v/>
      </c>
      <c r="X1515" s="25">
        <f>IF(W1515="","",U1515/W1515)</f>
        <v/>
      </c>
      <c r="Y1515" s="25">
        <f>IF(W1515="","",V1515/W1515)</f>
        <v/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19">
        <f>IF(G1516="","",E1516/G1516)</f>
        <v/>
      </c>
      <c r="I1516" s="19">
        <f>IF(G1516="","",F1516/G1516)</f>
        <v/>
      </c>
      <c r="J1516" s="26">
        <f>IFERROR(IF(OR(E1516="",INDEX(E:E,MATCH(DATE(YEAR($A1516)-1,MONTH($A1516),DAY($A1516)),$A:$A,0))=""),"",E1516/INDEX(E:E,MATCH(DATE(YEAR($A1516)-1,MONTH($A1516),DAY($A1516)),$A:$A,0))-1),"")</f>
        <v/>
      </c>
      <c r="K1516" s="19">
        <f>IFERROR(IF(OR(F1516="",INDEX(F:F,MATCH(DATE(YEAR($A1516)-1,MONTH($A1516),DAY($A1516)),$A:$A,0))=""),"",F1516/INDEX(F:F,MATCH(DATE(YEAR($A1516)-1,MONTH($A1516),DAY($A1516)),$A:$A,0))-1),"")</f>
        <v/>
      </c>
      <c r="L1516" s="19">
        <f>IFERROR(IF(OR(G1516="",INDEX(G:G,MATCH(DATE(YEAR($A1516)-1,MONTH($A1516),DAY($A1516)),$A:$A,0))=""),"",G1516/INDEX(G:G,MATCH(DATE(YEAR($A1516)-1,MONTH($A1516),DAY($A1516)),$A:$A,0))-1),"")</f>
        <v/>
      </c>
      <c r="M1516" s="19">
        <f>IF(OR(E1516="",E1515=""),"",E1516/E1515-1)</f>
        <v/>
      </c>
      <c r="N1516" s="19">
        <f>IF(OR(F1516="",F1515=""),"",F1516/F1515-1)</f>
        <v/>
      </c>
      <c r="O1516" s="19">
        <f>IF(OR(G1516="",G1515=""),"",G1516/G1515-1)</f>
        <v/>
      </c>
      <c r="P1516" s="22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IF(R1516="","",P1516/R1516)</f>
        <v/>
      </c>
      <c r="T1516" s="23">
        <f>IF(R1516="","",Q1516/R1516)</f>
        <v/>
      </c>
      <c r="U1516" s="24">
        <f>IF(SUMIFS('Daily NSE Equity Options'!$M:$M,'Daily NSE Equity Options'!$A:$A,$A1516)=0,"",SUMIFS('Daily NSE Equity Options'!$M:$M,'Daily NSE Equity Options'!$A:$A,$A1516))</f>
        <v/>
      </c>
      <c r="V1516" s="9">
        <f>IF(SUMIFS('Daily BSE Equity Options'!$M:$M,'Daily BSE Equity Options'!$A:$A,$A1516)=0,"",SUMIFS('Daily BSE Equity Options'!$M:$M,'Daily BSE Equity Options'!$A:$A,$A1516))</f>
        <v/>
      </c>
      <c r="W1516" s="9">
        <f>IF(OR(U1516="",V1516=""),"",U1516+V1516)</f>
        <v/>
      </c>
      <c r="X1516" s="25">
        <f>IF(W1516="","",U1516/W1516)</f>
        <v/>
      </c>
      <c r="Y1516" s="25">
        <f>IF(W1516="","",V1516/W1516)</f>
        <v/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19">
        <f>IF(G1517="","",E1517/G1517)</f>
        <v/>
      </c>
      <c r="I1517" s="19">
        <f>IF(G1517="","",F1517/G1517)</f>
        <v/>
      </c>
      <c r="J1517" s="26">
        <f>IFERROR(IF(OR(E1517="",INDEX(E:E,MATCH(DATE(YEAR($A1517)-1,MONTH($A1517),DAY($A1517)),$A:$A,0))=""),"",E1517/INDEX(E:E,MATCH(DATE(YEAR($A1517)-1,MONTH($A1517),DAY($A1517)),$A:$A,0))-1),"")</f>
        <v/>
      </c>
      <c r="K1517" s="19">
        <f>IFERROR(IF(OR(F1517="",INDEX(F:F,MATCH(DATE(YEAR($A1517)-1,MONTH($A1517),DAY($A1517)),$A:$A,0))=""),"",F1517/INDEX(F:F,MATCH(DATE(YEAR($A1517)-1,MONTH($A1517),DAY($A1517)),$A:$A,0))-1),"")</f>
        <v/>
      </c>
      <c r="L1517" s="19">
        <f>IFERROR(IF(OR(G1517="",INDEX(G:G,MATCH(DATE(YEAR($A1517)-1,MONTH($A1517),DAY($A1517)),$A:$A,0))=""),"",G1517/INDEX(G:G,MATCH(DATE(YEAR($A1517)-1,MONTH($A1517),DAY($A1517)),$A:$A,0))-1),"")</f>
        <v/>
      </c>
      <c r="M1517" s="19">
        <f>IF(OR(E1517="",E1516=""),"",E1517/E1516-1)</f>
        <v/>
      </c>
      <c r="N1517" s="19">
        <f>IF(OR(F1517="",F1516=""),"",F1517/F1516-1)</f>
        <v/>
      </c>
      <c r="O1517" s="19">
        <f>IF(OR(G1517="",G1516=""),"",G1517/G1516-1)</f>
        <v/>
      </c>
      <c r="P1517" s="22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IF(R1517="","",P1517/R1517)</f>
        <v/>
      </c>
      <c r="T1517" s="23">
        <f>IF(R1517="","",Q1517/R1517)</f>
        <v/>
      </c>
      <c r="U1517" s="24">
        <f>IF(SUMIFS('Daily NSE Equity Options'!$M:$M,'Daily NSE Equity Options'!$A:$A,$A1517)=0,"",SUMIFS('Daily NSE Equity Options'!$M:$M,'Daily NSE Equity Options'!$A:$A,$A1517))</f>
        <v/>
      </c>
      <c r="V1517" s="9">
        <f>IF(SUMIFS('Daily BSE Equity Options'!$M:$M,'Daily BSE Equity Options'!$A:$A,$A1517)=0,"",SUMIFS('Daily BSE Equity Options'!$M:$M,'Daily BSE Equity Options'!$A:$A,$A1517))</f>
        <v/>
      </c>
      <c r="W1517" s="9">
        <f>IF(OR(U1517="",V1517=""),"",U1517+V1517)</f>
        <v/>
      </c>
      <c r="X1517" s="25">
        <f>IF(W1517="","",U1517/W1517)</f>
        <v/>
      </c>
      <c r="Y1517" s="25">
        <f>IF(W1517="","",V1517/W1517)</f>
        <v/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19">
        <f>IF(G1518="","",E1518/G1518)</f>
        <v/>
      </c>
      <c r="I1518" s="19">
        <f>IF(G1518="","",F1518/G1518)</f>
        <v/>
      </c>
      <c r="J1518" s="26">
        <f>IFERROR(IF(OR(E1518="",INDEX(E:E,MATCH(DATE(YEAR($A1518)-1,MONTH($A1518),DAY($A1518)),$A:$A,0))=""),"",E1518/INDEX(E:E,MATCH(DATE(YEAR($A1518)-1,MONTH($A1518),DAY($A1518)),$A:$A,0))-1),"")</f>
        <v/>
      </c>
      <c r="K1518" s="19">
        <f>IFERROR(IF(OR(F1518="",INDEX(F:F,MATCH(DATE(YEAR($A1518)-1,MONTH($A1518),DAY($A1518)),$A:$A,0))=""),"",F1518/INDEX(F:F,MATCH(DATE(YEAR($A1518)-1,MONTH($A1518),DAY($A1518)),$A:$A,0))-1),"")</f>
        <v/>
      </c>
      <c r="L1518" s="19">
        <f>IFERROR(IF(OR(G1518="",INDEX(G:G,MATCH(DATE(YEAR($A1518)-1,MONTH($A1518),DAY($A1518)),$A:$A,0))=""),"",G1518/INDEX(G:G,MATCH(DATE(YEAR($A1518)-1,MONTH($A1518),DAY($A1518)),$A:$A,0))-1),"")</f>
        <v/>
      </c>
      <c r="M1518" s="19">
        <f>IF(OR(E1518="",E1517=""),"",E1518/E1517-1)</f>
        <v/>
      </c>
      <c r="N1518" s="19">
        <f>IF(OR(F1518="",F1517=""),"",F1518/F1517-1)</f>
        <v/>
      </c>
      <c r="O1518" s="19">
        <f>IF(OR(G1518="",G1517=""),"",G1518/G1517-1)</f>
        <v/>
      </c>
      <c r="P1518" s="22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IF(R1518="","",P1518/R1518)</f>
        <v/>
      </c>
      <c r="T1518" s="23">
        <f>IF(R1518="","",Q1518/R1518)</f>
        <v/>
      </c>
      <c r="U1518" s="24">
        <f>IF(SUMIFS('Daily NSE Equity Options'!$M:$M,'Daily NSE Equity Options'!$A:$A,$A1518)=0,"",SUMIFS('Daily NSE Equity Options'!$M:$M,'Daily NSE Equity Options'!$A:$A,$A1518))</f>
        <v/>
      </c>
      <c r="V1518" s="9">
        <f>IF(SUMIFS('Daily BSE Equity Options'!$M:$M,'Daily BSE Equity Options'!$A:$A,$A1518)=0,"",SUMIFS('Daily BSE Equity Options'!$M:$M,'Daily BSE Equity Options'!$A:$A,$A1518))</f>
        <v/>
      </c>
      <c r="W1518" s="9">
        <f>IF(OR(U1518="",V1518=""),"",U1518+V1518)</f>
        <v/>
      </c>
      <c r="X1518" s="25">
        <f>IF(W1518="","",U1518/W1518)</f>
        <v/>
      </c>
      <c r="Y1518" s="25">
        <f>IF(W1518="","",V1518/W1518)</f>
        <v/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19">
        <f>IF(G1519="","",E1519/G1519)</f>
        <v/>
      </c>
      <c r="I1519" s="19">
        <f>IF(G1519="","",F1519/G1519)</f>
        <v/>
      </c>
      <c r="J1519" s="26">
        <f>IFERROR(IF(OR(E1519="",INDEX(E:E,MATCH(DATE(YEAR($A1519)-1,MONTH($A1519),DAY($A1519)),$A:$A,0))=""),"",E1519/INDEX(E:E,MATCH(DATE(YEAR($A1519)-1,MONTH($A1519),DAY($A1519)),$A:$A,0))-1),"")</f>
        <v/>
      </c>
      <c r="K1519" s="19">
        <f>IFERROR(IF(OR(F1519="",INDEX(F:F,MATCH(DATE(YEAR($A1519)-1,MONTH($A1519),DAY($A1519)),$A:$A,0))=""),"",F1519/INDEX(F:F,MATCH(DATE(YEAR($A1519)-1,MONTH($A1519),DAY($A1519)),$A:$A,0))-1),"")</f>
        <v/>
      </c>
      <c r="L1519" s="19">
        <f>IFERROR(IF(OR(G1519="",INDEX(G:G,MATCH(DATE(YEAR($A1519)-1,MONTH($A1519),DAY($A1519)),$A:$A,0))=""),"",G1519/INDEX(G:G,MATCH(DATE(YEAR($A1519)-1,MONTH($A1519),DAY($A1519)),$A:$A,0))-1),"")</f>
        <v/>
      </c>
      <c r="M1519" s="19">
        <f>IF(OR(E1519="",E1518=""),"",E1519/E1518-1)</f>
        <v/>
      </c>
      <c r="N1519" s="19">
        <f>IF(OR(F1519="",F1518=""),"",F1519/F1518-1)</f>
        <v/>
      </c>
      <c r="O1519" s="19">
        <f>IF(OR(G1519="",G1518=""),"",G1519/G1518-1)</f>
        <v/>
      </c>
      <c r="P1519" s="22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IF(R1519="","",P1519/R1519)</f>
        <v/>
      </c>
      <c r="T1519" s="23">
        <f>IF(R1519="","",Q1519/R1519)</f>
        <v/>
      </c>
      <c r="U1519" s="24">
        <f>IF(SUMIFS('Daily NSE Equity Options'!$M:$M,'Daily NSE Equity Options'!$A:$A,$A1519)=0,"",SUMIFS('Daily NSE Equity Options'!$M:$M,'Daily NSE Equity Options'!$A:$A,$A1519))</f>
        <v/>
      </c>
      <c r="V1519" s="9">
        <f>IF(SUMIFS('Daily BSE Equity Options'!$M:$M,'Daily BSE Equity Options'!$A:$A,$A1519)=0,"",SUMIFS('Daily BSE Equity Options'!$M:$M,'Daily BSE Equity Options'!$A:$A,$A1519))</f>
        <v/>
      </c>
      <c r="W1519" s="9">
        <f>IF(OR(U1519="",V1519=""),"",U1519+V1519)</f>
        <v/>
      </c>
      <c r="X1519" s="25">
        <f>IF(W1519="","",U1519/W1519)</f>
        <v/>
      </c>
      <c r="Y1519" s="25">
        <f>IF(W1519="","",V1519/W1519)</f>
        <v/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19">
        <f>IF(G1520="","",E1520/G1520)</f>
        <v/>
      </c>
      <c r="I1520" s="19">
        <f>IF(G1520="","",F1520/G1520)</f>
        <v/>
      </c>
      <c r="J1520" s="26">
        <f>IFERROR(IF(OR(E1520="",INDEX(E:E,MATCH(DATE(YEAR($A1520)-1,MONTH($A1520),DAY($A1520)),$A:$A,0))=""),"",E1520/INDEX(E:E,MATCH(DATE(YEAR($A1520)-1,MONTH($A1520),DAY($A1520)),$A:$A,0))-1),"")</f>
        <v/>
      </c>
      <c r="K1520" s="19">
        <f>IFERROR(IF(OR(F1520="",INDEX(F:F,MATCH(DATE(YEAR($A1520)-1,MONTH($A1520),DAY($A1520)),$A:$A,0))=""),"",F1520/INDEX(F:F,MATCH(DATE(YEAR($A1520)-1,MONTH($A1520),DAY($A1520)),$A:$A,0))-1),"")</f>
        <v/>
      </c>
      <c r="L1520" s="19">
        <f>IFERROR(IF(OR(G1520="",INDEX(G:G,MATCH(DATE(YEAR($A1520)-1,MONTH($A1520),DAY($A1520)),$A:$A,0))=""),"",G1520/INDEX(G:G,MATCH(DATE(YEAR($A1520)-1,MONTH($A1520),DAY($A1520)),$A:$A,0))-1),"")</f>
        <v/>
      </c>
      <c r="M1520" s="19">
        <f>IF(OR(E1520="",E1519=""),"",E1520/E1519-1)</f>
        <v/>
      </c>
      <c r="N1520" s="19">
        <f>IF(OR(F1520="",F1519=""),"",F1520/F1519-1)</f>
        <v/>
      </c>
      <c r="O1520" s="19">
        <f>IF(OR(G1520="",G1519=""),"",G1520/G1519-1)</f>
        <v/>
      </c>
      <c r="P1520" s="22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IF(R1520="","",P1520/R1520)</f>
        <v/>
      </c>
      <c r="T1520" s="23">
        <f>IF(R1520="","",Q1520/R1520)</f>
        <v/>
      </c>
      <c r="U1520" s="24">
        <f>IF(SUMIFS('Daily NSE Equity Options'!$M:$M,'Daily NSE Equity Options'!$A:$A,$A1520)=0,"",SUMIFS('Daily NSE Equity Options'!$M:$M,'Daily NSE Equity Options'!$A:$A,$A1520))</f>
        <v/>
      </c>
      <c r="V1520" s="9">
        <f>IF(SUMIFS('Daily BSE Equity Options'!$M:$M,'Daily BSE Equity Options'!$A:$A,$A1520)=0,"",SUMIFS('Daily BSE Equity Options'!$M:$M,'Daily BSE Equity Options'!$A:$A,$A1520))</f>
        <v/>
      </c>
      <c r="W1520" s="9">
        <f>IF(OR(U1520="",V1520=""),"",U1520+V1520)</f>
        <v/>
      </c>
      <c r="X1520" s="25">
        <f>IF(W1520="","",U1520/W1520)</f>
        <v/>
      </c>
      <c r="Y1520" s="25">
        <f>IF(W1520="","",V1520/W1520)</f>
        <v/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19">
        <f>IF(G1521="","",E1521/G1521)</f>
        <v/>
      </c>
      <c r="I1521" s="19">
        <f>IF(G1521="","",F1521/G1521)</f>
        <v/>
      </c>
      <c r="J1521" s="26">
        <f>IFERROR(IF(OR(E1521="",INDEX(E:E,MATCH(DATE(YEAR($A1521)-1,MONTH($A1521),DAY($A1521)),$A:$A,0))=""),"",E1521/INDEX(E:E,MATCH(DATE(YEAR($A1521)-1,MONTH($A1521),DAY($A1521)),$A:$A,0))-1),"")</f>
        <v/>
      </c>
      <c r="K1521" s="19">
        <f>IFERROR(IF(OR(F1521="",INDEX(F:F,MATCH(DATE(YEAR($A1521)-1,MONTH($A1521),DAY($A1521)),$A:$A,0))=""),"",F1521/INDEX(F:F,MATCH(DATE(YEAR($A1521)-1,MONTH($A1521),DAY($A1521)),$A:$A,0))-1),"")</f>
        <v/>
      </c>
      <c r="L1521" s="19">
        <f>IFERROR(IF(OR(G1521="",INDEX(G:G,MATCH(DATE(YEAR($A1521)-1,MONTH($A1521),DAY($A1521)),$A:$A,0))=""),"",G1521/INDEX(G:G,MATCH(DATE(YEAR($A1521)-1,MONTH($A1521),DAY($A1521)),$A:$A,0))-1),"")</f>
        <v/>
      </c>
      <c r="M1521" s="19">
        <f>IF(OR(E1521="",E1520=""),"",E1521/E1520-1)</f>
        <v/>
      </c>
      <c r="N1521" s="19">
        <f>IF(OR(F1521="",F1520=""),"",F1521/F1520-1)</f>
        <v/>
      </c>
      <c r="O1521" s="19">
        <f>IF(OR(G1521="",G1520=""),"",G1521/G1520-1)</f>
        <v/>
      </c>
      <c r="P1521" s="22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IF(R1521="","",P1521/R1521)</f>
        <v/>
      </c>
      <c r="T1521" s="23">
        <f>IF(R1521="","",Q1521/R1521)</f>
        <v/>
      </c>
      <c r="U1521" s="24">
        <f>IF(SUMIFS('Daily NSE Equity Options'!$M:$M,'Daily NSE Equity Options'!$A:$A,$A1521)=0,"",SUMIFS('Daily NSE Equity Options'!$M:$M,'Daily NSE Equity Options'!$A:$A,$A1521))</f>
        <v/>
      </c>
      <c r="V1521" s="9">
        <f>IF(SUMIFS('Daily BSE Equity Options'!$M:$M,'Daily BSE Equity Options'!$A:$A,$A1521)=0,"",SUMIFS('Daily BSE Equity Options'!$M:$M,'Daily BSE Equity Options'!$A:$A,$A1521))</f>
        <v/>
      </c>
      <c r="W1521" s="9">
        <f>IF(OR(U1521="",V1521=""),"",U1521+V1521)</f>
        <v/>
      </c>
      <c r="X1521" s="25">
        <f>IF(W1521="","",U1521/W1521)</f>
        <v/>
      </c>
      <c r="Y1521" s="25">
        <f>IF(W1521="","",V1521/W1521)</f>
        <v/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19">
        <f>IF(G1522="","",E1522/G1522)</f>
        <v/>
      </c>
      <c r="I1522" s="19">
        <f>IF(G1522="","",F1522/G1522)</f>
        <v/>
      </c>
      <c r="J1522" s="26">
        <f>IFERROR(IF(OR(E1522="",INDEX(E:E,MATCH(DATE(YEAR($A1522)-1,MONTH($A1522),DAY($A1522)),$A:$A,0))=""),"",E1522/INDEX(E:E,MATCH(DATE(YEAR($A1522)-1,MONTH($A1522),DAY($A1522)),$A:$A,0))-1),"")</f>
        <v/>
      </c>
      <c r="K1522" s="19">
        <f>IFERROR(IF(OR(F1522="",INDEX(F:F,MATCH(DATE(YEAR($A1522)-1,MONTH($A1522),DAY($A1522)),$A:$A,0))=""),"",F1522/INDEX(F:F,MATCH(DATE(YEAR($A1522)-1,MONTH($A1522),DAY($A1522)),$A:$A,0))-1),"")</f>
        <v/>
      </c>
      <c r="L1522" s="19">
        <f>IFERROR(IF(OR(G1522="",INDEX(G:G,MATCH(DATE(YEAR($A1522)-1,MONTH($A1522),DAY($A1522)),$A:$A,0))=""),"",G1522/INDEX(G:G,MATCH(DATE(YEAR($A1522)-1,MONTH($A1522),DAY($A1522)),$A:$A,0))-1),"")</f>
        <v/>
      </c>
      <c r="M1522" s="19">
        <f>IF(OR(E1522="",E1521=""),"",E1522/E1521-1)</f>
        <v/>
      </c>
      <c r="N1522" s="19">
        <f>IF(OR(F1522="",F1521=""),"",F1522/F1521-1)</f>
        <v/>
      </c>
      <c r="O1522" s="19">
        <f>IF(OR(G1522="",G1521=""),"",G1522/G1521-1)</f>
        <v/>
      </c>
      <c r="P1522" s="22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IF(R1522="","",P1522/R1522)</f>
        <v/>
      </c>
      <c r="T1522" s="23">
        <f>IF(R1522="","",Q1522/R1522)</f>
        <v/>
      </c>
      <c r="U1522" s="24">
        <f>IF(SUMIFS('Daily NSE Equity Options'!$M:$M,'Daily NSE Equity Options'!$A:$A,$A1522)=0,"",SUMIFS('Daily NSE Equity Options'!$M:$M,'Daily NSE Equity Options'!$A:$A,$A1522))</f>
        <v/>
      </c>
      <c r="V1522" s="9">
        <f>IF(SUMIFS('Daily BSE Equity Options'!$M:$M,'Daily BSE Equity Options'!$A:$A,$A1522)=0,"",SUMIFS('Daily BSE Equity Options'!$M:$M,'Daily BSE Equity Options'!$A:$A,$A1522))</f>
        <v/>
      </c>
      <c r="W1522" s="9">
        <f>IF(OR(U1522="",V1522=""),"",U1522+V1522)</f>
        <v/>
      </c>
      <c r="X1522" s="25">
        <f>IF(W1522="","",U1522/W1522)</f>
        <v/>
      </c>
      <c r="Y1522" s="25">
        <f>IF(W1522="","",V1522/W1522)</f>
        <v/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19">
        <f>IF(G1523="","",E1523/G1523)</f>
        <v/>
      </c>
      <c r="I1523" s="19">
        <f>IF(G1523="","",F1523/G1523)</f>
        <v/>
      </c>
      <c r="J1523" s="26">
        <f>IFERROR(IF(OR(E1523="",INDEX(E:E,MATCH(DATE(YEAR($A1523)-1,MONTH($A1523),DAY($A1523)),$A:$A,0))=""),"",E1523/INDEX(E:E,MATCH(DATE(YEAR($A1523)-1,MONTH($A1523),DAY($A1523)),$A:$A,0))-1),"")</f>
        <v/>
      </c>
      <c r="K1523" s="19">
        <f>IFERROR(IF(OR(F1523="",INDEX(F:F,MATCH(DATE(YEAR($A1523)-1,MONTH($A1523),DAY($A1523)),$A:$A,0))=""),"",F1523/INDEX(F:F,MATCH(DATE(YEAR($A1523)-1,MONTH($A1523),DAY($A1523)),$A:$A,0))-1),"")</f>
        <v/>
      </c>
      <c r="L1523" s="19">
        <f>IFERROR(IF(OR(G1523="",INDEX(G:G,MATCH(DATE(YEAR($A1523)-1,MONTH($A1523),DAY($A1523)),$A:$A,0))=""),"",G1523/INDEX(G:G,MATCH(DATE(YEAR($A1523)-1,MONTH($A1523),DAY($A1523)),$A:$A,0))-1),"")</f>
        <v/>
      </c>
      <c r="M1523" s="19">
        <f>IF(OR(E1523="",E1522=""),"",E1523/E1522-1)</f>
        <v/>
      </c>
      <c r="N1523" s="19">
        <f>IF(OR(F1523="",F1522=""),"",F1523/F1522-1)</f>
        <v/>
      </c>
      <c r="O1523" s="19">
        <f>IF(OR(G1523="",G1522=""),"",G1523/G1522-1)</f>
        <v/>
      </c>
      <c r="P1523" s="22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IF(R1523="","",P1523/R1523)</f>
        <v/>
      </c>
      <c r="T1523" s="23">
        <f>IF(R1523="","",Q1523/R1523)</f>
        <v/>
      </c>
      <c r="U1523" s="24">
        <f>IF(SUMIFS('Daily NSE Equity Options'!$M:$M,'Daily NSE Equity Options'!$A:$A,$A1523)=0,"",SUMIFS('Daily NSE Equity Options'!$M:$M,'Daily NSE Equity Options'!$A:$A,$A1523))</f>
        <v/>
      </c>
      <c r="V1523" s="9">
        <f>IF(SUMIFS('Daily BSE Equity Options'!$M:$M,'Daily BSE Equity Options'!$A:$A,$A1523)=0,"",SUMIFS('Daily BSE Equity Options'!$M:$M,'Daily BSE Equity Options'!$A:$A,$A1523))</f>
        <v/>
      </c>
      <c r="W1523" s="9">
        <f>IF(OR(U1523="",V1523=""),"",U1523+V1523)</f>
        <v/>
      </c>
      <c r="X1523" s="25">
        <f>IF(W1523="","",U1523/W1523)</f>
        <v/>
      </c>
      <c r="Y1523" s="25">
        <f>IF(W1523="","",V1523/W1523)</f>
        <v/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19">
        <f>IF(G1524="","",E1524/G1524)</f>
        <v/>
      </c>
      <c r="I1524" s="19">
        <f>IF(G1524="","",F1524/G1524)</f>
        <v/>
      </c>
      <c r="J1524" s="26">
        <f>IFERROR(IF(OR(E1524="",INDEX(E:E,MATCH(DATE(YEAR($A1524)-1,MONTH($A1524),DAY($A1524)),$A:$A,0))=""),"",E1524/INDEX(E:E,MATCH(DATE(YEAR($A1524)-1,MONTH($A1524),DAY($A1524)),$A:$A,0))-1),"")</f>
        <v/>
      </c>
      <c r="K1524" s="19">
        <f>IFERROR(IF(OR(F1524="",INDEX(F:F,MATCH(DATE(YEAR($A1524)-1,MONTH($A1524),DAY($A1524)),$A:$A,0))=""),"",F1524/INDEX(F:F,MATCH(DATE(YEAR($A1524)-1,MONTH($A1524),DAY($A1524)),$A:$A,0))-1),"")</f>
        <v/>
      </c>
      <c r="L1524" s="19">
        <f>IFERROR(IF(OR(G1524="",INDEX(G:G,MATCH(DATE(YEAR($A1524)-1,MONTH($A1524),DAY($A1524)),$A:$A,0))=""),"",G1524/INDEX(G:G,MATCH(DATE(YEAR($A1524)-1,MONTH($A1524),DAY($A1524)),$A:$A,0))-1),"")</f>
        <v/>
      </c>
      <c r="M1524" s="19">
        <f>IF(OR(E1524="",E1523=""),"",E1524/E1523-1)</f>
        <v/>
      </c>
      <c r="N1524" s="19">
        <f>IF(OR(F1524="",F1523=""),"",F1524/F1523-1)</f>
        <v/>
      </c>
      <c r="O1524" s="19">
        <f>IF(OR(G1524="",G1523=""),"",G1524/G1523-1)</f>
        <v/>
      </c>
      <c r="P1524" s="22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IF(R1524="","",P1524/R1524)</f>
        <v/>
      </c>
      <c r="T1524" s="23">
        <f>IF(R1524="","",Q1524/R1524)</f>
        <v/>
      </c>
      <c r="U1524" s="24">
        <f>IF(SUMIFS('Daily NSE Equity Options'!$M:$M,'Daily NSE Equity Options'!$A:$A,$A1524)=0,"",SUMIFS('Daily NSE Equity Options'!$M:$M,'Daily NSE Equity Options'!$A:$A,$A1524))</f>
        <v/>
      </c>
      <c r="V1524" s="9">
        <f>IF(SUMIFS('Daily BSE Equity Options'!$M:$M,'Daily BSE Equity Options'!$A:$A,$A1524)=0,"",SUMIFS('Daily BSE Equity Options'!$M:$M,'Daily BSE Equity Options'!$A:$A,$A1524))</f>
        <v/>
      </c>
      <c r="W1524" s="9">
        <f>IF(OR(U1524="",V1524=""),"",U1524+V1524)</f>
        <v/>
      </c>
      <c r="X1524" s="25">
        <f>IF(W1524="","",U1524/W1524)</f>
        <v/>
      </c>
      <c r="Y1524" s="25">
        <f>IF(W1524="","",V1524/W1524)</f>
        <v/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19">
        <f>IF(G1525="","",E1525/G1525)</f>
        <v/>
      </c>
      <c r="I1525" s="19">
        <f>IF(G1525="","",F1525/G1525)</f>
        <v/>
      </c>
      <c r="J1525" s="26">
        <f>IFERROR(IF(OR(E1525="",INDEX(E:E,MATCH(DATE(YEAR($A1525)-1,MONTH($A1525),DAY($A1525)),$A:$A,0))=""),"",E1525/INDEX(E:E,MATCH(DATE(YEAR($A1525)-1,MONTH($A1525),DAY($A1525)),$A:$A,0))-1),"")</f>
        <v/>
      </c>
      <c r="K1525" s="19">
        <f>IFERROR(IF(OR(F1525="",INDEX(F:F,MATCH(DATE(YEAR($A1525)-1,MONTH($A1525),DAY($A1525)),$A:$A,0))=""),"",F1525/INDEX(F:F,MATCH(DATE(YEAR($A1525)-1,MONTH($A1525),DAY($A1525)),$A:$A,0))-1),"")</f>
        <v/>
      </c>
      <c r="L1525" s="19">
        <f>IFERROR(IF(OR(G1525="",INDEX(G:G,MATCH(DATE(YEAR($A1525)-1,MONTH($A1525),DAY($A1525)),$A:$A,0))=""),"",G1525/INDEX(G:G,MATCH(DATE(YEAR($A1525)-1,MONTH($A1525),DAY($A1525)),$A:$A,0))-1),"")</f>
        <v/>
      </c>
      <c r="M1525" s="19">
        <f>IF(OR(E1525="",E1524=""),"",E1525/E1524-1)</f>
        <v/>
      </c>
      <c r="N1525" s="19">
        <f>IF(OR(F1525="",F1524=""),"",F1525/F1524-1)</f>
        <v/>
      </c>
      <c r="O1525" s="19">
        <f>IF(OR(G1525="",G1524=""),"",G1525/G1524-1)</f>
        <v/>
      </c>
      <c r="P1525" s="22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IF(R1525="","",P1525/R1525)</f>
        <v/>
      </c>
      <c r="T1525" s="23">
        <f>IF(R1525="","",Q1525/R1525)</f>
        <v/>
      </c>
      <c r="U1525" s="24">
        <f>IF(SUMIFS('Daily NSE Equity Options'!$M:$M,'Daily NSE Equity Options'!$A:$A,$A1525)=0,"",SUMIFS('Daily NSE Equity Options'!$M:$M,'Daily NSE Equity Options'!$A:$A,$A1525))</f>
        <v/>
      </c>
      <c r="V1525" s="9">
        <f>IF(SUMIFS('Daily BSE Equity Options'!$M:$M,'Daily BSE Equity Options'!$A:$A,$A1525)=0,"",SUMIFS('Daily BSE Equity Options'!$M:$M,'Daily BSE Equity Options'!$A:$A,$A1525))</f>
        <v/>
      </c>
      <c r="W1525" s="9">
        <f>IF(OR(U1525="",V1525=""),"",U1525+V1525)</f>
        <v/>
      </c>
      <c r="X1525" s="25">
        <f>IF(W1525="","",U1525/W1525)</f>
        <v/>
      </c>
      <c r="Y1525" s="25">
        <f>IF(W1525="","",V1525/W1525)</f>
        <v/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19">
        <f>IF(G1526="","",E1526/G1526)</f>
        <v/>
      </c>
      <c r="I1526" s="19">
        <f>IF(G1526="","",F1526/G1526)</f>
        <v/>
      </c>
      <c r="J1526" s="26">
        <f>IFERROR(IF(OR(E1526="",INDEX(E:E,MATCH(DATE(YEAR($A1526)-1,MONTH($A1526),DAY($A1526)),$A:$A,0))=""),"",E1526/INDEX(E:E,MATCH(DATE(YEAR($A1526)-1,MONTH($A1526),DAY($A1526)),$A:$A,0))-1),"")</f>
        <v/>
      </c>
      <c r="K1526" s="19">
        <f>IFERROR(IF(OR(F1526="",INDEX(F:F,MATCH(DATE(YEAR($A1526)-1,MONTH($A1526),DAY($A1526)),$A:$A,0))=""),"",F1526/INDEX(F:F,MATCH(DATE(YEAR($A1526)-1,MONTH($A1526),DAY($A1526)),$A:$A,0))-1),"")</f>
        <v/>
      </c>
      <c r="L1526" s="19">
        <f>IFERROR(IF(OR(G1526="",INDEX(G:G,MATCH(DATE(YEAR($A1526)-1,MONTH($A1526),DAY($A1526)),$A:$A,0))=""),"",G1526/INDEX(G:G,MATCH(DATE(YEAR($A1526)-1,MONTH($A1526),DAY($A1526)),$A:$A,0))-1),"")</f>
        <v/>
      </c>
      <c r="M1526" s="19">
        <f>IF(OR(E1526="",E1525=""),"",E1526/E1525-1)</f>
        <v/>
      </c>
      <c r="N1526" s="19">
        <f>IF(OR(F1526="",F1525=""),"",F1526/F1525-1)</f>
        <v/>
      </c>
      <c r="O1526" s="19">
        <f>IF(OR(G1526="",G1525=""),"",G1526/G1525-1)</f>
        <v/>
      </c>
      <c r="P1526" s="22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IF(R1526="","",P1526/R1526)</f>
        <v/>
      </c>
      <c r="T1526" s="23">
        <f>IF(R1526="","",Q1526/R1526)</f>
        <v/>
      </c>
      <c r="U1526" s="24">
        <f>IF(SUMIFS('Daily NSE Equity Options'!$M:$M,'Daily NSE Equity Options'!$A:$A,$A1526)=0,"",SUMIFS('Daily NSE Equity Options'!$M:$M,'Daily NSE Equity Options'!$A:$A,$A1526))</f>
        <v/>
      </c>
      <c r="V1526" s="9">
        <f>IF(SUMIFS('Daily BSE Equity Options'!$M:$M,'Daily BSE Equity Options'!$A:$A,$A1526)=0,"",SUMIFS('Daily BSE Equity Options'!$M:$M,'Daily BSE Equity Options'!$A:$A,$A1526))</f>
        <v/>
      </c>
      <c r="W1526" s="9">
        <f>IF(OR(U1526="",V1526=""),"",U1526+V1526)</f>
        <v/>
      </c>
      <c r="X1526" s="25">
        <f>IF(W1526="","",U1526/W1526)</f>
        <v/>
      </c>
      <c r="Y1526" s="25">
        <f>IF(W1526="","",V1526/W1526)</f>
        <v/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19">
        <f>IF(G1527="","",E1527/G1527)</f>
        <v/>
      </c>
      <c r="I1527" s="19">
        <f>IF(G1527="","",F1527/G1527)</f>
        <v/>
      </c>
      <c r="J1527" s="26">
        <f>IFERROR(IF(OR(E1527="",INDEX(E:E,MATCH(DATE(YEAR($A1527)-1,MONTH($A1527),DAY($A1527)),$A:$A,0))=""),"",E1527/INDEX(E:E,MATCH(DATE(YEAR($A1527)-1,MONTH($A1527),DAY($A1527)),$A:$A,0))-1),"")</f>
        <v/>
      </c>
      <c r="K1527" s="19">
        <f>IFERROR(IF(OR(F1527="",INDEX(F:F,MATCH(DATE(YEAR($A1527)-1,MONTH($A1527),DAY($A1527)),$A:$A,0))=""),"",F1527/INDEX(F:F,MATCH(DATE(YEAR($A1527)-1,MONTH($A1527),DAY($A1527)),$A:$A,0))-1),"")</f>
        <v/>
      </c>
      <c r="L1527" s="19">
        <f>IFERROR(IF(OR(G1527="",INDEX(G:G,MATCH(DATE(YEAR($A1527)-1,MONTH($A1527),DAY($A1527)),$A:$A,0))=""),"",G1527/INDEX(G:G,MATCH(DATE(YEAR($A1527)-1,MONTH($A1527),DAY($A1527)),$A:$A,0))-1),"")</f>
        <v/>
      </c>
      <c r="M1527" s="19">
        <f>IF(OR(E1527="",E1526=""),"",E1527/E1526-1)</f>
        <v/>
      </c>
      <c r="N1527" s="19">
        <f>IF(OR(F1527="",F1526=""),"",F1527/F1526-1)</f>
        <v/>
      </c>
      <c r="O1527" s="19">
        <f>IF(OR(G1527="",G1526=""),"",G1527/G1526-1)</f>
        <v/>
      </c>
      <c r="P1527" s="22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IF(R1527="","",P1527/R1527)</f>
        <v/>
      </c>
      <c r="T1527" s="23">
        <f>IF(R1527="","",Q1527/R1527)</f>
        <v/>
      </c>
      <c r="U1527" s="24">
        <f>IF(SUMIFS('Daily NSE Equity Options'!$M:$M,'Daily NSE Equity Options'!$A:$A,$A1527)=0,"",SUMIFS('Daily NSE Equity Options'!$M:$M,'Daily NSE Equity Options'!$A:$A,$A1527))</f>
        <v/>
      </c>
      <c r="V1527" s="9">
        <f>IF(SUMIFS('Daily BSE Equity Options'!$M:$M,'Daily BSE Equity Options'!$A:$A,$A1527)=0,"",SUMIFS('Daily BSE Equity Options'!$M:$M,'Daily BSE Equity Options'!$A:$A,$A1527))</f>
        <v/>
      </c>
      <c r="W1527" s="9">
        <f>IF(OR(U1527="",V1527=""),"",U1527+V1527)</f>
        <v/>
      </c>
      <c r="X1527" s="25">
        <f>IF(W1527="","",U1527/W1527)</f>
        <v/>
      </c>
      <c r="Y1527" s="25">
        <f>IF(W1527="","",V1527/W1527)</f>
        <v/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19">
        <f>IF(G1528="","",E1528/G1528)</f>
        <v/>
      </c>
      <c r="I1528" s="19">
        <f>IF(G1528="","",F1528/G1528)</f>
        <v/>
      </c>
      <c r="J1528" s="26">
        <f>IFERROR(IF(OR(E1528="",INDEX(E:E,MATCH(DATE(YEAR($A1528)-1,MONTH($A1528),DAY($A1528)),$A:$A,0))=""),"",E1528/INDEX(E:E,MATCH(DATE(YEAR($A1528)-1,MONTH($A1528),DAY($A1528)),$A:$A,0))-1),"")</f>
        <v/>
      </c>
      <c r="K1528" s="19">
        <f>IFERROR(IF(OR(F1528="",INDEX(F:F,MATCH(DATE(YEAR($A1528)-1,MONTH($A1528),DAY($A1528)),$A:$A,0))=""),"",F1528/INDEX(F:F,MATCH(DATE(YEAR($A1528)-1,MONTH($A1528),DAY($A1528)),$A:$A,0))-1),"")</f>
        <v/>
      </c>
      <c r="L1528" s="19">
        <f>IFERROR(IF(OR(G1528="",INDEX(G:G,MATCH(DATE(YEAR($A1528)-1,MONTH($A1528),DAY($A1528)),$A:$A,0))=""),"",G1528/INDEX(G:G,MATCH(DATE(YEAR($A1528)-1,MONTH($A1528),DAY($A1528)),$A:$A,0))-1),"")</f>
        <v/>
      </c>
      <c r="M1528" s="19">
        <f>IF(OR(E1528="",E1527=""),"",E1528/E1527-1)</f>
        <v/>
      </c>
      <c r="N1528" s="19">
        <f>IF(OR(F1528="",F1527=""),"",F1528/F1527-1)</f>
        <v/>
      </c>
      <c r="O1528" s="19">
        <f>IF(OR(G1528="",G1527=""),"",G1528/G1527-1)</f>
        <v/>
      </c>
      <c r="P1528" s="22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IF(R1528="","",P1528/R1528)</f>
        <v/>
      </c>
      <c r="T1528" s="23">
        <f>IF(R1528="","",Q1528/R1528)</f>
        <v/>
      </c>
      <c r="U1528" s="24">
        <f>IF(SUMIFS('Daily NSE Equity Options'!$M:$M,'Daily NSE Equity Options'!$A:$A,$A1528)=0,"",SUMIFS('Daily NSE Equity Options'!$M:$M,'Daily NSE Equity Options'!$A:$A,$A1528))</f>
        <v/>
      </c>
      <c r="V1528" s="9">
        <f>IF(SUMIFS('Daily BSE Equity Options'!$M:$M,'Daily BSE Equity Options'!$A:$A,$A1528)=0,"",SUMIFS('Daily BSE Equity Options'!$M:$M,'Daily BSE Equity Options'!$A:$A,$A1528))</f>
        <v/>
      </c>
      <c r="W1528" s="9">
        <f>IF(OR(U1528="",V1528=""),"",U1528+V1528)</f>
        <v/>
      </c>
      <c r="X1528" s="25">
        <f>IF(W1528="","",U1528/W1528)</f>
        <v/>
      </c>
      <c r="Y1528" s="25">
        <f>IF(W1528="","",V1528/W1528)</f>
        <v/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19">
        <f>IF(G1529="","",E1529/G1529)</f>
        <v/>
      </c>
      <c r="I1529" s="19">
        <f>IF(G1529="","",F1529/G1529)</f>
        <v/>
      </c>
      <c r="J1529" s="26">
        <f>IFERROR(IF(OR(E1529="",INDEX(E:E,MATCH(DATE(YEAR($A1529)-1,MONTH($A1529),DAY($A1529)),$A:$A,0))=""),"",E1529/INDEX(E:E,MATCH(DATE(YEAR($A1529)-1,MONTH($A1529),DAY($A1529)),$A:$A,0))-1),"")</f>
        <v/>
      </c>
      <c r="K1529" s="19">
        <f>IFERROR(IF(OR(F1529="",INDEX(F:F,MATCH(DATE(YEAR($A1529)-1,MONTH($A1529),DAY($A1529)),$A:$A,0))=""),"",F1529/INDEX(F:F,MATCH(DATE(YEAR($A1529)-1,MONTH($A1529),DAY($A1529)),$A:$A,0))-1),"")</f>
        <v/>
      </c>
      <c r="L1529" s="19">
        <f>IFERROR(IF(OR(G1529="",INDEX(G:G,MATCH(DATE(YEAR($A1529)-1,MONTH($A1529),DAY($A1529)),$A:$A,0))=""),"",G1529/INDEX(G:G,MATCH(DATE(YEAR($A1529)-1,MONTH($A1529),DAY($A1529)),$A:$A,0))-1),"")</f>
        <v/>
      </c>
      <c r="M1529" s="19">
        <f>IF(OR(E1529="",E1528=""),"",E1529/E1528-1)</f>
        <v/>
      </c>
      <c r="N1529" s="19">
        <f>IF(OR(F1529="",F1528=""),"",F1529/F1528-1)</f>
        <v/>
      </c>
      <c r="O1529" s="19">
        <f>IF(OR(G1529="",G1528=""),"",G1529/G1528-1)</f>
        <v/>
      </c>
      <c r="P1529" s="22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IF(R1529="","",P1529/R1529)</f>
        <v/>
      </c>
      <c r="T1529" s="23">
        <f>IF(R1529="","",Q1529/R1529)</f>
        <v/>
      </c>
      <c r="U1529" s="24">
        <f>IF(SUMIFS('Daily NSE Equity Options'!$M:$M,'Daily NSE Equity Options'!$A:$A,$A1529)=0,"",SUMIFS('Daily NSE Equity Options'!$M:$M,'Daily NSE Equity Options'!$A:$A,$A1529))</f>
        <v/>
      </c>
      <c r="V1529" s="9">
        <f>IF(SUMIFS('Daily BSE Equity Options'!$M:$M,'Daily BSE Equity Options'!$A:$A,$A1529)=0,"",SUMIFS('Daily BSE Equity Options'!$M:$M,'Daily BSE Equity Options'!$A:$A,$A1529))</f>
        <v/>
      </c>
      <c r="W1529" s="9">
        <f>IF(OR(U1529="",V1529=""),"",U1529+V1529)</f>
        <v/>
      </c>
      <c r="X1529" s="25">
        <f>IF(W1529="","",U1529/W1529)</f>
        <v/>
      </c>
      <c r="Y1529" s="25">
        <f>IF(W1529="","",V1529/W1529)</f>
        <v/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19">
        <f>IF(G1530="","",E1530/G1530)</f>
        <v/>
      </c>
      <c r="I1530" s="19">
        <f>IF(G1530="","",F1530/G1530)</f>
        <v/>
      </c>
      <c r="J1530" s="26">
        <f>IFERROR(IF(OR(E1530="",INDEX(E:E,MATCH(DATE(YEAR($A1530)-1,MONTH($A1530),DAY($A1530)),$A:$A,0))=""),"",E1530/INDEX(E:E,MATCH(DATE(YEAR($A1530)-1,MONTH($A1530),DAY($A1530)),$A:$A,0))-1),"")</f>
        <v/>
      </c>
      <c r="K1530" s="19">
        <f>IFERROR(IF(OR(F1530="",INDEX(F:F,MATCH(DATE(YEAR($A1530)-1,MONTH($A1530),DAY($A1530)),$A:$A,0))=""),"",F1530/INDEX(F:F,MATCH(DATE(YEAR($A1530)-1,MONTH($A1530),DAY($A1530)),$A:$A,0))-1),"")</f>
        <v/>
      </c>
      <c r="L1530" s="19">
        <f>IFERROR(IF(OR(G1530="",INDEX(G:G,MATCH(DATE(YEAR($A1530)-1,MONTH($A1530),DAY($A1530)),$A:$A,0))=""),"",G1530/INDEX(G:G,MATCH(DATE(YEAR($A1530)-1,MONTH($A1530),DAY($A1530)),$A:$A,0))-1),"")</f>
        <v/>
      </c>
      <c r="M1530" s="19">
        <f>IF(OR(E1530="",E1529=""),"",E1530/E1529-1)</f>
        <v/>
      </c>
      <c r="N1530" s="19">
        <f>IF(OR(F1530="",F1529=""),"",F1530/F1529-1)</f>
        <v/>
      </c>
      <c r="O1530" s="19">
        <f>IF(OR(G1530="",G1529=""),"",G1530/G1529-1)</f>
        <v/>
      </c>
      <c r="P1530" s="22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IF(R1530="","",P1530/R1530)</f>
        <v/>
      </c>
      <c r="T1530" s="23">
        <f>IF(R1530="","",Q1530/R1530)</f>
        <v/>
      </c>
      <c r="U1530" s="24">
        <f>IF(SUMIFS('Daily NSE Equity Options'!$M:$M,'Daily NSE Equity Options'!$A:$A,$A1530)=0,"",SUMIFS('Daily NSE Equity Options'!$M:$M,'Daily NSE Equity Options'!$A:$A,$A1530))</f>
        <v/>
      </c>
      <c r="V1530" s="9">
        <f>IF(SUMIFS('Daily BSE Equity Options'!$M:$M,'Daily BSE Equity Options'!$A:$A,$A1530)=0,"",SUMIFS('Daily BSE Equity Options'!$M:$M,'Daily BSE Equity Options'!$A:$A,$A1530))</f>
        <v/>
      </c>
      <c r="W1530" s="9">
        <f>IF(OR(U1530="",V1530=""),"",U1530+V1530)</f>
        <v/>
      </c>
      <c r="X1530" s="25">
        <f>IF(W1530="","",U1530/W1530)</f>
        <v/>
      </c>
      <c r="Y1530" s="25">
        <f>IF(W1530="","",V1530/W1530)</f>
        <v/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19">
        <f>IF(G1531="","",E1531/G1531)</f>
        <v/>
      </c>
      <c r="I1531" s="19">
        <f>IF(G1531="","",F1531/G1531)</f>
        <v/>
      </c>
      <c r="J1531" s="26">
        <f>IFERROR(IF(OR(E1531="",INDEX(E:E,MATCH(DATE(YEAR($A1531)-1,MONTH($A1531),DAY($A1531)),$A:$A,0))=""),"",E1531/INDEX(E:E,MATCH(DATE(YEAR($A1531)-1,MONTH($A1531),DAY($A1531)),$A:$A,0))-1),"")</f>
        <v/>
      </c>
      <c r="K1531" s="19">
        <f>IFERROR(IF(OR(F1531="",INDEX(F:F,MATCH(DATE(YEAR($A1531)-1,MONTH($A1531),DAY($A1531)),$A:$A,0))=""),"",F1531/INDEX(F:F,MATCH(DATE(YEAR($A1531)-1,MONTH($A1531),DAY($A1531)),$A:$A,0))-1),"")</f>
        <v/>
      </c>
      <c r="L1531" s="19">
        <f>IFERROR(IF(OR(G1531="",INDEX(G:G,MATCH(DATE(YEAR($A1531)-1,MONTH($A1531),DAY($A1531)),$A:$A,0))=""),"",G1531/INDEX(G:G,MATCH(DATE(YEAR($A1531)-1,MONTH($A1531),DAY($A1531)),$A:$A,0))-1),"")</f>
        <v/>
      </c>
      <c r="M1531" s="19">
        <f>IF(OR(E1531="",E1530=""),"",E1531/E1530-1)</f>
        <v/>
      </c>
      <c r="N1531" s="19">
        <f>IF(OR(F1531="",F1530=""),"",F1531/F1530-1)</f>
        <v/>
      </c>
      <c r="O1531" s="19">
        <f>IF(OR(G1531="",G1530=""),"",G1531/G1530-1)</f>
        <v/>
      </c>
      <c r="P1531" s="22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IF(R1531="","",P1531/R1531)</f>
        <v/>
      </c>
      <c r="T1531" s="23">
        <f>IF(R1531="","",Q1531/R1531)</f>
        <v/>
      </c>
      <c r="U1531" s="24">
        <f>IF(SUMIFS('Daily NSE Equity Options'!$M:$M,'Daily NSE Equity Options'!$A:$A,$A1531)=0,"",SUMIFS('Daily NSE Equity Options'!$M:$M,'Daily NSE Equity Options'!$A:$A,$A1531))</f>
        <v/>
      </c>
      <c r="V1531" s="9">
        <f>IF(SUMIFS('Daily BSE Equity Options'!$M:$M,'Daily BSE Equity Options'!$A:$A,$A1531)=0,"",SUMIFS('Daily BSE Equity Options'!$M:$M,'Daily BSE Equity Options'!$A:$A,$A1531))</f>
        <v/>
      </c>
      <c r="W1531" s="9">
        <f>IF(OR(U1531="",V1531=""),"",U1531+V1531)</f>
        <v/>
      </c>
      <c r="X1531" s="25">
        <f>IF(W1531="","",U1531/W1531)</f>
        <v/>
      </c>
      <c r="Y1531" s="25">
        <f>IF(W1531="","",V1531/W1531)</f>
        <v/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19">
        <f>IF(G1532="","",E1532/G1532)</f>
        <v/>
      </c>
      <c r="I1532" s="19">
        <f>IF(G1532="","",F1532/G1532)</f>
        <v/>
      </c>
      <c r="J1532" s="26">
        <f>IFERROR(IF(OR(E1532="",INDEX(E:E,MATCH(DATE(YEAR($A1532)-1,MONTH($A1532),DAY($A1532)),$A:$A,0))=""),"",E1532/INDEX(E:E,MATCH(DATE(YEAR($A1532)-1,MONTH($A1532),DAY($A1532)),$A:$A,0))-1),"")</f>
        <v/>
      </c>
      <c r="K1532" s="19">
        <f>IFERROR(IF(OR(F1532="",INDEX(F:F,MATCH(DATE(YEAR($A1532)-1,MONTH($A1532),DAY($A1532)),$A:$A,0))=""),"",F1532/INDEX(F:F,MATCH(DATE(YEAR($A1532)-1,MONTH($A1532),DAY($A1532)),$A:$A,0))-1),"")</f>
        <v/>
      </c>
      <c r="L1532" s="19">
        <f>IFERROR(IF(OR(G1532="",INDEX(G:G,MATCH(DATE(YEAR($A1532)-1,MONTH($A1532),DAY($A1532)),$A:$A,0))=""),"",G1532/INDEX(G:G,MATCH(DATE(YEAR($A1532)-1,MONTH($A1532),DAY($A1532)),$A:$A,0))-1),"")</f>
        <v/>
      </c>
      <c r="M1532" s="19">
        <f>IF(OR(E1532="",E1531=""),"",E1532/E1531-1)</f>
        <v/>
      </c>
      <c r="N1532" s="19">
        <f>IF(OR(F1532="",F1531=""),"",F1532/F1531-1)</f>
        <v/>
      </c>
      <c r="O1532" s="19">
        <f>IF(OR(G1532="",G1531=""),"",G1532/G1531-1)</f>
        <v/>
      </c>
      <c r="P1532" s="22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IF(R1532="","",P1532/R1532)</f>
        <v/>
      </c>
      <c r="T1532" s="23">
        <f>IF(R1532="","",Q1532/R1532)</f>
        <v/>
      </c>
      <c r="U1532" s="24">
        <f>IF(SUMIFS('Daily NSE Equity Options'!$M:$M,'Daily NSE Equity Options'!$A:$A,$A1532)=0,"",SUMIFS('Daily NSE Equity Options'!$M:$M,'Daily NSE Equity Options'!$A:$A,$A1532))</f>
        <v/>
      </c>
      <c r="V1532" s="9">
        <f>IF(SUMIFS('Daily BSE Equity Options'!$M:$M,'Daily BSE Equity Options'!$A:$A,$A1532)=0,"",SUMIFS('Daily BSE Equity Options'!$M:$M,'Daily BSE Equity Options'!$A:$A,$A1532))</f>
        <v/>
      </c>
      <c r="W1532" s="9">
        <f>IF(OR(U1532="",V1532=""),"",U1532+V1532)</f>
        <v/>
      </c>
      <c r="X1532" s="25">
        <f>IF(W1532="","",U1532/W1532)</f>
        <v/>
      </c>
      <c r="Y1532" s="25">
        <f>IF(W1532="","",V1532/W1532)</f>
        <v/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19">
        <f>IF(G1533="","",E1533/G1533)</f>
        <v/>
      </c>
      <c r="I1533" s="19">
        <f>IF(G1533="","",F1533/G1533)</f>
        <v/>
      </c>
      <c r="J1533" s="26">
        <f>IFERROR(IF(OR(E1533="",INDEX(E:E,MATCH(DATE(YEAR($A1533)-1,MONTH($A1533),DAY($A1533)),$A:$A,0))=""),"",E1533/INDEX(E:E,MATCH(DATE(YEAR($A1533)-1,MONTH($A1533),DAY($A1533)),$A:$A,0))-1),"")</f>
        <v/>
      </c>
      <c r="K1533" s="19">
        <f>IFERROR(IF(OR(F1533="",INDEX(F:F,MATCH(DATE(YEAR($A1533)-1,MONTH($A1533),DAY($A1533)),$A:$A,0))=""),"",F1533/INDEX(F:F,MATCH(DATE(YEAR($A1533)-1,MONTH($A1533),DAY($A1533)),$A:$A,0))-1),"")</f>
        <v/>
      </c>
      <c r="L1533" s="19">
        <f>IFERROR(IF(OR(G1533="",INDEX(G:G,MATCH(DATE(YEAR($A1533)-1,MONTH($A1533),DAY($A1533)),$A:$A,0))=""),"",G1533/INDEX(G:G,MATCH(DATE(YEAR($A1533)-1,MONTH($A1533),DAY($A1533)),$A:$A,0))-1),"")</f>
        <v/>
      </c>
      <c r="M1533" s="19">
        <f>IF(OR(E1533="",E1532=""),"",E1533/E1532-1)</f>
        <v/>
      </c>
      <c r="N1533" s="19">
        <f>IF(OR(F1533="",F1532=""),"",F1533/F1532-1)</f>
        <v/>
      </c>
      <c r="O1533" s="19">
        <f>IF(OR(G1533="",G1532=""),"",G1533/G1532-1)</f>
        <v/>
      </c>
      <c r="P1533" s="22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IF(R1533="","",P1533/R1533)</f>
        <v/>
      </c>
      <c r="T1533" s="23">
        <f>IF(R1533="","",Q1533/R1533)</f>
        <v/>
      </c>
      <c r="U1533" s="24">
        <f>IF(SUMIFS('Daily NSE Equity Options'!$M:$M,'Daily NSE Equity Options'!$A:$A,$A1533)=0,"",SUMIFS('Daily NSE Equity Options'!$M:$M,'Daily NSE Equity Options'!$A:$A,$A1533))</f>
        <v/>
      </c>
      <c r="V1533" s="9">
        <f>IF(SUMIFS('Daily BSE Equity Options'!$M:$M,'Daily BSE Equity Options'!$A:$A,$A1533)=0,"",SUMIFS('Daily BSE Equity Options'!$M:$M,'Daily BSE Equity Options'!$A:$A,$A1533))</f>
        <v/>
      </c>
      <c r="W1533" s="9">
        <f>IF(OR(U1533="",V1533=""),"",U1533+V1533)</f>
        <v/>
      </c>
      <c r="X1533" s="25">
        <f>IF(W1533="","",U1533/W1533)</f>
        <v/>
      </c>
      <c r="Y1533" s="25">
        <f>IF(W1533="","",V1533/W1533)</f>
        <v/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19">
        <f>IF(G1534="","",E1534/G1534)</f>
        <v/>
      </c>
      <c r="I1534" s="19">
        <f>IF(G1534="","",F1534/G1534)</f>
        <v/>
      </c>
      <c r="J1534" s="26">
        <f>IFERROR(IF(OR(E1534="",INDEX(E:E,MATCH(DATE(YEAR($A1534)-1,MONTH($A1534),DAY($A1534)),$A:$A,0))=""),"",E1534/INDEX(E:E,MATCH(DATE(YEAR($A1534)-1,MONTH($A1534),DAY($A1534)),$A:$A,0))-1),"")</f>
        <v/>
      </c>
      <c r="K1534" s="19">
        <f>IFERROR(IF(OR(F1534="",INDEX(F:F,MATCH(DATE(YEAR($A1534)-1,MONTH($A1534),DAY($A1534)),$A:$A,0))=""),"",F1534/INDEX(F:F,MATCH(DATE(YEAR($A1534)-1,MONTH($A1534),DAY($A1534)),$A:$A,0))-1),"")</f>
        <v/>
      </c>
      <c r="L1534" s="19">
        <f>IFERROR(IF(OR(G1534="",INDEX(G:G,MATCH(DATE(YEAR($A1534)-1,MONTH($A1534),DAY($A1534)),$A:$A,0))=""),"",G1534/INDEX(G:G,MATCH(DATE(YEAR($A1534)-1,MONTH($A1534),DAY($A1534)),$A:$A,0))-1),"")</f>
        <v/>
      </c>
      <c r="M1534" s="19">
        <f>IF(OR(E1534="",E1533=""),"",E1534/E1533-1)</f>
        <v/>
      </c>
      <c r="N1534" s="19">
        <f>IF(OR(F1534="",F1533=""),"",F1534/F1533-1)</f>
        <v/>
      </c>
      <c r="O1534" s="19">
        <f>IF(OR(G1534="",G1533=""),"",G1534/G1533-1)</f>
        <v/>
      </c>
      <c r="P1534" s="22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IF(R1534="","",P1534/R1534)</f>
        <v/>
      </c>
      <c r="T1534" s="23">
        <f>IF(R1534="","",Q1534/R1534)</f>
        <v/>
      </c>
      <c r="U1534" s="24">
        <f>IF(SUMIFS('Daily NSE Equity Options'!$M:$M,'Daily NSE Equity Options'!$A:$A,$A1534)=0,"",SUMIFS('Daily NSE Equity Options'!$M:$M,'Daily NSE Equity Options'!$A:$A,$A1534))</f>
        <v/>
      </c>
      <c r="V1534" s="9">
        <f>IF(SUMIFS('Daily BSE Equity Options'!$M:$M,'Daily BSE Equity Options'!$A:$A,$A1534)=0,"",SUMIFS('Daily BSE Equity Options'!$M:$M,'Daily BSE Equity Options'!$A:$A,$A1534))</f>
        <v/>
      </c>
      <c r="W1534" s="9">
        <f>IF(OR(U1534="",V1534=""),"",U1534+V1534)</f>
        <v/>
      </c>
      <c r="X1534" s="25">
        <f>IF(W1534="","",U1534/W1534)</f>
        <v/>
      </c>
      <c r="Y1534" s="25">
        <f>IF(W1534="","",V1534/W1534)</f>
        <v/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19">
        <f>IF(G1535="","",E1535/G1535)</f>
        <v/>
      </c>
      <c r="I1535" s="19">
        <f>IF(G1535="","",F1535/G1535)</f>
        <v/>
      </c>
      <c r="J1535" s="26">
        <f>IFERROR(IF(OR(E1535="",INDEX(E:E,MATCH(DATE(YEAR($A1535)-1,MONTH($A1535),DAY($A1535)),$A:$A,0))=""),"",E1535/INDEX(E:E,MATCH(DATE(YEAR($A1535)-1,MONTH($A1535),DAY($A1535)),$A:$A,0))-1),"")</f>
        <v/>
      </c>
      <c r="K1535" s="19">
        <f>IFERROR(IF(OR(F1535="",INDEX(F:F,MATCH(DATE(YEAR($A1535)-1,MONTH($A1535),DAY($A1535)),$A:$A,0))=""),"",F1535/INDEX(F:F,MATCH(DATE(YEAR($A1535)-1,MONTH($A1535),DAY($A1535)),$A:$A,0))-1),"")</f>
        <v/>
      </c>
      <c r="L1535" s="19">
        <f>IFERROR(IF(OR(G1535="",INDEX(G:G,MATCH(DATE(YEAR($A1535)-1,MONTH($A1535),DAY($A1535)),$A:$A,0))=""),"",G1535/INDEX(G:G,MATCH(DATE(YEAR($A1535)-1,MONTH($A1535),DAY($A1535)),$A:$A,0))-1),"")</f>
        <v/>
      </c>
      <c r="M1535" s="19">
        <f>IF(OR(E1535="",E1534=""),"",E1535/E1534-1)</f>
        <v/>
      </c>
      <c r="N1535" s="19">
        <f>IF(OR(F1535="",F1534=""),"",F1535/F1534-1)</f>
        <v/>
      </c>
      <c r="O1535" s="19">
        <f>IF(OR(G1535="",G1534=""),"",G1535/G1534-1)</f>
        <v/>
      </c>
      <c r="P1535" s="22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IF(R1535="","",P1535/R1535)</f>
        <v/>
      </c>
      <c r="T1535" s="23">
        <f>IF(R1535="","",Q1535/R1535)</f>
        <v/>
      </c>
      <c r="U1535" s="24">
        <f>IF(SUMIFS('Daily NSE Equity Options'!$M:$M,'Daily NSE Equity Options'!$A:$A,$A1535)=0,"",SUMIFS('Daily NSE Equity Options'!$M:$M,'Daily NSE Equity Options'!$A:$A,$A1535))</f>
        <v/>
      </c>
      <c r="V1535" s="9">
        <f>IF(SUMIFS('Daily BSE Equity Options'!$M:$M,'Daily BSE Equity Options'!$A:$A,$A1535)=0,"",SUMIFS('Daily BSE Equity Options'!$M:$M,'Daily BSE Equity Options'!$A:$A,$A1535))</f>
        <v/>
      </c>
      <c r="W1535" s="9">
        <f>IF(OR(U1535="",V1535=""),"",U1535+V1535)</f>
        <v/>
      </c>
      <c r="X1535" s="25">
        <f>IF(W1535="","",U1535/W1535)</f>
        <v/>
      </c>
      <c r="Y1535" s="25">
        <f>IF(W1535="","",V1535/W1535)</f>
        <v/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19">
        <f>IF(G1536="","",E1536/G1536)</f>
        <v/>
      </c>
      <c r="I1536" s="19">
        <f>IF(G1536="","",F1536/G1536)</f>
        <v/>
      </c>
      <c r="J1536" s="26">
        <f>IFERROR(IF(OR(E1536="",INDEX(E:E,MATCH(DATE(YEAR($A1536)-1,MONTH($A1536),DAY($A1536)),$A:$A,0))=""),"",E1536/INDEX(E:E,MATCH(DATE(YEAR($A1536)-1,MONTH($A1536),DAY($A1536)),$A:$A,0))-1),"")</f>
        <v/>
      </c>
      <c r="K1536" s="19">
        <f>IFERROR(IF(OR(F1536="",INDEX(F:F,MATCH(DATE(YEAR($A1536)-1,MONTH($A1536),DAY($A1536)),$A:$A,0))=""),"",F1536/INDEX(F:F,MATCH(DATE(YEAR($A1536)-1,MONTH($A1536),DAY($A1536)),$A:$A,0))-1),"")</f>
        <v/>
      </c>
      <c r="L1536" s="19">
        <f>IFERROR(IF(OR(G1536="",INDEX(G:G,MATCH(DATE(YEAR($A1536)-1,MONTH($A1536),DAY($A1536)),$A:$A,0))=""),"",G1536/INDEX(G:G,MATCH(DATE(YEAR($A1536)-1,MONTH($A1536),DAY($A1536)),$A:$A,0))-1),"")</f>
        <v/>
      </c>
      <c r="M1536" s="19">
        <f>IF(OR(E1536="",E1535=""),"",E1536/E1535-1)</f>
        <v/>
      </c>
      <c r="N1536" s="19">
        <f>IF(OR(F1536="",F1535=""),"",F1536/F1535-1)</f>
        <v/>
      </c>
      <c r="O1536" s="19">
        <f>IF(OR(G1536="",G1535=""),"",G1536/G1535-1)</f>
        <v/>
      </c>
      <c r="P1536" s="22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IF(R1536="","",P1536/R1536)</f>
        <v/>
      </c>
      <c r="T1536" s="23">
        <f>IF(R1536="","",Q1536/R1536)</f>
        <v/>
      </c>
      <c r="U1536" s="24">
        <f>IF(SUMIFS('Daily NSE Equity Options'!$M:$M,'Daily NSE Equity Options'!$A:$A,$A1536)=0,"",SUMIFS('Daily NSE Equity Options'!$M:$M,'Daily NSE Equity Options'!$A:$A,$A1536))</f>
        <v/>
      </c>
      <c r="V1536" s="9">
        <f>IF(SUMIFS('Daily BSE Equity Options'!$M:$M,'Daily BSE Equity Options'!$A:$A,$A1536)=0,"",SUMIFS('Daily BSE Equity Options'!$M:$M,'Daily BSE Equity Options'!$A:$A,$A1536))</f>
        <v/>
      </c>
      <c r="W1536" s="9">
        <f>IF(OR(U1536="",V1536=""),"",U1536+V1536)</f>
        <v/>
      </c>
      <c r="X1536" s="25">
        <f>IF(W1536="","",U1536/W1536)</f>
        <v/>
      </c>
      <c r="Y1536" s="25">
        <f>IF(W1536="","",V1536/W1536)</f>
        <v/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19">
        <f>IF(G1537="","",E1537/G1537)</f>
        <v/>
      </c>
      <c r="I1537" s="19">
        <f>IF(G1537="","",F1537/G1537)</f>
        <v/>
      </c>
      <c r="J1537" s="26">
        <f>IFERROR(IF(OR(E1537="",INDEX(E:E,MATCH(DATE(YEAR($A1537)-1,MONTH($A1537),DAY($A1537)),$A:$A,0))=""),"",E1537/INDEX(E:E,MATCH(DATE(YEAR($A1537)-1,MONTH($A1537),DAY($A1537)),$A:$A,0))-1),"")</f>
        <v/>
      </c>
      <c r="K1537" s="19">
        <f>IFERROR(IF(OR(F1537="",INDEX(F:F,MATCH(DATE(YEAR($A1537)-1,MONTH($A1537),DAY($A1537)),$A:$A,0))=""),"",F1537/INDEX(F:F,MATCH(DATE(YEAR($A1537)-1,MONTH($A1537),DAY($A1537)),$A:$A,0))-1),"")</f>
        <v/>
      </c>
      <c r="L1537" s="19">
        <f>IFERROR(IF(OR(G1537="",INDEX(G:G,MATCH(DATE(YEAR($A1537)-1,MONTH($A1537),DAY($A1537)),$A:$A,0))=""),"",G1537/INDEX(G:G,MATCH(DATE(YEAR($A1537)-1,MONTH($A1537),DAY($A1537)),$A:$A,0))-1),"")</f>
        <v/>
      </c>
      <c r="M1537" s="19">
        <f>IF(OR(E1537="",E1536=""),"",E1537/E1536-1)</f>
        <v/>
      </c>
      <c r="N1537" s="19">
        <f>IF(OR(F1537="",F1536=""),"",F1537/F1536-1)</f>
        <v/>
      </c>
      <c r="O1537" s="19">
        <f>IF(OR(G1537="",G1536=""),"",G1537/G1536-1)</f>
        <v/>
      </c>
      <c r="P1537" s="22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IF(R1537="","",P1537/R1537)</f>
        <v/>
      </c>
      <c r="T1537" s="23">
        <f>IF(R1537="","",Q1537/R1537)</f>
        <v/>
      </c>
      <c r="U1537" s="24">
        <f>IF(SUMIFS('Daily NSE Equity Options'!$M:$M,'Daily NSE Equity Options'!$A:$A,$A1537)=0,"",SUMIFS('Daily NSE Equity Options'!$M:$M,'Daily NSE Equity Options'!$A:$A,$A1537))</f>
        <v/>
      </c>
      <c r="V1537" s="9">
        <f>IF(SUMIFS('Daily BSE Equity Options'!$M:$M,'Daily BSE Equity Options'!$A:$A,$A1537)=0,"",SUMIFS('Daily BSE Equity Options'!$M:$M,'Daily BSE Equity Options'!$A:$A,$A1537))</f>
        <v/>
      </c>
      <c r="W1537" s="9">
        <f>IF(OR(U1537="",V1537=""),"",U1537+V1537)</f>
        <v/>
      </c>
      <c r="X1537" s="25">
        <f>IF(W1537="","",U1537/W1537)</f>
        <v/>
      </c>
      <c r="Y1537" s="25">
        <f>IF(W1537="","",V1537/W1537)</f>
        <v/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19">
        <f>IF(G1538="","",E1538/G1538)</f>
        <v/>
      </c>
      <c r="I1538" s="19">
        <f>IF(G1538="","",F1538/G1538)</f>
        <v/>
      </c>
      <c r="J1538" s="26">
        <f>IFERROR(IF(OR(E1538="",INDEX(E:E,MATCH(DATE(YEAR($A1538)-1,MONTH($A1538),DAY($A1538)),$A:$A,0))=""),"",E1538/INDEX(E:E,MATCH(DATE(YEAR($A1538)-1,MONTH($A1538),DAY($A1538)),$A:$A,0))-1),"")</f>
        <v/>
      </c>
      <c r="K1538" s="19">
        <f>IFERROR(IF(OR(F1538="",INDEX(F:F,MATCH(DATE(YEAR($A1538)-1,MONTH($A1538),DAY($A1538)),$A:$A,0))=""),"",F1538/INDEX(F:F,MATCH(DATE(YEAR($A1538)-1,MONTH($A1538),DAY($A1538)),$A:$A,0))-1),"")</f>
        <v/>
      </c>
      <c r="L1538" s="19">
        <f>IFERROR(IF(OR(G1538="",INDEX(G:G,MATCH(DATE(YEAR($A1538)-1,MONTH($A1538),DAY($A1538)),$A:$A,0))=""),"",G1538/INDEX(G:G,MATCH(DATE(YEAR($A1538)-1,MONTH($A1538),DAY($A1538)),$A:$A,0))-1),"")</f>
        <v/>
      </c>
      <c r="M1538" s="19">
        <f>IF(OR(E1538="",E1537=""),"",E1538/E1537-1)</f>
        <v/>
      </c>
      <c r="N1538" s="19">
        <f>IF(OR(F1538="",F1537=""),"",F1538/F1537-1)</f>
        <v/>
      </c>
      <c r="O1538" s="19">
        <f>IF(OR(G1538="",G1537=""),"",G1538/G1537-1)</f>
        <v/>
      </c>
      <c r="P1538" s="22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IF(R1538="","",P1538/R1538)</f>
        <v/>
      </c>
      <c r="T1538" s="23">
        <f>IF(R1538="","",Q1538/R1538)</f>
        <v/>
      </c>
      <c r="U1538" s="24">
        <f>IF(SUMIFS('Daily NSE Equity Options'!$M:$M,'Daily NSE Equity Options'!$A:$A,$A1538)=0,"",SUMIFS('Daily NSE Equity Options'!$M:$M,'Daily NSE Equity Options'!$A:$A,$A1538))</f>
        <v/>
      </c>
      <c r="V1538" s="9">
        <f>IF(SUMIFS('Daily BSE Equity Options'!$M:$M,'Daily BSE Equity Options'!$A:$A,$A1538)=0,"",SUMIFS('Daily BSE Equity Options'!$M:$M,'Daily BSE Equity Options'!$A:$A,$A1538))</f>
        <v/>
      </c>
      <c r="W1538" s="9">
        <f>IF(OR(U1538="",V1538=""),"",U1538+V1538)</f>
        <v/>
      </c>
      <c r="X1538" s="25">
        <f>IF(W1538="","",U1538/W1538)</f>
        <v/>
      </c>
      <c r="Y1538" s="25">
        <f>IF(W1538="","",V1538/W1538)</f>
        <v/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19">
        <f>IF(G1539="","",E1539/G1539)</f>
        <v/>
      </c>
      <c r="I1539" s="19">
        <f>IF(G1539="","",F1539/G1539)</f>
        <v/>
      </c>
      <c r="J1539" s="26">
        <f>IFERROR(IF(OR(E1539="",INDEX(E:E,MATCH(DATE(YEAR($A1539)-1,MONTH($A1539),DAY($A1539)),$A:$A,0))=""),"",E1539/INDEX(E:E,MATCH(DATE(YEAR($A1539)-1,MONTH($A1539),DAY($A1539)),$A:$A,0))-1),"")</f>
        <v/>
      </c>
      <c r="K1539" s="19">
        <f>IFERROR(IF(OR(F1539="",INDEX(F:F,MATCH(DATE(YEAR($A1539)-1,MONTH($A1539),DAY($A1539)),$A:$A,0))=""),"",F1539/INDEX(F:F,MATCH(DATE(YEAR($A1539)-1,MONTH($A1539),DAY($A1539)),$A:$A,0))-1),"")</f>
        <v/>
      </c>
      <c r="L1539" s="19">
        <f>IFERROR(IF(OR(G1539="",INDEX(G:G,MATCH(DATE(YEAR($A1539)-1,MONTH($A1539),DAY($A1539)),$A:$A,0))=""),"",G1539/INDEX(G:G,MATCH(DATE(YEAR($A1539)-1,MONTH($A1539),DAY($A1539)),$A:$A,0))-1),"")</f>
        <v/>
      </c>
      <c r="M1539" s="19">
        <f>IF(OR(E1539="",E1538=""),"",E1539/E1538-1)</f>
        <v/>
      </c>
      <c r="N1539" s="19">
        <f>IF(OR(F1539="",F1538=""),"",F1539/F1538-1)</f>
        <v/>
      </c>
      <c r="O1539" s="19">
        <f>IF(OR(G1539="",G1538=""),"",G1539/G1538-1)</f>
        <v/>
      </c>
      <c r="P1539" s="22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IF(R1539="","",P1539/R1539)</f>
        <v/>
      </c>
      <c r="T1539" s="23">
        <f>IF(R1539="","",Q1539/R1539)</f>
        <v/>
      </c>
      <c r="U1539" s="24">
        <f>IF(SUMIFS('Daily NSE Equity Options'!$M:$M,'Daily NSE Equity Options'!$A:$A,$A1539)=0,"",SUMIFS('Daily NSE Equity Options'!$M:$M,'Daily NSE Equity Options'!$A:$A,$A1539))</f>
        <v/>
      </c>
      <c r="V1539" s="9">
        <f>IF(SUMIFS('Daily BSE Equity Options'!$M:$M,'Daily BSE Equity Options'!$A:$A,$A1539)=0,"",SUMIFS('Daily BSE Equity Options'!$M:$M,'Daily BSE Equity Options'!$A:$A,$A1539))</f>
        <v/>
      </c>
      <c r="W1539" s="9">
        <f>IF(OR(U1539="",V1539=""),"",U1539+V1539)</f>
        <v/>
      </c>
      <c r="X1539" s="25">
        <f>IF(W1539="","",U1539/W1539)</f>
        <v/>
      </c>
      <c r="Y1539" s="25">
        <f>IF(W1539="","",V1539/W1539)</f>
        <v/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19">
        <f>IF(G1540="","",E1540/G1540)</f>
        <v/>
      </c>
      <c r="I1540" s="19">
        <f>IF(G1540="","",F1540/G1540)</f>
        <v/>
      </c>
      <c r="J1540" s="26">
        <f>IFERROR(IF(OR(E1540="",INDEX(E:E,MATCH(DATE(YEAR($A1540)-1,MONTH($A1540),DAY($A1540)),$A:$A,0))=""),"",E1540/INDEX(E:E,MATCH(DATE(YEAR($A1540)-1,MONTH($A1540),DAY($A1540)),$A:$A,0))-1),"")</f>
        <v/>
      </c>
      <c r="K1540" s="19">
        <f>IFERROR(IF(OR(F1540="",INDEX(F:F,MATCH(DATE(YEAR($A1540)-1,MONTH($A1540),DAY($A1540)),$A:$A,0))=""),"",F1540/INDEX(F:F,MATCH(DATE(YEAR($A1540)-1,MONTH($A1540),DAY($A1540)),$A:$A,0))-1),"")</f>
        <v/>
      </c>
      <c r="L1540" s="19">
        <f>IFERROR(IF(OR(G1540="",INDEX(G:G,MATCH(DATE(YEAR($A1540)-1,MONTH($A1540),DAY($A1540)),$A:$A,0))=""),"",G1540/INDEX(G:G,MATCH(DATE(YEAR($A1540)-1,MONTH($A1540),DAY($A1540)),$A:$A,0))-1),"")</f>
        <v/>
      </c>
      <c r="M1540" s="19">
        <f>IF(OR(E1540="",E1539=""),"",E1540/E1539-1)</f>
        <v/>
      </c>
      <c r="N1540" s="19">
        <f>IF(OR(F1540="",F1539=""),"",F1540/F1539-1)</f>
        <v/>
      </c>
      <c r="O1540" s="19">
        <f>IF(OR(G1540="",G1539=""),"",G1540/G1539-1)</f>
        <v/>
      </c>
      <c r="P1540" s="22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IF(R1540="","",P1540/R1540)</f>
        <v/>
      </c>
      <c r="T1540" s="23">
        <f>IF(R1540="","",Q1540/R1540)</f>
        <v/>
      </c>
      <c r="U1540" s="24">
        <f>IF(SUMIFS('Daily NSE Equity Options'!$M:$M,'Daily NSE Equity Options'!$A:$A,$A1540)=0,"",SUMIFS('Daily NSE Equity Options'!$M:$M,'Daily NSE Equity Options'!$A:$A,$A1540))</f>
        <v/>
      </c>
      <c r="V1540" s="9">
        <f>IF(SUMIFS('Daily BSE Equity Options'!$M:$M,'Daily BSE Equity Options'!$A:$A,$A1540)=0,"",SUMIFS('Daily BSE Equity Options'!$M:$M,'Daily BSE Equity Options'!$A:$A,$A1540))</f>
        <v/>
      </c>
      <c r="W1540" s="9">
        <f>IF(OR(U1540="",V1540=""),"",U1540+V1540)</f>
        <v/>
      </c>
      <c r="X1540" s="25">
        <f>IF(W1540="","",U1540/W1540)</f>
        <v/>
      </c>
      <c r="Y1540" s="25">
        <f>IF(W1540="","",V1540/W1540)</f>
        <v/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19">
        <f>IF(G1541="","",E1541/G1541)</f>
        <v/>
      </c>
      <c r="I1541" s="19">
        <f>IF(G1541="","",F1541/G1541)</f>
        <v/>
      </c>
      <c r="J1541" s="26">
        <f>IFERROR(IF(OR(E1541="",INDEX(E:E,MATCH(DATE(YEAR($A1541)-1,MONTH($A1541),DAY($A1541)),$A:$A,0))=""),"",E1541/INDEX(E:E,MATCH(DATE(YEAR($A1541)-1,MONTH($A1541),DAY($A1541)),$A:$A,0))-1),"")</f>
        <v/>
      </c>
      <c r="K1541" s="19">
        <f>IFERROR(IF(OR(F1541="",INDEX(F:F,MATCH(DATE(YEAR($A1541)-1,MONTH($A1541),DAY($A1541)),$A:$A,0))=""),"",F1541/INDEX(F:F,MATCH(DATE(YEAR($A1541)-1,MONTH($A1541),DAY($A1541)),$A:$A,0))-1),"")</f>
        <v/>
      </c>
      <c r="L1541" s="19">
        <f>IFERROR(IF(OR(G1541="",INDEX(G:G,MATCH(DATE(YEAR($A1541)-1,MONTH($A1541),DAY($A1541)),$A:$A,0))=""),"",G1541/INDEX(G:G,MATCH(DATE(YEAR($A1541)-1,MONTH($A1541),DAY($A1541)),$A:$A,0))-1),"")</f>
        <v/>
      </c>
      <c r="M1541" s="19">
        <f>IF(OR(E1541="",E1540=""),"",E1541/E1540-1)</f>
        <v/>
      </c>
      <c r="N1541" s="19">
        <f>IF(OR(F1541="",F1540=""),"",F1541/F1540-1)</f>
        <v/>
      </c>
      <c r="O1541" s="19">
        <f>IF(OR(G1541="",G1540=""),"",G1541/G1540-1)</f>
        <v/>
      </c>
      <c r="P1541" s="22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IF(R1541="","",P1541/R1541)</f>
        <v/>
      </c>
      <c r="T1541" s="23">
        <f>IF(R1541="","",Q1541/R1541)</f>
        <v/>
      </c>
      <c r="U1541" s="24">
        <f>IF(SUMIFS('Daily NSE Equity Options'!$M:$M,'Daily NSE Equity Options'!$A:$A,$A1541)=0,"",SUMIFS('Daily NSE Equity Options'!$M:$M,'Daily NSE Equity Options'!$A:$A,$A1541))</f>
        <v/>
      </c>
      <c r="V1541" s="9">
        <f>IF(SUMIFS('Daily BSE Equity Options'!$M:$M,'Daily BSE Equity Options'!$A:$A,$A1541)=0,"",SUMIFS('Daily BSE Equity Options'!$M:$M,'Daily BSE Equity Options'!$A:$A,$A1541))</f>
        <v/>
      </c>
      <c r="W1541" s="9">
        <f>IF(OR(U1541="",V1541=""),"",U1541+V1541)</f>
        <v/>
      </c>
      <c r="X1541" s="25">
        <f>IF(W1541="","",U1541/W1541)</f>
        <v/>
      </c>
      <c r="Y1541" s="25">
        <f>IF(W1541="","",V1541/W1541)</f>
        <v/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19">
        <f>IF(G1542="","",E1542/G1542)</f>
        <v/>
      </c>
      <c r="I1542" s="19">
        <f>IF(G1542="","",F1542/G1542)</f>
        <v/>
      </c>
      <c r="J1542" s="26">
        <f>IFERROR(IF(OR(E1542="",INDEX(E:E,MATCH(DATE(YEAR($A1542)-1,MONTH($A1542),DAY($A1542)),$A:$A,0))=""),"",E1542/INDEX(E:E,MATCH(DATE(YEAR($A1542)-1,MONTH($A1542),DAY($A1542)),$A:$A,0))-1),"")</f>
        <v/>
      </c>
      <c r="K1542" s="19">
        <f>IFERROR(IF(OR(F1542="",INDEX(F:F,MATCH(DATE(YEAR($A1542)-1,MONTH($A1542),DAY($A1542)),$A:$A,0))=""),"",F1542/INDEX(F:F,MATCH(DATE(YEAR($A1542)-1,MONTH($A1542),DAY($A1542)),$A:$A,0))-1),"")</f>
        <v/>
      </c>
      <c r="L1542" s="19">
        <f>IFERROR(IF(OR(G1542="",INDEX(G:G,MATCH(DATE(YEAR($A1542)-1,MONTH($A1542),DAY($A1542)),$A:$A,0))=""),"",G1542/INDEX(G:G,MATCH(DATE(YEAR($A1542)-1,MONTH($A1542),DAY($A1542)),$A:$A,0))-1),"")</f>
        <v/>
      </c>
      <c r="M1542" s="19">
        <f>IF(OR(E1542="",E1541=""),"",E1542/E1541-1)</f>
        <v/>
      </c>
      <c r="N1542" s="19">
        <f>IF(OR(F1542="",F1541=""),"",F1542/F1541-1)</f>
        <v/>
      </c>
      <c r="O1542" s="19">
        <f>IF(OR(G1542="",G1541=""),"",G1542/G1541-1)</f>
        <v/>
      </c>
      <c r="P1542" s="22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IF(R1542="","",P1542/R1542)</f>
        <v/>
      </c>
      <c r="T1542" s="23">
        <f>IF(R1542="","",Q1542/R1542)</f>
        <v/>
      </c>
      <c r="U1542" s="24">
        <f>IF(SUMIFS('Daily NSE Equity Options'!$M:$M,'Daily NSE Equity Options'!$A:$A,$A1542)=0,"",SUMIFS('Daily NSE Equity Options'!$M:$M,'Daily NSE Equity Options'!$A:$A,$A1542))</f>
        <v/>
      </c>
      <c r="V1542" s="9">
        <f>IF(SUMIFS('Daily BSE Equity Options'!$M:$M,'Daily BSE Equity Options'!$A:$A,$A1542)=0,"",SUMIFS('Daily BSE Equity Options'!$M:$M,'Daily BSE Equity Options'!$A:$A,$A1542))</f>
        <v/>
      </c>
      <c r="W1542" s="9">
        <f>IF(OR(U1542="",V1542=""),"",U1542+V1542)</f>
        <v/>
      </c>
      <c r="X1542" s="25">
        <f>IF(W1542="","",U1542/W1542)</f>
        <v/>
      </c>
      <c r="Y1542" s="25">
        <f>IF(W1542="","",V1542/W1542)</f>
        <v/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19">
        <f>IF(G1543="","",E1543/G1543)</f>
        <v/>
      </c>
      <c r="I1543" s="19">
        <f>IF(G1543="","",F1543/G1543)</f>
        <v/>
      </c>
      <c r="J1543" s="26">
        <f>IFERROR(IF(OR(E1543="",INDEX(E:E,MATCH(DATE(YEAR($A1543)-1,MONTH($A1543),DAY($A1543)),$A:$A,0))=""),"",E1543/INDEX(E:E,MATCH(DATE(YEAR($A1543)-1,MONTH($A1543),DAY($A1543)),$A:$A,0))-1),"")</f>
        <v/>
      </c>
      <c r="K1543" s="19">
        <f>IFERROR(IF(OR(F1543="",INDEX(F:F,MATCH(DATE(YEAR($A1543)-1,MONTH($A1543),DAY($A1543)),$A:$A,0))=""),"",F1543/INDEX(F:F,MATCH(DATE(YEAR($A1543)-1,MONTH($A1543),DAY($A1543)),$A:$A,0))-1),"")</f>
        <v/>
      </c>
      <c r="L1543" s="19">
        <f>IFERROR(IF(OR(G1543="",INDEX(G:G,MATCH(DATE(YEAR($A1543)-1,MONTH($A1543),DAY($A1543)),$A:$A,0))=""),"",G1543/INDEX(G:G,MATCH(DATE(YEAR($A1543)-1,MONTH($A1543),DAY($A1543)),$A:$A,0))-1),"")</f>
        <v/>
      </c>
      <c r="M1543" s="19">
        <f>IF(OR(E1543="",E1542=""),"",E1543/E1542-1)</f>
        <v/>
      </c>
      <c r="N1543" s="19">
        <f>IF(OR(F1543="",F1542=""),"",F1543/F1542-1)</f>
        <v/>
      </c>
      <c r="O1543" s="19">
        <f>IF(OR(G1543="",G1542=""),"",G1543/G1542-1)</f>
        <v/>
      </c>
      <c r="P1543" s="22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IF(R1543="","",P1543/R1543)</f>
        <v/>
      </c>
      <c r="T1543" s="23">
        <f>IF(R1543="","",Q1543/R1543)</f>
        <v/>
      </c>
      <c r="U1543" s="24">
        <f>IF(SUMIFS('Daily NSE Equity Options'!$M:$M,'Daily NSE Equity Options'!$A:$A,$A1543)=0,"",SUMIFS('Daily NSE Equity Options'!$M:$M,'Daily NSE Equity Options'!$A:$A,$A1543))</f>
        <v/>
      </c>
      <c r="V1543" s="9">
        <f>IF(SUMIFS('Daily BSE Equity Options'!$M:$M,'Daily BSE Equity Options'!$A:$A,$A1543)=0,"",SUMIFS('Daily BSE Equity Options'!$M:$M,'Daily BSE Equity Options'!$A:$A,$A1543))</f>
        <v/>
      </c>
      <c r="W1543" s="9">
        <f>IF(OR(U1543="",V1543=""),"",U1543+V1543)</f>
        <v/>
      </c>
      <c r="X1543" s="25">
        <f>IF(W1543="","",U1543/W1543)</f>
        <v/>
      </c>
      <c r="Y1543" s="25">
        <f>IF(W1543="","",V1543/W1543)</f>
        <v/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19">
        <f>IF(G1544="","",E1544/G1544)</f>
        <v/>
      </c>
      <c r="I1544" s="19">
        <f>IF(G1544="","",F1544/G1544)</f>
        <v/>
      </c>
      <c r="J1544" s="26">
        <f>IFERROR(IF(OR(E1544="",INDEX(E:E,MATCH(DATE(YEAR($A1544)-1,MONTH($A1544),DAY($A1544)),$A:$A,0))=""),"",E1544/INDEX(E:E,MATCH(DATE(YEAR($A1544)-1,MONTH($A1544),DAY($A1544)),$A:$A,0))-1),"")</f>
        <v/>
      </c>
      <c r="K1544" s="19">
        <f>IFERROR(IF(OR(F1544="",INDEX(F:F,MATCH(DATE(YEAR($A1544)-1,MONTH($A1544),DAY($A1544)),$A:$A,0))=""),"",F1544/INDEX(F:F,MATCH(DATE(YEAR($A1544)-1,MONTH($A1544),DAY($A1544)),$A:$A,0))-1),"")</f>
        <v/>
      </c>
      <c r="L1544" s="19">
        <f>IFERROR(IF(OR(G1544="",INDEX(G:G,MATCH(DATE(YEAR($A1544)-1,MONTH($A1544),DAY($A1544)),$A:$A,0))=""),"",G1544/INDEX(G:G,MATCH(DATE(YEAR($A1544)-1,MONTH($A1544),DAY($A1544)),$A:$A,0))-1),"")</f>
        <v/>
      </c>
      <c r="M1544" s="19">
        <f>IF(OR(E1544="",E1543=""),"",E1544/E1543-1)</f>
        <v/>
      </c>
      <c r="N1544" s="19">
        <f>IF(OR(F1544="",F1543=""),"",F1544/F1543-1)</f>
        <v/>
      </c>
      <c r="O1544" s="19">
        <f>IF(OR(G1544="",G1543=""),"",G1544/G1543-1)</f>
        <v/>
      </c>
      <c r="P1544" s="22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IF(R1544="","",P1544/R1544)</f>
        <v/>
      </c>
      <c r="T1544" s="23">
        <f>IF(R1544="","",Q1544/R1544)</f>
        <v/>
      </c>
      <c r="U1544" s="24">
        <f>IF(SUMIFS('Daily NSE Equity Options'!$M:$M,'Daily NSE Equity Options'!$A:$A,$A1544)=0,"",SUMIFS('Daily NSE Equity Options'!$M:$M,'Daily NSE Equity Options'!$A:$A,$A1544))</f>
        <v/>
      </c>
      <c r="V1544" s="9">
        <f>IF(SUMIFS('Daily BSE Equity Options'!$M:$M,'Daily BSE Equity Options'!$A:$A,$A1544)=0,"",SUMIFS('Daily BSE Equity Options'!$M:$M,'Daily BSE Equity Options'!$A:$A,$A1544))</f>
        <v/>
      </c>
      <c r="W1544" s="9">
        <f>IF(OR(U1544="",V1544=""),"",U1544+V1544)</f>
        <v/>
      </c>
      <c r="X1544" s="25">
        <f>IF(W1544="","",U1544/W1544)</f>
        <v/>
      </c>
      <c r="Y1544" s="25">
        <f>IF(W1544="","",V1544/W1544)</f>
        <v/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19">
        <f>IF(G1545="","",E1545/G1545)</f>
        <v/>
      </c>
      <c r="I1545" s="19">
        <f>IF(G1545="","",F1545/G1545)</f>
        <v/>
      </c>
      <c r="J1545" s="26">
        <f>IFERROR(IF(OR(E1545="",INDEX(E:E,MATCH(DATE(YEAR($A1545)-1,MONTH($A1545),DAY($A1545)),$A:$A,0))=""),"",E1545/INDEX(E:E,MATCH(DATE(YEAR($A1545)-1,MONTH($A1545),DAY($A1545)),$A:$A,0))-1),"")</f>
        <v/>
      </c>
      <c r="K1545" s="19">
        <f>IFERROR(IF(OR(F1545="",INDEX(F:F,MATCH(DATE(YEAR($A1545)-1,MONTH($A1545),DAY($A1545)),$A:$A,0))=""),"",F1545/INDEX(F:F,MATCH(DATE(YEAR($A1545)-1,MONTH($A1545),DAY($A1545)),$A:$A,0))-1),"")</f>
        <v/>
      </c>
      <c r="L1545" s="19">
        <f>IFERROR(IF(OR(G1545="",INDEX(G:G,MATCH(DATE(YEAR($A1545)-1,MONTH($A1545),DAY($A1545)),$A:$A,0))=""),"",G1545/INDEX(G:G,MATCH(DATE(YEAR($A1545)-1,MONTH($A1545),DAY($A1545)),$A:$A,0))-1),"")</f>
        <v/>
      </c>
      <c r="M1545" s="19">
        <f>IF(OR(E1545="",E1544=""),"",E1545/E1544-1)</f>
        <v/>
      </c>
      <c r="N1545" s="19">
        <f>IF(OR(F1545="",F1544=""),"",F1545/F1544-1)</f>
        <v/>
      </c>
      <c r="O1545" s="19">
        <f>IF(OR(G1545="",G1544=""),"",G1545/G1544-1)</f>
        <v/>
      </c>
      <c r="P1545" s="22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IF(R1545="","",P1545/R1545)</f>
        <v/>
      </c>
      <c r="T1545" s="23">
        <f>IF(R1545="","",Q1545/R1545)</f>
        <v/>
      </c>
      <c r="U1545" s="24">
        <f>IF(SUMIFS('Daily NSE Equity Options'!$M:$M,'Daily NSE Equity Options'!$A:$A,$A1545)=0,"",SUMIFS('Daily NSE Equity Options'!$M:$M,'Daily NSE Equity Options'!$A:$A,$A1545))</f>
        <v/>
      </c>
      <c r="V1545" s="9">
        <f>IF(SUMIFS('Daily BSE Equity Options'!$M:$M,'Daily BSE Equity Options'!$A:$A,$A1545)=0,"",SUMIFS('Daily BSE Equity Options'!$M:$M,'Daily BSE Equity Options'!$A:$A,$A1545))</f>
        <v/>
      </c>
      <c r="W1545" s="9">
        <f>IF(OR(U1545="",V1545=""),"",U1545+V1545)</f>
        <v/>
      </c>
      <c r="X1545" s="25">
        <f>IF(W1545="","",U1545/W1545)</f>
        <v/>
      </c>
      <c r="Y1545" s="25">
        <f>IF(W1545="","",V1545/W1545)</f>
        <v/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19">
        <f>IF(G1546="","",E1546/G1546)</f>
        <v/>
      </c>
      <c r="I1546" s="19">
        <f>IF(G1546="","",F1546/G1546)</f>
        <v/>
      </c>
      <c r="J1546" s="26">
        <f>IFERROR(IF(OR(E1546="",INDEX(E:E,MATCH(DATE(YEAR($A1546)-1,MONTH($A1546),DAY($A1546)),$A:$A,0))=""),"",E1546/INDEX(E:E,MATCH(DATE(YEAR($A1546)-1,MONTH($A1546),DAY($A1546)),$A:$A,0))-1),"")</f>
        <v/>
      </c>
      <c r="K1546" s="19">
        <f>IFERROR(IF(OR(F1546="",INDEX(F:F,MATCH(DATE(YEAR($A1546)-1,MONTH($A1546),DAY($A1546)),$A:$A,0))=""),"",F1546/INDEX(F:F,MATCH(DATE(YEAR($A1546)-1,MONTH($A1546),DAY($A1546)),$A:$A,0))-1),"")</f>
        <v/>
      </c>
      <c r="L1546" s="19">
        <f>IFERROR(IF(OR(G1546="",INDEX(G:G,MATCH(DATE(YEAR($A1546)-1,MONTH($A1546),DAY($A1546)),$A:$A,0))=""),"",G1546/INDEX(G:G,MATCH(DATE(YEAR($A1546)-1,MONTH($A1546),DAY($A1546)),$A:$A,0))-1),"")</f>
        <v/>
      </c>
      <c r="M1546" s="19">
        <f>IF(OR(E1546="",E1545=""),"",E1546/E1545-1)</f>
        <v/>
      </c>
      <c r="N1546" s="19">
        <f>IF(OR(F1546="",F1545=""),"",F1546/F1545-1)</f>
        <v/>
      </c>
      <c r="O1546" s="19">
        <f>IF(OR(G1546="",G1545=""),"",G1546/G1545-1)</f>
        <v/>
      </c>
      <c r="P1546" s="22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IF(R1546="","",P1546/R1546)</f>
        <v/>
      </c>
      <c r="T1546" s="23">
        <f>IF(R1546="","",Q1546/R1546)</f>
        <v/>
      </c>
      <c r="U1546" s="24">
        <f>IF(SUMIFS('Daily NSE Equity Options'!$M:$M,'Daily NSE Equity Options'!$A:$A,$A1546)=0,"",SUMIFS('Daily NSE Equity Options'!$M:$M,'Daily NSE Equity Options'!$A:$A,$A1546))</f>
        <v/>
      </c>
      <c r="V1546" s="9">
        <f>IF(SUMIFS('Daily BSE Equity Options'!$M:$M,'Daily BSE Equity Options'!$A:$A,$A1546)=0,"",SUMIFS('Daily BSE Equity Options'!$M:$M,'Daily BSE Equity Options'!$A:$A,$A1546))</f>
        <v/>
      </c>
      <c r="W1546" s="9">
        <f>IF(OR(U1546="",V1546=""),"",U1546+V1546)</f>
        <v/>
      </c>
      <c r="X1546" s="25">
        <f>IF(W1546="","",U1546/W1546)</f>
        <v/>
      </c>
      <c r="Y1546" s="25">
        <f>IF(W1546="","",V1546/W1546)</f>
        <v/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19">
        <f>IF(G1547="","",E1547/G1547)</f>
        <v/>
      </c>
      <c r="I1547" s="19">
        <f>IF(G1547="","",F1547/G1547)</f>
        <v/>
      </c>
      <c r="J1547" s="26">
        <f>IFERROR(IF(OR(E1547="",INDEX(E:E,MATCH(DATE(YEAR($A1547)-1,MONTH($A1547),DAY($A1547)),$A:$A,0))=""),"",E1547/INDEX(E:E,MATCH(DATE(YEAR($A1547)-1,MONTH($A1547),DAY($A1547)),$A:$A,0))-1),"")</f>
        <v/>
      </c>
      <c r="K1547" s="19">
        <f>IFERROR(IF(OR(F1547="",INDEX(F:F,MATCH(DATE(YEAR($A1547)-1,MONTH($A1547),DAY($A1547)),$A:$A,0))=""),"",F1547/INDEX(F:F,MATCH(DATE(YEAR($A1547)-1,MONTH($A1547),DAY($A1547)),$A:$A,0))-1),"")</f>
        <v/>
      </c>
      <c r="L1547" s="19">
        <f>IFERROR(IF(OR(G1547="",INDEX(G:G,MATCH(DATE(YEAR($A1547)-1,MONTH($A1547),DAY($A1547)),$A:$A,0))=""),"",G1547/INDEX(G:G,MATCH(DATE(YEAR($A1547)-1,MONTH($A1547),DAY($A1547)),$A:$A,0))-1),"")</f>
        <v/>
      </c>
      <c r="M1547" s="19">
        <f>IF(OR(E1547="",E1546=""),"",E1547/E1546-1)</f>
        <v/>
      </c>
      <c r="N1547" s="19">
        <f>IF(OR(F1547="",F1546=""),"",F1547/F1546-1)</f>
        <v/>
      </c>
      <c r="O1547" s="19">
        <f>IF(OR(G1547="",G1546=""),"",G1547/G1546-1)</f>
        <v/>
      </c>
      <c r="P1547" s="22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IF(R1547="","",P1547/R1547)</f>
        <v/>
      </c>
      <c r="T1547" s="23">
        <f>IF(R1547="","",Q1547/R1547)</f>
        <v/>
      </c>
      <c r="U1547" s="24">
        <f>IF(SUMIFS('Daily NSE Equity Options'!$M:$M,'Daily NSE Equity Options'!$A:$A,$A1547)=0,"",SUMIFS('Daily NSE Equity Options'!$M:$M,'Daily NSE Equity Options'!$A:$A,$A1547))</f>
        <v/>
      </c>
      <c r="V1547" s="9">
        <f>IF(SUMIFS('Daily BSE Equity Options'!$M:$M,'Daily BSE Equity Options'!$A:$A,$A1547)=0,"",SUMIFS('Daily BSE Equity Options'!$M:$M,'Daily BSE Equity Options'!$A:$A,$A1547))</f>
        <v/>
      </c>
      <c r="W1547" s="9">
        <f>IF(OR(U1547="",V1547=""),"",U1547+V1547)</f>
        <v/>
      </c>
      <c r="X1547" s="25">
        <f>IF(W1547="","",U1547/W1547)</f>
        <v/>
      </c>
      <c r="Y1547" s="25">
        <f>IF(W1547="","",V1547/W1547)</f>
        <v/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19">
        <f>IF(G1548="","",E1548/G1548)</f>
        <v/>
      </c>
      <c r="I1548" s="19">
        <f>IF(G1548="","",F1548/G1548)</f>
        <v/>
      </c>
      <c r="J1548" s="26">
        <f>IFERROR(IF(OR(E1548="",INDEX(E:E,MATCH(DATE(YEAR($A1548)-1,MONTH($A1548),DAY($A1548)),$A:$A,0))=""),"",E1548/INDEX(E:E,MATCH(DATE(YEAR($A1548)-1,MONTH($A1548),DAY($A1548)),$A:$A,0))-1),"")</f>
        <v/>
      </c>
      <c r="K1548" s="19">
        <f>IFERROR(IF(OR(F1548="",INDEX(F:F,MATCH(DATE(YEAR($A1548)-1,MONTH($A1548),DAY($A1548)),$A:$A,0))=""),"",F1548/INDEX(F:F,MATCH(DATE(YEAR($A1548)-1,MONTH($A1548),DAY($A1548)),$A:$A,0))-1),"")</f>
        <v/>
      </c>
      <c r="L1548" s="19">
        <f>IFERROR(IF(OR(G1548="",INDEX(G:G,MATCH(DATE(YEAR($A1548)-1,MONTH($A1548),DAY($A1548)),$A:$A,0))=""),"",G1548/INDEX(G:G,MATCH(DATE(YEAR($A1548)-1,MONTH($A1548),DAY($A1548)),$A:$A,0))-1),"")</f>
        <v/>
      </c>
      <c r="M1548" s="19">
        <f>IF(OR(E1548="",E1547=""),"",E1548/E1547-1)</f>
        <v/>
      </c>
      <c r="N1548" s="19">
        <f>IF(OR(F1548="",F1547=""),"",F1548/F1547-1)</f>
        <v/>
      </c>
      <c r="O1548" s="19">
        <f>IF(OR(G1548="",G1547=""),"",G1548/G1547-1)</f>
        <v/>
      </c>
      <c r="P1548" s="22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IF(R1548="","",P1548/R1548)</f>
        <v/>
      </c>
      <c r="T1548" s="23">
        <f>IF(R1548="","",Q1548/R1548)</f>
        <v/>
      </c>
      <c r="U1548" s="24">
        <f>IF(SUMIFS('Daily NSE Equity Options'!$M:$M,'Daily NSE Equity Options'!$A:$A,$A1548)=0,"",SUMIFS('Daily NSE Equity Options'!$M:$M,'Daily NSE Equity Options'!$A:$A,$A1548))</f>
        <v/>
      </c>
      <c r="V1548" s="9">
        <f>IF(SUMIFS('Daily BSE Equity Options'!$M:$M,'Daily BSE Equity Options'!$A:$A,$A1548)=0,"",SUMIFS('Daily BSE Equity Options'!$M:$M,'Daily BSE Equity Options'!$A:$A,$A1548))</f>
        <v/>
      </c>
      <c r="W1548" s="9">
        <f>IF(OR(U1548="",V1548=""),"",U1548+V1548)</f>
        <v/>
      </c>
      <c r="X1548" s="25">
        <f>IF(W1548="","",U1548/W1548)</f>
        <v/>
      </c>
      <c r="Y1548" s="25">
        <f>IF(W1548="","",V1548/W1548)</f>
        <v/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19">
        <f>IF(G1549="","",E1549/G1549)</f>
        <v/>
      </c>
      <c r="I1549" s="19">
        <f>IF(G1549="","",F1549/G1549)</f>
        <v/>
      </c>
      <c r="J1549" s="26">
        <f>IFERROR(IF(OR(E1549="",INDEX(E:E,MATCH(DATE(YEAR($A1549)-1,MONTH($A1549),DAY($A1549)),$A:$A,0))=""),"",E1549/INDEX(E:E,MATCH(DATE(YEAR($A1549)-1,MONTH($A1549),DAY($A1549)),$A:$A,0))-1),"")</f>
        <v/>
      </c>
      <c r="K1549" s="19">
        <f>IFERROR(IF(OR(F1549="",INDEX(F:F,MATCH(DATE(YEAR($A1549)-1,MONTH($A1549),DAY($A1549)),$A:$A,0))=""),"",F1549/INDEX(F:F,MATCH(DATE(YEAR($A1549)-1,MONTH($A1549),DAY($A1549)),$A:$A,0))-1),"")</f>
        <v/>
      </c>
      <c r="L1549" s="19">
        <f>IFERROR(IF(OR(G1549="",INDEX(G:G,MATCH(DATE(YEAR($A1549)-1,MONTH($A1549),DAY($A1549)),$A:$A,0))=""),"",G1549/INDEX(G:G,MATCH(DATE(YEAR($A1549)-1,MONTH($A1549),DAY($A1549)),$A:$A,0))-1),"")</f>
        <v/>
      </c>
      <c r="M1549" s="19">
        <f>IF(OR(E1549="",E1548=""),"",E1549/E1548-1)</f>
        <v/>
      </c>
      <c r="N1549" s="19">
        <f>IF(OR(F1549="",F1548=""),"",F1549/F1548-1)</f>
        <v/>
      </c>
      <c r="O1549" s="19">
        <f>IF(OR(G1549="",G1548=""),"",G1549/G1548-1)</f>
        <v/>
      </c>
      <c r="P1549" s="22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IF(R1549="","",P1549/R1549)</f>
        <v/>
      </c>
      <c r="T1549" s="23">
        <f>IF(R1549="","",Q1549/R1549)</f>
        <v/>
      </c>
      <c r="U1549" s="24">
        <f>IF(SUMIFS('Daily NSE Equity Options'!$M:$M,'Daily NSE Equity Options'!$A:$A,$A1549)=0,"",SUMIFS('Daily NSE Equity Options'!$M:$M,'Daily NSE Equity Options'!$A:$A,$A1549))</f>
        <v/>
      </c>
      <c r="V1549" s="9">
        <f>IF(SUMIFS('Daily BSE Equity Options'!$M:$M,'Daily BSE Equity Options'!$A:$A,$A1549)=0,"",SUMIFS('Daily BSE Equity Options'!$M:$M,'Daily BSE Equity Options'!$A:$A,$A1549))</f>
        <v/>
      </c>
      <c r="W1549" s="9">
        <f>IF(OR(U1549="",V1549=""),"",U1549+V1549)</f>
        <v/>
      </c>
      <c r="X1549" s="25">
        <f>IF(W1549="","",U1549/W1549)</f>
        <v/>
      </c>
      <c r="Y1549" s="25">
        <f>IF(W1549="","",V1549/W1549)</f>
        <v/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19">
        <f>IF(G1550="","",E1550/G1550)</f>
        <v/>
      </c>
      <c r="I1550" s="19">
        <f>IF(G1550="","",F1550/G1550)</f>
        <v/>
      </c>
      <c r="J1550" s="26">
        <f>IFERROR(IF(OR(E1550="",INDEX(E:E,MATCH(DATE(YEAR($A1550)-1,MONTH($A1550),DAY($A1550)),$A:$A,0))=""),"",E1550/INDEX(E:E,MATCH(DATE(YEAR($A1550)-1,MONTH($A1550),DAY($A1550)),$A:$A,0))-1),"")</f>
        <v/>
      </c>
      <c r="K1550" s="19">
        <f>IFERROR(IF(OR(F1550="",INDEX(F:F,MATCH(DATE(YEAR($A1550)-1,MONTH($A1550),DAY($A1550)),$A:$A,0))=""),"",F1550/INDEX(F:F,MATCH(DATE(YEAR($A1550)-1,MONTH($A1550),DAY($A1550)),$A:$A,0))-1),"")</f>
        <v/>
      </c>
      <c r="L1550" s="19">
        <f>IFERROR(IF(OR(G1550="",INDEX(G:G,MATCH(DATE(YEAR($A1550)-1,MONTH($A1550),DAY($A1550)),$A:$A,0))=""),"",G1550/INDEX(G:G,MATCH(DATE(YEAR($A1550)-1,MONTH($A1550),DAY($A1550)),$A:$A,0))-1),"")</f>
        <v/>
      </c>
      <c r="M1550" s="19">
        <f>IF(OR(E1550="",E1549=""),"",E1550/E1549-1)</f>
        <v/>
      </c>
      <c r="N1550" s="19">
        <f>IF(OR(F1550="",F1549=""),"",F1550/F1549-1)</f>
        <v/>
      </c>
      <c r="O1550" s="19">
        <f>IF(OR(G1550="",G1549=""),"",G1550/G1549-1)</f>
        <v/>
      </c>
      <c r="P1550" s="22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IF(R1550="","",P1550/R1550)</f>
        <v/>
      </c>
      <c r="T1550" s="23">
        <f>IF(R1550="","",Q1550/R1550)</f>
        <v/>
      </c>
      <c r="U1550" s="24">
        <f>IF(SUMIFS('Daily NSE Equity Options'!$M:$M,'Daily NSE Equity Options'!$A:$A,$A1550)=0,"",SUMIFS('Daily NSE Equity Options'!$M:$M,'Daily NSE Equity Options'!$A:$A,$A1550))</f>
        <v/>
      </c>
      <c r="V1550" s="9">
        <f>IF(SUMIFS('Daily BSE Equity Options'!$M:$M,'Daily BSE Equity Options'!$A:$A,$A1550)=0,"",SUMIFS('Daily BSE Equity Options'!$M:$M,'Daily BSE Equity Options'!$A:$A,$A1550))</f>
        <v/>
      </c>
      <c r="W1550" s="9">
        <f>IF(OR(U1550="",V1550=""),"",U1550+V1550)</f>
        <v/>
      </c>
      <c r="X1550" s="25">
        <f>IF(W1550="","",U1550/W1550)</f>
        <v/>
      </c>
      <c r="Y1550" s="25">
        <f>IF(W1550="","",V1550/W1550)</f>
        <v/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19">
        <f>IF(G1551="","",E1551/G1551)</f>
        <v/>
      </c>
      <c r="I1551" s="19">
        <f>IF(G1551="","",F1551/G1551)</f>
        <v/>
      </c>
      <c r="J1551" s="26">
        <f>IFERROR(IF(OR(E1551="",INDEX(E:E,MATCH(DATE(YEAR($A1551)-1,MONTH($A1551),DAY($A1551)),$A:$A,0))=""),"",E1551/INDEX(E:E,MATCH(DATE(YEAR($A1551)-1,MONTH($A1551),DAY($A1551)),$A:$A,0))-1),"")</f>
        <v/>
      </c>
      <c r="K1551" s="19">
        <f>IFERROR(IF(OR(F1551="",INDEX(F:F,MATCH(DATE(YEAR($A1551)-1,MONTH($A1551),DAY($A1551)),$A:$A,0))=""),"",F1551/INDEX(F:F,MATCH(DATE(YEAR($A1551)-1,MONTH($A1551),DAY($A1551)),$A:$A,0))-1),"")</f>
        <v/>
      </c>
      <c r="L1551" s="19">
        <f>IFERROR(IF(OR(G1551="",INDEX(G:G,MATCH(DATE(YEAR($A1551)-1,MONTH($A1551),DAY($A1551)),$A:$A,0))=""),"",G1551/INDEX(G:G,MATCH(DATE(YEAR($A1551)-1,MONTH($A1551),DAY($A1551)),$A:$A,0))-1),"")</f>
        <v/>
      </c>
      <c r="M1551" s="19">
        <f>IF(OR(E1551="",E1550=""),"",E1551/E1550-1)</f>
        <v/>
      </c>
      <c r="N1551" s="19">
        <f>IF(OR(F1551="",F1550=""),"",F1551/F1550-1)</f>
        <v/>
      </c>
      <c r="O1551" s="19">
        <f>IF(OR(G1551="",G1550=""),"",G1551/G1550-1)</f>
        <v/>
      </c>
      <c r="P1551" s="22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IF(R1551="","",P1551/R1551)</f>
        <v/>
      </c>
      <c r="T1551" s="23">
        <f>IF(R1551="","",Q1551/R1551)</f>
        <v/>
      </c>
      <c r="U1551" s="24">
        <f>IF(SUMIFS('Daily NSE Equity Options'!$M:$M,'Daily NSE Equity Options'!$A:$A,$A1551)=0,"",SUMIFS('Daily NSE Equity Options'!$M:$M,'Daily NSE Equity Options'!$A:$A,$A1551))</f>
        <v/>
      </c>
      <c r="V1551" s="9">
        <f>IF(SUMIFS('Daily BSE Equity Options'!$M:$M,'Daily BSE Equity Options'!$A:$A,$A1551)=0,"",SUMIFS('Daily BSE Equity Options'!$M:$M,'Daily BSE Equity Options'!$A:$A,$A1551))</f>
        <v/>
      </c>
      <c r="W1551" s="9">
        <f>IF(OR(U1551="",V1551=""),"",U1551+V1551)</f>
        <v/>
      </c>
      <c r="X1551" s="25">
        <f>IF(W1551="","",U1551/W1551)</f>
        <v/>
      </c>
      <c r="Y1551" s="25">
        <f>IF(W1551="","",V1551/W1551)</f>
        <v/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19">
        <f>IF(G1552="","",E1552/G1552)</f>
        <v/>
      </c>
      <c r="I1552" s="19">
        <f>IF(G1552="","",F1552/G1552)</f>
        <v/>
      </c>
      <c r="J1552" s="26">
        <f>IFERROR(IF(OR(E1552="",INDEX(E:E,MATCH(DATE(YEAR($A1552)-1,MONTH($A1552),DAY($A1552)),$A:$A,0))=""),"",E1552/INDEX(E:E,MATCH(DATE(YEAR($A1552)-1,MONTH($A1552),DAY($A1552)),$A:$A,0))-1),"")</f>
        <v/>
      </c>
      <c r="K1552" s="19">
        <f>IFERROR(IF(OR(F1552="",INDEX(F:F,MATCH(DATE(YEAR($A1552)-1,MONTH($A1552),DAY($A1552)),$A:$A,0))=""),"",F1552/INDEX(F:F,MATCH(DATE(YEAR($A1552)-1,MONTH($A1552),DAY($A1552)),$A:$A,0))-1),"")</f>
        <v/>
      </c>
      <c r="L1552" s="19">
        <f>IFERROR(IF(OR(G1552="",INDEX(G:G,MATCH(DATE(YEAR($A1552)-1,MONTH($A1552),DAY($A1552)),$A:$A,0))=""),"",G1552/INDEX(G:G,MATCH(DATE(YEAR($A1552)-1,MONTH($A1552),DAY($A1552)),$A:$A,0))-1),"")</f>
        <v/>
      </c>
      <c r="M1552" s="19">
        <f>IF(OR(E1552="",E1551=""),"",E1552/E1551-1)</f>
        <v/>
      </c>
      <c r="N1552" s="19">
        <f>IF(OR(F1552="",F1551=""),"",F1552/F1551-1)</f>
        <v/>
      </c>
      <c r="O1552" s="19">
        <f>IF(OR(G1552="",G1551=""),"",G1552/G1551-1)</f>
        <v/>
      </c>
      <c r="P1552" s="22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IF(R1552="","",P1552/R1552)</f>
        <v/>
      </c>
      <c r="T1552" s="23">
        <f>IF(R1552="","",Q1552/R1552)</f>
        <v/>
      </c>
      <c r="U1552" s="24">
        <f>IF(SUMIFS('Daily NSE Equity Options'!$M:$M,'Daily NSE Equity Options'!$A:$A,$A1552)=0,"",SUMIFS('Daily NSE Equity Options'!$M:$M,'Daily NSE Equity Options'!$A:$A,$A1552))</f>
        <v/>
      </c>
      <c r="V1552" s="9">
        <f>IF(SUMIFS('Daily BSE Equity Options'!$M:$M,'Daily BSE Equity Options'!$A:$A,$A1552)=0,"",SUMIFS('Daily BSE Equity Options'!$M:$M,'Daily BSE Equity Options'!$A:$A,$A1552))</f>
        <v/>
      </c>
      <c r="W1552" s="9">
        <f>IF(OR(U1552="",V1552=""),"",U1552+V1552)</f>
        <v/>
      </c>
      <c r="X1552" s="25">
        <f>IF(W1552="","",U1552/W1552)</f>
        <v/>
      </c>
      <c r="Y1552" s="25">
        <f>IF(W1552="","",V1552/W1552)</f>
        <v/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19">
        <f>IF(G1553="","",E1553/G1553)</f>
        <v/>
      </c>
      <c r="I1553" s="19">
        <f>IF(G1553="","",F1553/G1553)</f>
        <v/>
      </c>
      <c r="J1553" s="26">
        <f>IFERROR(IF(OR(E1553="",INDEX(E:E,MATCH(DATE(YEAR($A1553)-1,MONTH($A1553),DAY($A1553)),$A:$A,0))=""),"",E1553/INDEX(E:E,MATCH(DATE(YEAR($A1553)-1,MONTH($A1553),DAY($A1553)),$A:$A,0))-1),"")</f>
        <v/>
      </c>
      <c r="K1553" s="19">
        <f>IFERROR(IF(OR(F1553="",INDEX(F:F,MATCH(DATE(YEAR($A1553)-1,MONTH($A1553),DAY($A1553)),$A:$A,0))=""),"",F1553/INDEX(F:F,MATCH(DATE(YEAR($A1553)-1,MONTH($A1553),DAY($A1553)),$A:$A,0))-1),"")</f>
        <v/>
      </c>
      <c r="L1553" s="19">
        <f>IFERROR(IF(OR(G1553="",INDEX(G:G,MATCH(DATE(YEAR($A1553)-1,MONTH($A1553),DAY($A1553)),$A:$A,0))=""),"",G1553/INDEX(G:G,MATCH(DATE(YEAR($A1553)-1,MONTH($A1553),DAY($A1553)),$A:$A,0))-1),"")</f>
        <v/>
      </c>
      <c r="M1553" s="19">
        <f>IF(OR(E1553="",E1552=""),"",E1553/E1552-1)</f>
        <v/>
      </c>
      <c r="N1553" s="19">
        <f>IF(OR(F1553="",F1552=""),"",F1553/F1552-1)</f>
        <v/>
      </c>
      <c r="O1553" s="19">
        <f>IF(OR(G1553="",G1552=""),"",G1553/G1552-1)</f>
        <v/>
      </c>
      <c r="P1553" s="22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IF(R1553="","",P1553/R1553)</f>
        <v/>
      </c>
      <c r="T1553" s="23">
        <f>IF(R1553="","",Q1553/R1553)</f>
        <v/>
      </c>
      <c r="U1553" s="24">
        <f>IF(SUMIFS('Daily NSE Equity Options'!$M:$M,'Daily NSE Equity Options'!$A:$A,$A1553)=0,"",SUMIFS('Daily NSE Equity Options'!$M:$M,'Daily NSE Equity Options'!$A:$A,$A1553))</f>
        <v/>
      </c>
      <c r="V1553" s="9">
        <f>IF(SUMIFS('Daily BSE Equity Options'!$M:$M,'Daily BSE Equity Options'!$A:$A,$A1553)=0,"",SUMIFS('Daily BSE Equity Options'!$M:$M,'Daily BSE Equity Options'!$A:$A,$A1553))</f>
        <v/>
      </c>
      <c r="W1553" s="9">
        <f>IF(OR(U1553="",V1553=""),"",U1553+V1553)</f>
        <v/>
      </c>
      <c r="X1553" s="25">
        <f>IF(W1553="","",U1553/W1553)</f>
        <v/>
      </c>
      <c r="Y1553" s="25">
        <f>IF(W1553="","",V1553/W1553)</f>
        <v/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19">
        <f>IF(G1554="","",E1554/G1554)</f>
        <v/>
      </c>
      <c r="I1554" s="19">
        <f>IF(G1554="","",F1554/G1554)</f>
        <v/>
      </c>
      <c r="J1554" s="26">
        <f>IFERROR(IF(OR(E1554="",INDEX(E:E,MATCH(DATE(YEAR($A1554)-1,MONTH($A1554),DAY($A1554)),$A:$A,0))=""),"",E1554/INDEX(E:E,MATCH(DATE(YEAR($A1554)-1,MONTH($A1554),DAY($A1554)),$A:$A,0))-1),"")</f>
        <v/>
      </c>
      <c r="K1554" s="19">
        <f>IFERROR(IF(OR(F1554="",INDEX(F:F,MATCH(DATE(YEAR($A1554)-1,MONTH($A1554),DAY($A1554)),$A:$A,0))=""),"",F1554/INDEX(F:F,MATCH(DATE(YEAR($A1554)-1,MONTH($A1554),DAY($A1554)),$A:$A,0))-1),"")</f>
        <v/>
      </c>
      <c r="L1554" s="19">
        <f>IFERROR(IF(OR(G1554="",INDEX(G:G,MATCH(DATE(YEAR($A1554)-1,MONTH($A1554),DAY($A1554)),$A:$A,0))=""),"",G1554/INDEX(G:G,MATCH(DATE(YEAR($A1554)-1,MONTH($A1554),DAY($A1554)),$A:$A,0))-1),"")</f>
        <v/>
      </c>
      <c r="M1554" s="19">
        <f>IF(OR(E1554="",E1553=""),"",E1554/E1553-1)</f>
        <v/>
      </c>
      <c r="N1554" s="19">
        <f>IF(OR(F1554="",F1553=""),"",F1554/F1553-1)</f>
        <v/>
      </c>
      <c r="O1554" s="19">
        <f>IF(OR(G1554="",G1553=""),"",G1554/G1553-1)</f>
        <v/>
      </c>
      <c r="P1554" s="22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IF(R1554="","",P1554/R1554)</f>
        <v/>
      </c>
      <c r="T1554" s="23">
        <f>IF(R1554="","",Q1554/R1554)</f>
        <v/>
      </c>
      <c r="U1554" s="24">
        <f>IF(SUMIFS('Daily NSE Equity Options'!$M:$M,'Daily NSE Equity Options'!$A:$A,$A1554)=0,"",SUMIFS('Daily NSE Equity Options'!$M:$M,'Daily NSE Equity Options'!$A:$A,$A1554))</f>
        <v/>
      </c>
      <c r="V1554" s="9">
        <f>IF(SUMIFS('Daily BSE Equity Options'!$M:$M,'Daily BSE Equity Options'!$A:$A,$A1554)=0,"",SUMIFS('Daily BSE Equity Options'!$M:$M,'Daily BSE Equity Options'!$A:$A,$A1554))</f>
        <v/>
      </c>
      <c r="W1554" s="9">
        <f>IF(OR(U1554="",V1554=""),"",U1554+V1554)</f>
        <v/>
      </c>
      <c r="X1554" s="25">
        <f>IF(W1554="","",U1554/W1554)</f>
        <v/>
      </c>
      <c r="Y1554" s="25">
        <f>IF(W1554="","",V1554/W1554)</f>
        <v/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19">
        <f>IF(G1555="","",E1555/G1555)</f>
        <v/>
      </c>
      <c r="I1555" s="19">
        <f>IF(G1555="","",F1555/G1555)</f>
        <v/>
      </c>
      <c r="J1555" s="26">
        <f>IFERROR(IF(OR(E1555="",INDEX(E:E,MATCH(DATE(YEAR($A1555)-1,MONTH($A1555),DAY($A1555)),$A:$A,0))=""),"",E1555/INDEX(E:E,MATCH(DATE(YEAR($A1555)-1,MONTH($A1555),DAY($A1555)),$A:$A,0))-1),"")</f>
        <v/>
      </c>
      <c r="K1555" s="19">
        <f>IFERROR(IF(OR(F1555="",INDEX(F:F,MATCH(DATE(YEAR($A1555)-1,MONTH($A1555),DAY($A1555)),$A:$A,0))=""),"",F1555/INDEX(F:F,MATCH(DATE(YEAR($A1555)-1,MONTH($A1555),DAY($A1555)),$A:$A,0))-1),"")</f>
        <v/>
      </c>
      <c r="L1555" s="19">
        <f>IFERROR(IF(OR(G1555="",INDEX(G:G,MATCH(DATE(YEAR($A1555)-1,MONTH($A1555),DAY($A1555)),$A:$A,0))=""),"",G1555/INDEX(G:G,MATCH(DATE(YEAR($A1555)-1,MONTH($A1555),DAY($A1555)),$A:$A,0))-1),"")</f>
        <v/>
      </c>
      <c r="M1555" s="19">
        <f>IF(OR(E1555="",E1554=""),"",E1555/E1554-1)</f>
        <v/>
      </c>
      <c r="N1555" s="19">
        <f>IF(OR(F1555="",F1554=""),"",F1555/F1554-1)</f>
        <v/>
      </c>
      <c r="O1555" s="19">
        <f>IF(OR(G1555="",G1554=""),"",G1555/G1554-1)</f>
        <v/>
      </c>
      <c r="P1555" s="22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IF(R1555="","",P1555/R1555)</f>
        <v/>
      </c>
      <c r="T1555" s="23">
        <f>IF(R1555="","",Q1555/R1555)</f>
        <v/>
      </c>
      <c r="U1555" s="24">
        <f>IF(SUMIFS('Daily NSE Equity Options'!$M:$M,'Daily NSE Equity Options'!$A:$A,$A1555)=0,"",SUMIFS('Daily NSE Equity Options'!$M:$M,'Daily NSE Equity Options'!$A:$A,$A1555))</f>
        <v/>
      </c>
      <c r="V1555" s="9">
        <f>IF(SUMIFS('Daily BSE Equity Options'!$M:$M,'Daily BSE Equity Options'!$A:$A,$A1555)=0,"",SUMIFS('Daily BSE Equity Options'!$M:$M,'Daily BSE Equity Options'!$A:$A,$A1555))</f>
        <v/>
      </c>
      <c r="W1555" s="9">
        <f>IF(OR(U1555="",V1555=""),"",U1555+V1555)</f>
        <v/>
      </c>
      <c r="X1555" s="25">
        <f>IF(W1555="","",U1555/W1555)</f>
        <v/>
      </c>
      <c r="Y1555" s="25">
        <f>IF(W1555="","",V1555/W1555)</f>
        <v/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19">
        <f>IF(G1556="","",E1556/G1556)</f>
        <v/>
      </c>
      <c r="I1556" s="19">
        <f>IF(G1556="","",F1556/G1556)</f>
        <v/>
      </c>
      <c r="J1556" s="26">
        <f>IFERROR(IF(OR(E1556="",INDEX(E:E,MATCH(DATE(YEAR($A1556)-1,MONTH($A1556),DAY($A1556)),$A:$A,0))=""),"",E1556/INDEX(E:E,MATCH(DATE(YEAR($A1556)-1,MONTH($A1556),DAY($A1556)),$A:$A,0))-1),"")</f>
        <v/>
      </c>
      <c r="K1556" s="19">
        <f>IFERROR(IF(OR(F1556="",INDEX(F:F,MATCH(DATE(YEAR($A1556)-1,MONTH($A1556),DAY($A1556)),$A:$A,0))=""),"",F1556/INDEX(F:F,MATCH(DATE(YEAR($A1556)-1,MONTH($A1556),DAY($A1556)),$A:$A,0))-1),"")</f>
        <v/>
      </c>
      <c r="L1556" s="19">
        <f>IFERROR(IF(OR(G1556="",INDEX(G:G,MATCH(DATE(YEAR($A1556)-1,MONTH($A1556),DAY($A1556)),$A:$A,0))=""),"",G1556/INDEX(G:G,MATCH(DATE(YEAR($A1556)-1,MONTH($A1556),DAY($A1556)),$A:$A,0))-1),"")</f>
        <v/>
      </c>
      <c r="M1556" s="19">
        <f>IF(OR(E1556="",E1555=""),"",E1556/E1555-1)</f>
        <v/>
      </c>
      <c r="N1556" s="19">
        <f>IF(OR(F1556="",F1555=""),"",F1556/F1555-1)</f>
        <v/>
      </c>
      <c r="O1556" s="19">
        <f>IF(OR(G1556="",G1555=""),"",G1556/G1555-1)</f>
        <v/>
      </c>
      <c r="P1556" s="22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IF(R1556="","",P1556/R1556)</f>
        <v/>
      </c>
      <c r="T1556" s="23">
        <f>IF(R1556="","",Q1556/R1556)</f>
        <v/>
      </c>
      <c r="U1556" s="24">
        <f>IF(SUMIFS('Daily NSE Equity Options'!$M:$M,'Daily NSE Equity Options'!$A:$A,$A1556)=0,"",SUMIFS('Daily NSE Equity Options'!$M:$M,'Daily NSE Equity Options'!$A:$A,$A1556))</f>
        <v/>
      </c>
      <c r="V1556" s="9">
        <f>IF(SUMIFS('Daily BSE Equity Options'!$M:$M,'Daily BSE Equity Options'!$A:$A,$A1556)=0,"",SUMIFS('Daily BSE Equity Options'!$M:$M,'Daily BSE Equity Options'!$A:$A,$A1556))</f>
        <v/>
      </c>
      <c r="W1556" s="9">
        <f>IF(OR(U1556="",V1556=""),"",U1556+V1556)</f>
        <v/>
      </c>
      <c r="X1556" s="25">
        <f>IF(W1556="","",U1556/W1556)</f>
        <v/>
      </c>
      <c r="Y1556" s="25">
        <f>IF(W1556="","",V1556/W1556)</f>
        <v/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19">
        <f>IF(G1557="","",E1557/G1557)</f>
        <v/>
      </c>
      <c r="I1557" s="19">
        <f>IF(G1557="","",F1557/G1557)</f>
        <v/>
      </c>
      <c r="J1557" s="26">
        <f>IFERROR(IF(OR(E1557="",INDEX(E:E,MATCH(DATE(YEAR($A1557)-1,MONTH($A1557),DAY($A1557)),$A:$A,0))=""),"",E1557/INDEX(E:E,MATCH(DATE(YEAR($A1557)-1,MONTH($A1557),DAY($A1557)),$A:$A,0))-1),"")</f>
        <v/>
      </c>
      <c r="K1557" s="19">
        <f>IFERROR(IF(OR(F1557="",INDEX(F:F,MATCH(DATE(YEAR($A1557)-1,MONTH($A1557),DAY($A1557)),$A:$A,0))=""),"",F1557/INDEX(F:F,MATCH(DATE(YEAR($A1557)-1,MONTH($A1557),DAY($A1557)),$A:$A,0))-1),"")</f>
        <v/>
      </c>
      <c r="L1557" s="19">
        <f>IFERROR(IF(OR(G1557="",INDEX(G:G,MATCH(DATE(YEAR($A1557)-1,MONTH($A1557),DAY($A1557)),$A:$A,0))=""),"",G1557/INDEX(G:G,MATCH(DATE(YEAR($A1557)-1,MONTH($A1557),DAY($A1557)),$A:$A,0))-1),"")</f>
        <v/>
      </c>
      <c r="M1557" s="19">
        <f>IF(OR(E1557="",E1556=""),"",E1557/E1556-1)</f>
        <v/>
      </c>
      <c r="N1557" s="19">
        <f>IF(OR(F1557="",F1556=""),"",F1557/F1556-1)</f>
        <v/>
      </c>
      <c r="O1557" s="19">
        <f>IF(OR(G1557="",G1556=""),"",G1557/G1556-1)</f>
        <v/>
      </c>
      <c r="P1557" s="22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IF(R1557="","",P1557/R1557)</f>
        <v/>
      </c>
      <c r="T1557" s="23">
        <f>IF(R1557="","",Q1557/R1557)</f>
        <v/>
      </c>
      <c r="U1557" s="24">
        <f>IF(SUMIFS('Daily NSE Equity Options'!$M:$M,'Daily NSE Equity Options'!$A:$A,$A1557)=0,"",SUMIFS('Daily NSE Equity Options'!$M:$M,'Daily NSE Equity Options'!$A:$A,$A1557))</f>
        <v/>
      </c>
      <c r="V1557" s="9">
        <f>IF(SUMIFS('Daily BSE Equity Options'!$M:$M,'Daily BSE Equity Options'!$A:$A,$A1557)=0,"",SUMIFS('Daily BSE Equity Options'!$M:$M,'Daily BSE Equity Options'!$A:$A,$A1557))</f>
        <v/>
      </c>
      <c r="W1557" s="9">
        <f>IF(OR(U1557="",V1557=""),"",U1557+V1557)</f>
        <v/>
      </c>
      <c r="X1557" s="25">
        <f>IF(W1557="","",U1557/W1557)</f>
        <v/>
      </c>
      <c r="Y1557" s="25">
        <f>IF(W1557="","",V1557/W1557)</f>
        <v/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19">
        <f>IF(G1558="","",E1558/G1558)</f>
        <v/>
      </c>
      <c r="I1558" s="19">
        <f>IF(G1558="","",F1558/G1558)</f>
        <v/>
      </c>
      <c r="J1558" s="26">
        <f>IFERROR(IF(OR(E1558="",INDEX(E:E,MATCH(DATE(YEAR($A1558)-1,MONTH($A1558),DAY($A1558)),$A:$A,0))=""),"",E1558/INDEX(E:E,MATCH(DATE(YEAR($A1558)-1,MONTH($A1558),DAY($A1558)),$A:$A,0))-1),"")</f>
        <v/>
      </c>
      <c r="K1558" s="19">
        <f>IFERROR(IF(OR(F1558="",INDEX(F:F,MATCH(DATE(YEAR($A1558)-1,MONTH($A1558),DAY($A1558)),$A:$A,0))=""),"",F1558/INDEX(F:F,MATCH(DATE(YEAR($A1558)-1,MONTH($A1558),DAY($A1558)),$A:$A,0))-1),"")</f>
        <v/>
      </c>
      <c r="L1558" s="19">
        <f>IFERROR(IF(OR(G1558="",INDEX(G:G,MATCH(DATE(YEAR($A1558)-1,MONTH($A1558),DAY($A1558)),$A:$A,0))=""),"",G1558/INDEX(G:G,MATCH(DATE(YEAR($A1558)-1,MONTH($A1558),DAY($A1558)),$A:$A,0))-1),"")</f>
        <v/>
      </c>
      <c r="M1558" s="19">
        <f>IF(OR(E1558="",E1557=""),"",E1558/E1557-1)</f>
        <v/>
      </c>
      <c r="N1558" s="19">
        <f>IF(OR(F1558="",F1557=""),"",F1558/F1557-1)</f>
        <v/>
      </c>
      <c r="O1558" s="19">
        <f>IF(OR(G1558="",G1557=""),"",G1558/G1557-1)</f>
        <v/>
      </c>
      <c r="P1558" s="22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IF(R1558="","",P1558/R1558)</f>
        <v/>
      </c>
      <c r="T1558" s="23">
        <f>IF(R1558="","",Q1558/R1558)</f>
        <v/>
      </c>
      <c r="U1558" s="24">
        <f>IF(SUMIFS('Daily NSE Equity Options'!$M:$M,'Daily NSE Equity Options'!$A:$A,$A1558)=0,"",SUMIFS('Daily NSE Equity Options'!$M:$M,'Daily NSE Equity Options'!$A:$A,$A1558))</f>
        <v/>
      </c>
      <c r="V1558" s="9">
        <f>IF(SUMIFS('Daily BSE Equity Options'!$M:$M,'Daily BSE Equity Options'!$A:$A,$A1558)=0,"",SUMIFS('Daily BSE Equity Options'!$M:$M,'Daily BSE Equity Options'!$A:$A,$A1558))</f>
        <v/>
      </c>
      <c r="W1558" s="9">
        <f>IF(OR(U1558="",V1558=""),"",U1558+V1558)</f>
        <v/>
      </c>
      <c r="X1558" s="25">
        <f>IF(W1558="","",U1558/W1558)</f>
        <v/>
      </c>
      <c r="Y1558" s="25">
        <f>IF(W1558="","",V1558/W1558)</f>
        <v/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19">
        <f>IF(G1559="","",E1559/G1559)</f>
        <v/>
      </c>
      <c r="I1559" s="19">
        <f>IF(G1559="","",F1559/G1559)</f>
        <v/>
      </c>
      <c r="J1559" s="26">
        <f>IFERROR(IF(OR(E1559="",INDEX(E:E,MATCH(DATE(YEAR($A1559)-1,MONTH($A1559),DAY($A1559)),$A:$A,0))=""),"",E1559/INDEX(E:E,MATCH(DATE(YEAR($A1559)-1,MONTH($A1559),DAY($A1559)),$A:$A,0))-1),"")</f>
        <v/>
      </c>
      <c r="K1559" s="19">
        <f>IFERROR(IF(OR(F1559="",INDEX(F:F,MATCH(DATE(YEAR($A1559)-1,MONTH($A1559),DAY($A1559)),$A:$A,0))=""),"",F1559/INDEX(F:F,MATCH(DATE(YEAR($A1559)-1,MONTH($A1559),DAY($A1559)),$A:$A,0))-1),"")</f>
        <v/>
      </c>
      <c r="L1559" s="19">
        <f>IFERROR(IF(OR(G1559="",INDEX(G:G,MATCH(DATE(YEAR($A1559)-1,MONTH($A1559),DAY($A1559)),$A:$A,0))=""),"",G1559/INDEX(G:G,MATCH(DATE(YEAR($A1559)-1,MONTH($A1559),DAY($A1559)),$A:$A,0))-1),"")</f>
        <v/>
      </c>
      <c r="M1559" s="19">
        <f>IF(OR(E1559="",E1558=""),"",E1559/E1558-1)</f>
        <v/>
      </c>
      <c r="N1559" s="19">
        <f>IF(OR(F1559="",F1558=""),"",F1559/F1558-1)</f>
        <v/>
      </c>
      <c r="O1559" s="19">
        <f>IF(OR(G1559="",G1558=""),"",G1559/G1558-1)</f>
        <v/>
      </c>
      <c r="P1559" s="22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IF(R1559="","",P1559/R1559)</f>
        <v/>
      </c>
      <c r="T1559" s="23">
        <f>IF(R1559="","",Q1559/R1559)</f>
        <v/>
      </c>
      <c r="U1559" s="24">
        <f>IF(SUMIFS('Daily NSE Equity Options'!$M:$M,'Daily NSE Equity Options'!$A:$A,$A1559)=0,"",SUMIFS('Daily NSE Equity Options'!$M:$M,'Daily NSE Equity Options'!$A:$A,$A1559))</f>
        <v/>
      </c>
      <c r="V1559" s="9">
        <f>IF(SUMIFS('Daily BSE Equity Options'!$M:$M,'Daily BSE Equity Options'!$A:$A,$A1559)=0,"",SUMIFS('Daily BSE Equity Options'!$M:$M,'Daily BSE Equity Options'!$A:$A,$A1559))</f>
        <v/>
      </c>
      <c r="W1559" s="9">
        <f>IF(OR(U1559="",V1559=""),"",U1559+V1559)</f>
        <v/>
      </c>
      <c r="X1559" s="25">
        <f>IF(W1559="","",U1559/W1559)</f>
        <v/>
      </c>
      <c r="Y1559" s="25">
        <f>IF(W1559="","",V1559/W1559)</f>
        <v/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19">
        <f>IF(G1560="","",E1560/G1560)</f>
        <v/>
      </c>
      <c r="I1560" s="19">
        <f>IF(G1560="","",F1560/G1560)</f>
        <v/>
      </c>
      <c r="J1560" s="26">
        <f>IFERROR(IF(OR(E1560="",INDEX(E:E,MATCH(DATE(YEAR($A1560)-1,MONTH($A1560),DAY($A1560)),$A:$A,0))=""),"",E1560/INDEX(E:E,MATCH(DATE(YEAR($A1560)-1,MONTH($A1560),DAY($A1560)),$A:$A,0))-1),"")</f>
        <v/>
      </c>
      <c r="K1560" s="19">
        <f>IFERROR(IF(OR(F1560="",INDEX(F:F,MATCH(DATE(YEAR($A1560)-1,MONTH($A1560),DAY($A1560)),$A:$A,0))=""),"",F1560/INDEX(F:F,MATCH(DATE(YEAR($A1560)-1,MONTH($A1560),DAY($A1560)),$A:$A,0))-1),"")</f>
        <v/>
      </c>
      <c r="L1560" s="19">
        <f>IFERROR(IF(OR(G1560="",INDEX(G:G,MATCH(DATE(YEAR($A1560)-1,MONTH($A1560),DAY($A1560)),$A:$A,0))=""),"",G1560/INDEX(G:G,MATCH(DATE(YEAR($A1560)-1,MONTH($A1560),DAY($A1560)),$A:$A,0))-1),"")</f>
        <v/>
      </c>
      <c r="M1560" s="19">
        <f>IF(OR(E1560="",E1559=""),"",E1560/E1559-1)</f>
        <v/>
      </c>
      <c r="N1560" s="19">
        <f>IF(OR(F1560="",F1559=""),"",F1560/F1559-1)</f>
        <v/>
      </c>
      <c r="O1560" s="19">
        <f>IF(OR(G1560="",G1559=""),"",G1560/G1559-1)</f>
        <v/>
      </c>
      <c r="P1560" s="22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IF(R1560="","",P1560/R1560)</f>
        <v/>
      </c>
      <c r="T1560" s="23">
        <f>IF(R1560="","",Q1560/R1560)</f>
        <v/>
      </c>
      <c r="U1560" s="24">
        <f>IF(SUMIFS('Daily NSE Equity Options'!$M:$M,'Daily NSE Equity Options'!$A:$A,$A1560)=0,"",SUMIFS('Daily NSE Equity Options'!$M:$M,'Daily NSE Equity Options'!$A:$A,$A1560))</f>
        <v/>
      </c>
      <c r="V1560" s="9">
        <f>IF(SUMIFS('Daily BSE Equity Options'!$M:$M,'Daily BSE Equity Options'!$A:$A,$A1560)=0,"",SUMIFS('Daily BSE Equity Options'!$M:$M,'Daily BSE Equity Options'!$A:$A,$A1560))</f>
        <v/>
      </c>
      <c r="W1560" s="9">
        <f>IF(OR(U1560="",V1560=""),"",U1560+V1560)</f>
        <v/>
      </c>
      <c r="X1560" s="25">
        <f>IF(W1560="","",U1560/W1560)</f>
        <v/>
      </c>
      <c r="Y1560" s="25">
        <f>IF(W1560="","",V1560/W1560)</f>
        <v/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19">
        <f>IF(G1561="","",E1561/G1561)</f>
        <v/>
      </c>
      <c r="I1561" s="19">
        <f>IF(G1561="","",F1561/G1561)</f>
        <v/>
      </c>
      <c r="J1561" s="26">
        <f>IFERROR(IF(OR(E1561="",INDEX(E:E,MATCH(DATE(YEAR($A1561)-1,MONTH($A1561),DAY($A1561)),$A:$A,0))=""),"",E1561/INDEX(E:E,MATCH(DATE(YEAR($A1561)-1,MONTH($A1561),DAY($A1561)),$A:$A,0))-1),"")</f>
        <v/>
      </c>
      <c r="K1561" s="19">
        <f>IFERROR(IF(OR(F1561="",INDEX(F:F,MATCH(DATE(YEAR($A1561)-1,MONTH($A1561),DAY($A1561)),$A:$A,0))=""),"",F1561/INDEX(F:F,MATCH(DATE(YEAR($A1561)-1,MONTH($A1561),DAY($A1561)),$A:$A,0))-1),"")</f>
        <v/>
      </c>
      <c r="L1561" s="19">
        <f>IFERROR(IF(OR(G1561="",INDEX(G:G,MATCH(DATE(YEAR($A1561)-1,MONTH($A1561),DAY($A1561)),$A:$A,0))=""),"",G1561/INDEX(G:G,MATCH(DATE(YEAR($A1561)-1,MONTH($A1561),DAY($A1561)),$A:$A,0))-1),"")</f>
        <v/>
      </c>
      <c r="M1561" s="19">
        <f>IF(OR(E1561="",E1560=""),"",E1561/E1560-1)</f>
        <v/>
      </c>
      <c r="N1561" s="19">
        <f>IF(OR(F1561="",F1560=""),"",F1561/F1560-1)</f>
        <v/>
      </c>
      <c r="O1561" s="19">
        <f>IF(OR(G1561="",G1560=""),"",G1561/G1560-1)</f>
        <v/>
      </c>
      <c r="P1561" s="22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IF(R1561="","",P1561/R1561)</f>
        <v/>
      </c>
      <c r="T1561" s="23">
        <f>IF(R1561="","",Q1561/R1561)</f>
        <v/>
      </c>
      <c r="U1561" s="24">
        <f>IF(SUMIFS('Daily NSE Equity Options'!$M:$M,'Daily NSE Equity Options'!$A:$A,$A1561)=0,"",SUMIFS('Daily NSE Equity Options'!$M:$M,'Daily NSE Equity Options'!$A:$A,$A1561))</f>
        <v/>
      </c>
      <c r="V1561" s="9">
        <f>IF(SUMIFS('Daily BSE Equity Options'!$M:$M,'Daily BSE Equity Options'!$A:$A,$A1561)=0,"",SUMIFS('Daily BSE Equity Options'!$M:$M,'Daily BSE Equity Options'!$A:$A,$A1561))</f>
        <v/>
      </c>
      <c r="W1561" s="9">
        <f>IF(OR(U1561="",V1561=""),"",U1561+V1561)</f>
        <v/>
      </c>
      <c r="X1561" s="25">
        <f>IF(W1561="","",U1561/W1561)</f>
        <v/>
      </c>
      <c r="Y1561" s="25">
        <f>IF(W1561="","",V1561/W1561)</f>
        <v/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19">
        <f>IF(G1562="","",E1562/G1562)</f>
        <v/>
      </c>
      <c r="I1562" s="19">
        <f>IF(G1562="","",F1562/G1562)</f>
        <v/>
      </c>
      <c r="J1562" s="26">
        <f>IFERROR(IF(OR(E1562="",INDEX(E:E,MATCH(DATE(YEAR($A1562)-1,MONTH($A1562),DAY($A1562)),$A:$A,0))=""),"",E1562/INDEX(E:E,MATCH(DATE(YEAR($A1562)-1,MONTH($A1562),DAY($A1562)),$A:$A,0))-1),"")</f>
        <v/>
      </c>
      <c r="K1562" s="19">
        <f>IFERROR(IF(OR(F1562="",INDEX(F:F,MATCH(DATE(YEAR($A1562)-1,MONTH($A1562),DAY($A1562)),$A:$A,0))=""),"",F1562/INDEX(F:F,MATCH(DATE(YEAR($A1562)-1,MONTH($A1562),DAY($A1562)),$A:$A,0))-1),"")</f>
        <v/>
      </c>
      <c r="L1562" s="19">
        <f>IFERROR(IF(OR(G1562="",INDEX(G:G,MATCH(DATE(YEAR($A1562)-1,MONTH($A1562),DAY($A1562)),$A:$A,0))=""),"",G1562/INDEX(G:G,MATCH(DATE(YEAR($A1562)-1,MONTH($A1562),DAY($A1562)),$A:$A,0))-1),"")</f>
        <v/>
      </c>
      <c r="M1562" s="19">
        <f>IF(OR(E1562="",E1561=""),"",E1562/E1561-1)</f>
        <v/>
      </c>
      <c r="N1562" s="19">
        <f>IF(OR(F1562="",F1561=""),"",F1562/F1561-1)</f>
        <v/>
      </c>
      <c r="O1562" s="19">
        <f>IF(OR(G1562="",G1561=""),"",G1562/G1561-1)</f>
        <v/>
      </c>
      <c r="P1562" s="22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IF(R1562="","",P1562/R1562)</f>
        <v/>
      </c>
      <c r="T1562" s="23">
        <f>IF(R1562="","",Q1562/R1562)</f>
        <v/>
      </c>
      <c r="U1562" s="24">
        <f>IF(SUMIFS('Daily NSE Equity Options'!$M:$M,'Daily NSE Equity Options'!$A:$A,$A1562)=0,"",SUMIFS('Daily NSE Equity Options'!$M:$M,'Daily NSE Equity Options'!$A:$A,$A1562))</f>
        <v/>
      </c>
      <c r="V1562" s="9">
        <f>IF(SUMIFS('Daily BSE Equity Options'!$M:$M,'Daily BSE Equity Options'!$A:$A,$A1562)=0,"",SUMIFS('Daily BSE Equity Options'!$M:$M,'Daily BSE Equity Options'!$A:$A,$A1562))</f>
        <v/>
      </c>
      <c r="W1562" s="9">
        <f>IF(OR(U1562="",V1562=""),"",U1562+V1562)</f>
        <v/>
      </c>
      <c r="X1562" s="25">
        <f>IF(W1562="","",U1562/W1562)</f>
        <v/>
      </c>
      <c r="Y1562" s="25">
        <f>IF(W1562="","",V1562/W1562)</f>
        <v/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19">
        <f>IF(G1563="","",E1563/G1563)</f>
        <v/>
      </c>
      <c r="I1563" s="19">
        <f>IF(G1563="","",F1563/G1563)</f>
        <v/>
      </c>
      <c r="J1563" s="26">
        <f>IFERROR(IF(OR(E1563="",INDEX(E:E,MATCH(DATE(YEAR($A1563)-1,MONTH($A1563),DAY($A1563)),$A:$A,0))=""),"",E1563/INDEX(E:E,MATCH(DATE(YEAR($A1563)-1,MONTH($A1563),DAY($A1563)),$A:$A,0))-1),"")</f>
        <v/>
      </c>
      <c r="K1563" s="19">
        <f>IFERROR(IF(OR(F1563="",INDEX(F:F,MATCH(DATE(YEAR($A1563)-1,MONTH($A1563),DAY($A1563)),$A:$A,0))=""),"",F1563/INDEX(F:F,MATCH(DATE(YEAR($A1563)-1,MONTH($A1563),DAY($A1563)),$A:$A,0))-1),"")</f>
        <v/>
      </c>
      <c r="L1563" s="19">
        <f>IFERROR(IF(OR(G1563="",INDEX(G:G,MATCH(DATE(YEAR($A1563)-1,MONTH($A1563),DAY($A1563)),$A:$A,0))=""),"",G1563/INDEX(G:G,MATCH(DATE(YEAR($A1563)-1,MONTH($A1563),DAY($A1563)),$A:$A,0))-1),"")</f>
        <v/>
      </c>
      <c r="M1563" s="19">
        <f>IF(OR(E1563="",E1562=""),"",E1563/E1562-1)</f>
        <v/>
      </c>
      <c r="N1563" s="19">
        <f>IF(OR(F1563="",F1562=""),"",F1563/F1562-1)</f>
        <v/>
      </c>
      <c r="O1563" s="19">
        <f>IF(OR(G1563="",G1562=""),"",G1563/G1562-1)</f>
        <v/>
      </c>
      <c r="P1563" s="22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IF(R1563="","",P1563/R1563)</f>
        <v/>
      </c>
      <c r="T1563" s="23">
        <f>IF(R1563="","",Q1563/R1563)</f>
        <v/>
      </c>
      <c r="U1563" s="24">
        <f>IF(SUMIFS('Daily NSE Equity Options'!$M:$M,'Daily NSE Equity Options'!$A:$A,$A1563)=0,"",SUMIFS('Daily NSE Equity Options'!$M:$M,'Daily NSE Equity Options'!$A:$A,$A1563))</f>
        <v/>
      </c>
      <c r="V1563" s="9">
        <f>IF(SUMIFS('Daily BSE Equity Options'!$M:$M,'Daily BSE Equity Options'!$A:$A,$A1563)=0,"",SUMIFS('Daily BSE Equity Options'!$M:$M,'Daily BSE Equity Options'!$A:$A,$A1563))</f>
        <v/>
      </c>
      <c r="W1563" s="9">
        <f>IF(OR(U1563="",V1563=""),"",U1563+V1563)</f>
        <v/>
      </c>
      <c r="X1563" s="25">
        <f>IF(W1563="","",U1563/W1563)</f>
        <v/>
      </c>
      <c r="Y1563" s="25">
        <f>IF(W1563="","",V1563/W1563)</f>
        <v/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19">
        <f>IF(G1564="","",E1564/G1564)</f>
        <v/>
      </c>
      <c r="I1564" s="19">
        <f>IF(G1564="","",F1564/G1564)</f>
        <v/>
      </c>
      <c r="J1564" s="26">
        <f>IFERROR(IF(OR(E1564="",INDEX(E:E,MATCH(DATE(YEAR($A1564)-1,MONTH($A1564),DAY($A1564)),$A:$A,0))=""),"",E1564/INDEX(E:E,MATCH(DATE(YEAR($A1564)-1,MONTH($A1564),DAY($A1564)),$A:$A,0))-1),"")</f>
        <v/>
      </c>
      <c r="K1564" s="19">
        <f>IFERROR(IF(OR(F1564="",INDEX(F:F,MATCH(DATE(YEAR($A1564)-1,MONTH($A1564),DAY($A1564)),$A:$A,0))=""),"",F1564/INDEX(F:F,MATCH(DATE(YEAR($A1564)-1,MONTH($A1564),DAY($A1564)),$A:$A,0))-1),"")</f>
        <v/>
      </c>
      <c r="L1564" s="19">
        <f>IFERROR(IF(OR(G1564="",INDEX(G:G,MATCH(DATE(YEAR($A1564)-1,MONTH($A1564),DAY($A1564)),$A:$A,0))=""),"",G1564/INDEX(G:G,MATCH(DATE(YEAR($A1564)-1,MONTH($A1564),DAY($A1564)),$A:$A,0))-1),"")</f>
        <v/>
      </c>
      <c r="M1564" s="19">
        <f>IF(OR(E1564="",E1563=""),"",E1564/E1563-1)</f>
        <v/>
      </c>
      <c r="N1564" s="19">
        <f>IF(OR(F1564="",F1563=""),"",F1564/F1563-1)</f>
        <v/>
      </c>
      <c r="O1564" s="19">
        <f>IF(OR(G1564="",G1563=""),"",G1564/G1563-1)</f>
        <v/>
      </c>
      <c r="P1564" s="22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IF(R1564="","",P1564/R1564)</f>
        <v/>
      </c>
      <c r="T1564" s="23">
        <f>IF(R1564="","",Q1564/R1564)</f>
        <v/>
      </c>
      <c r="U1564" s="24">
        <f>IF(SUMIFS('Daily NSE Equity Options'!$M:$M,'Daily NSE Equity Options'!$A:$A,$A1564)=0,"",SUMIFS('Daily NSE Equity Options'!$M:$M,'Daily NSE Equity Options'!$A:$A,$A1564))</f>
        <v/>
      </c>
      <c r="V1564" s="9">
        <f>IF(SUMIFS('Daily BSE Equity Options'!$M:$M,'Daily BSE Equity Options'!$A:$A,$A1564)=0,"",SUMIFS('Daily BSE Equity Options'!$M:$M,'Daily BSE Equity Options'!$A:$A,$A1564))</f>
        <v/>
      </c>
      <c r="W1564" s="9">
        <f>IF(OR(U1564="",V1564=""),"",U1564+V1564)</f>
        <v/>
      </c>
      <c r="X1564" s="25">
        <f>IF(W1564="","",U1564/W1564)</f>
        <v/>
      </c>
      <c r="Y1564" s="25">
        <f>IF(W1564="","",V1564/W1564)</f>
        <v/>
      </c>
    </row>
    <row r="1566">
      <c r="A1566" s="1" t="inlineStr">
        <is>
          <t>YTD Comparison - FY2026-2027 YTD vs FY2025-2026 YTD (same number of trading days)</t>
        </is>
      </c>
    </row>
    <row r="1567">
      <c r="A1567" s="5" t="inlineStr">
        <is>
          <t>Trading days elapsed in FY2026-2027 (per NSE daily)</t>
        </is>
      </c>
      <c r="B1567" s="6">
        <f>COUNTIF('Daily NSE Equity Options'!$A:$A,"&gt;="&amp;DATE(2026,4,1))</f>
        <v/>
      </c>
    </row>
    <row r="1568">
      <c r="A1568" s="5" t="inlineStr">
        <is>
          <t>Matched FY2025-2026 window</t>
        </is>
      </c>
      <c r="B1568" s="11">
        <f>DATE(2025,4,1)</f>
        <v/>
      </c>
      <c r="C1568" s="11">
        <f>INDEX('Daily NSE Equity Options'!$A:$A,COUNTIF('Daily NSE Equity Options'!$A:$A,"&lt;"&amp;DATE(2025,4,1))+1+$B1567)</f>
        <v/>
      </c>
    </row>
    <row r="1569">
      <c r="E1569" s="2" t="inlineStr">
        <is>
          <t>NSE Premium Turnover (INR Bn)</t>
        </is>
      </c>
      <c r="F1569" s="2" t="inlineStr">
        <is>
          <t>BSE Premium Turnover (INR Bn)</t>
        </is>
      </c>
      <c r="G1569" s="2" t="inlineStr">
        <is>
          <t>Total Premium Turnover (INR Bn)</t>
        </is>
      </c>
      <c r="H1569" s="2" t="inlineStr">
        <is>
          <t>NSE Premium Market Share</t>
        </is>
      </c>
      <c r="I1569" s="2" t="inlineStr">
        <is>
          <t>BSE Premium Market Share</t>
        </is>
      </c>
      <c r="P1569" s="3" t="inlineStr">
        <is>
          <t>NSE Notional Turnover (INR Bn)</t>
        </is>
      </c>
      <c r="Q1569" s="3" t="inlineStr">
        <is>
          <t>BSE Notional Turnover (INR Bn)</t>
        </is>
      </c>
      <c r="R1569" s="3" t="inlineStr">
        <is>
          <t>Total Notional Turnover (INR Bn)</t>
        </is>
      </c>
      <c r="S1569" s="3" t="inlineStr">
        <is>
          <t>NSE Notional Market Share</t>
        </is>
      </c>
      <c r="T1569" s="3" t="inlineStr">
        <is>
          <t>BSE Notional Market Share</t>
        </is>
      </c>
      <c r="U1569" s="4" t="inlineStr">
        <is>
          <t>NSE No. of Contracts</t>
        </is>
      </c>
      <c r="V1569" s="4" t="inlineStr">
        <is>
          <t>BSE No. of Contracts</t>
        </is>
      </c>
      <c r="W1569" s="4" t="inlineStr">
        <is>
          <t>Total No. of Contracts</t>
        </is>
      </c>
      <c r="X1569" s="4" t="inlineStr">
        <is>
          <t>NSE Contracts Market Share</t>
        </is>
      </c>
      <c r="Y1569" s="4" t="inlineStr">
        <is>
          <t>BSE Contracts Market Share</t>
        </is>
      </c>
    </row>
    <row r="1570">
      <c r="A1570" s="5" t="inlineStr">
        <is>
          <t>FY2025-2026 YTD (first N trading days)</t>
        </is>
      </c>
      <c r="E1570" s="7">
        <f>SUMIFS('Daily NSE Equity Options'!$K:$K,'Daily NSE Equity Options'!$A:$A,"&gt;="&amp;$B$1568,'Daily NSE Equity Options'!$A:$A,"&lt;="&amp;$C$1568)</f>
        <v/>
      </c>
      <c r="F1570" s="7">
        <f>SUMIFS('Daily BSE Equity Options'!$K:$K,'Daily BSE Equity Options'!$A:$A,"&gt;="&amp;$B$1568,'Daily BSE Equity Options'!$A:$A,"&lt;="&amp;$C$1568)</f>
        <v/>
      </c>
      <c r="G1570" s="7">
        <f>E1570+F1570</f>
        <v/>
      </c>
      <c r="H1570" s="19">
        <f>IF(G1570=0,"",E1570/G1570)</f>
        <v/>
      </c>
      <c r="I1570" s="19">
        <f>IF(G1570=0,"",F1570/G1570)</f>
        <v/>
      </c>
      <c r="P1570" s="8">
        <f>SUMIFS('Daily NSE Equity Options'!$L:$L,'Daily NSE Equity Options'!$A:$A,"&gt;="&amp;$B$1568,'Daily NSE Equity Options'!$A:$A,"&lt;="&amp;$C$1568)</f>
        <v/>
      </c>
      <c r="Q1570" s="8">
        <f>SUMIFS('Daily BSE Equity Options'!$L:$L,'Daily BSE Equity Options'!$A:$A,"&gt;="&amp;$B$1568,'Daily BSE Equity Options'!$A:$A,"&lt;="&amp;$C$1568)</f>
        <v/>
      </c>
      <c r="R1570" s="8">
        <f>P1570+Q1570</f>
        <v/>
      </c>
      <c r="S1570" s="23">
        <f>IF(R1570=0,"",P1570/R1570)</f>
        <v/>
      </c>
      <c r="T1570" s="23">
        <f>IF(R1570=0,"",Q1570/R1570)</f>
        <v/>
      </c>
      <c r="U1570" s="9">
        <f>SUMIFS('Daily NSE Equity Options'!$M:$M,'Daily NSE Equity Options'!$A:$A,"&gt;="&amp;$B$1568,'Daily NSE Equity Options'!$A:$A,"&lt;="&amp;$C$1568)</f>
        <v/>
      </c>
      <c r="V1570" s="9">
        <f>SUMIFS('Daily BSE Equity Options'!$M:$M,'Daily BSE Equity Options'!$A:$A,"&gt;="&amp;$B$1568,'Daily BSE Equity Options'!$A:$A,"&lt;="&amp;$C$1568)</f>
        <v/>
      </c>
      <c r="W1570" s="9">
        <f>U1570+V1570</f>
        <v/>
      </c>
      <c r="X1570" s="25">
        <f>IF(W1570=0,"",U1570/W1570)</f>
        <v/>
      </c>
      <c r="Y1570" s="25">
        <f>IF(W1570=0,"",V1570/W1570)</f>
        <v/>
      </c>
    </row>
    <row r="1571">
      <c r="A1571" s="5" t="inlineStr">
        <is>
          <t>FY2026-2027 YTD</t>
        </is>
      </c>
      <c r="E1571" s="7">
        <f>SUMIFS('Daily NSE Equity Options'!$K:$K,'Daily NSE Equity Options'!$A:$A,"&gt;="&amp;DATE(2026,4,1))</f>
        <v/>
      </c>
      <c r="F1571" s="7">
        <f>SUMIFS('Daily BSE Equity Options'!$K:$K,'Daily BSE Equity Options'!$A:$A,"&gt;="&amp;DATE(2026,4,1))</f>
        <v/>
      </c>
      <c r="G1571" s="7">
        <f>E1571+F1571</f>
        <v/>
      </c>
      <c r="H1571" s="19">
        <f>IF(G1571=0,"",E1571/G1571)</f>
        <v/>
      </c>
      <c r="I1571" s="19">
        <f>IF(G1571=0,"",F1571/G1571)</f>
        <v/>
      </c>
      <c r="P1571" s="8">
        <f>SUMIFS('Daily NSE Equity Options'!$L:$L,'Daily NSE Equity Options'!$A:$A,"&gt;="&amp;DATE(2026,4,1))</f>
        <v/>
      </c>
      <c r="Q1571" s="8">
        <f>SUMIFS('Daily BSE Equity Options'!$L:$L,'Daily BSE Equity Options'!$A:$A,"&gt;="&amp;DATE(2026,4,1))</f>
        <v/>
      </c>
      <c r="R1571" s="8">
        <f>P1571+Q1571</f>
        <v/>
      </c>
      <c r="S1571" s="23">
        <f>IF(R1571=0,"",P1571/R1571)</f>
        <v/>
      </c>
      <c r="T1571" s="23">
        <f>IF(R1571=0,"",Q1571/R1571)</f>
        <v/>
      </c>
      <c r="U1571" s="9">
        <f>SUMIFS('Daily NSE Equity Options'!$M:$M,'Daily NSE Equity Options'!$A:$A,"&gt;="&amp;DATE(2026,4,1))</f>
        <v/>
      </c>
      <c r="V1571" s="9">
        <f>SUMIFS('Daily BSE Equity Options'!$M:$M,'Daily BSE Equity Options'!$A:$A,"&gt;="&amp;DATE(2026,4,1))</f>
        <v/>
      </c>
      <c r="W1571" s="9">
        <f>U1571+V1571</f>
        <v/>
      </c>
      <c r="X1571" s="25">
        <f>IF(W1571=0,"",U1571/W1571)</f>
        <v/>
      </c>
      <c r="Y1571" s="25">
        <f>IF(W1571=0,"",V1571/W1571)</f>
        <v/>
      </c>
    </row>
    <row r="1572">
      <c r="A1572" s="1" t="inlineStr">
        <is>
          <t>YTD Growth (FY2026-2027 vs FY2025-2026)</t>
        </is>
      </c>
      <c r="E1572" s="19">
        <f>IF(OR(E1570=0,E1570=""),"",E1571/E1570-1)</f>
        <v/>
      </c>
      <c r="F1572" s="19">
        <f>IF(OR(F1570=0,F1570=""),"",F1571/F1570-1)</f>
        <v/>
      </c>
      <c r="G1572" s="19">
        <f>IF(OR(G1570=0,G1570=""),"",G1571/G1570-1)</f>
        <v/>
      </c>
      <c r="P1572" s="23">
        <f>IF(OR(P1570=0,P1570=""),"",P1571/P1570-1)</f>
        <v/>
      </c>
      <c r="Q1572" s="23">
        <f>IF(OR(Q1570=0,Q1570=""),"",Q1571/Q1570-1)</f>
        <v/>
      </c>
      <c r="R1572" s="23">
        <f>IF(OR(R1570=0,R1570=""),"",R1571/R1570-1)</f>
        <v/>
      </c>
      <c r="U1572" s="25">
        <f>IF(OR(U1570=0,U1570=""),"",U1571/U1570-1)</f>
        <v/>
      </c>
      <c r="V1572" s="25">
        <f>IF(OR(V1570=0,V1570=""),"",V1571/V1570-1)</f>
        <v/>
      </c>
      <c r="W1572" s="25">
        <f>IF(OR(W1570=0,W1570=""),"",W1571/W1570-1)</f>
        <v/>
      </c>
    </row>
  </sheetData>
  <conditionalFormatting sqref="H2:H156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6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6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6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156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56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28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28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28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28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28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28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28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28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28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28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28" t="n">
        <v>247</v>
      </c>
    </row>
    <row r="13">
      <c r="A13" s="5" t="inlineStr">
        <is>
          <t>2026-2027</t>
        </is>
      </c>
      <c r="B13" s="18" t="n">
        <v>40463.1971</v>
      </c>
      <c r="C13" s="8" t="n">
        <v>18020998.1307</v>
      </c>
      <c r="D13" s="9" t="n">
        <v>11552414857</v>
      </c>
      <c r="E13" s="18" t="n">
        <v>5950.0223</v>
      </c>
      <c r="F13" s="8" t="n">
        <v>365932.3982</v>
      </c>
      <c r="G13" s="9" t="n">
        <v>538110167</v>
      </c>
      <c r="H13" s="18" t="n">
        <v>46413.2194</v>
      </c>
      <c r="I13" s="8" t="n">
        <v>18386930.5289</v>
      </c>
      <c r="J13" s="9" t="n">
        <v>12090525024</v>
      </c>
      <c r="K13" s="28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28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28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28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28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28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28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28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28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28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28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28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28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28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28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28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28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28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28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28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28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28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28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28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28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28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28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28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28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28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28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28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28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28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28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28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28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28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28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28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28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28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28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28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28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28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28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28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28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28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28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28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28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28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28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28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28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28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28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28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28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28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28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28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28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28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28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28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28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28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28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28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28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28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28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28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28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28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28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28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28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28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28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28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28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28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28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28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28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28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28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28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28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28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28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28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28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28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28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28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28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28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28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28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28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28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28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28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28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28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28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28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28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28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28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28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28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28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28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28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28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28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28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28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28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28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28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28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28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28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28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28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28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28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28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28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28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28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28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28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28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28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28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28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28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28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28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28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28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28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28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28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28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28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28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28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28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28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28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28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28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28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28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28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28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28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28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28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28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28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28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28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28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28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28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28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28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28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28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28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28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28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28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28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28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28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28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28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28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28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28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28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28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28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28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28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28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28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28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28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28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28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28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28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28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28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28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28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6603.2301</v>
      </c>
      <c r="E209" s="8" t="n">
        <v>3367104.4622</v>
      </c>
      <c r="F209" s="9" t="n">
        <v>2132872713</v>
      </c>
      <c r="G209" s="18" t="n">
        <v>1198.9209</v>
      </c>
      <c r="H209" s="8" t="n">
        <v>67052.4938</v>
      </c>
      <c r="I209" s="9" t="n">
        <v>95520044</v>
      </c>
      <c r="J209" s="18" t="n">
        <v>7802.151</v>
      </c>
      <c r="K209" s="8" t="n">
        <v>3434156.956</v>
      </c>
      <c r="L209" s="9" t="n">
        <v>2228392757</v>
      </c>
      <c r="M209" s="28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27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28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28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28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28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28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28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28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28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28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28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28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28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28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28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28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28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28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28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28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28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28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28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28" t="n">
        <v>247</v>
      </c>
    </row>
    <row r="25">
      <c r="A25" s="5" t="inlineStr">
        <is>
          <t>2026-2027</t>
        </is>
      </c>
      <c r="B25" s="18" t="n">
        <v>21691.56</v>
      </c>
      <c r="C25" s="8" t="n">
        <v>17607638.0204</v>
      </c>
      <c r="D25" s="9" t="n">
        <v>11522143419</v>
      </c>
      <c r="E25" s="18" t="n">
        <v>0.0219</v>
      </c>
      <c r="F25" s="8" t="n">
        <v>0.9157</v>
      </c>
      <c r="G25" s="9" t="n">
        <v>1304</v>
      </c>
      <c r="H25" s="18" t="n">
        <v>21691.5819</v>
      </c>
      <c r="I25" s="8" t="n">
        <v>17607638.9361</v>
      </c>
      <c r="J25" s="9" t="n">
        <v>11522144723</v>
      </c>
      <c r="K25" s="28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27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28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28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28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28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28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28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28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28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28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28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28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28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28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28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28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28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28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28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28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28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28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28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28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28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28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28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28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28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28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28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28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28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28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28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28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28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28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28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28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28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28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28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28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28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28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28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28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28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28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28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28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28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28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28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28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28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28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28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28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28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28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28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28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28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28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28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28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28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28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28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28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28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28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28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28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28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28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28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28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28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28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28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28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28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28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28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28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28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28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28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28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28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28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28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28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28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28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28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28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28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28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28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28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28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28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28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28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28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28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28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28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28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28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28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28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28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28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28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28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28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28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28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28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28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28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28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28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28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28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28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28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28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28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28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28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28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28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28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28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28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28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28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28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28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28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28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28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28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28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28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28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28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28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28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28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28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28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28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28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28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28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28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28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28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28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28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28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28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28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28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28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28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28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28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28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28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28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28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28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28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28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28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28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28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28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28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28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28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28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28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28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28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28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28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28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28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28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28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28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28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28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28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28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28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28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28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28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28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28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28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28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28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28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28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28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28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28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28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28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28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28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28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28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28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28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28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28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28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28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28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28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28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28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28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28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28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28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28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28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28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28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28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28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28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28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28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28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28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28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28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28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28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28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28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28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28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28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28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28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28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28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28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28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28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28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28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28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28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28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28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3922.36</v>
      </c>
      <c r="E272" s="8" t="n">
        <v>3372519.5852</v>
      </c>
      <c r="F272" s="9" t="n">
        <v>2182370797</v>
      </c>
      <c r="G272" s="18" t="n">
        <v>0.0028</v>
      </c>
      <c r="H272" s="8" t="n">
        <v>0.1067</v>
      </c>
      <c r="I272" s="9" t="n">
        <v>144</v>
      </c>
      <c r="J272" s="18" t="n">
        <v>3922.3628</v>
      </c>
      <c r="K272" s="8" t="n">
        <v>3372519.6919</v>
      </c>
      <c r="L272" s="9" t="n">
        <v>2182370941</v>
      </c>
      <c r="M272" s="2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2026-07-22T03:18:54Z</dcterms:created>
  <dcterms:modified xsi:type="dcterms:W3CDTF">2026-07-22T03:18:56Z</dcterms:modified>
</cp:coreProperties>
</file>